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FB3F828-2FD9-4788-A645-DDF5CE9AE45B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'2026'!$A$1:$AA$100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3" i="46" l="1"/>
  <c r="R108" i="46"/>
  <c r="R107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92" i="46"/>
  <c r="P109" i="46"/>
  <c r="P110" i="46"/>
  <c r="P111" i="46"/>
  <c r="P112" i="46"/>
  <c r="P113" i="46"/>
  <c r="P114" i="46"/>
  <c r="P115" i="46"/>
  <c r="P116" i="46"/>
  <c r="Z92" i="46"/>
  <c r="Y92" i="46"/>
  <c r="O92" i="46" s="1"/>
  <c r="T92" i="46"/>
  <c r="M92" i="46"/>
  <c r="L92" i="46"/>
  <c r="K92" i="46"/>
  <c r="G92" i="46"/>
  <c r="AA92" i="46" s="1"/>
  <c r="D92" i="46"/>
  <c r="AA90" i="46"/>
  <c r="Z90" i="46"/>
  <c r="Y90" i="46"/>
  <c r="O90" i="46" s="1"/>
  <c r="T90" i="46"/>
  <c r="M90" i="46"/>
  <c r="L90" i="46"/>
  <c r="K90" i="46"/>
  <c r="D90" i="46"/>
  <c r="AA89" i="46"/>
  <c r="Z89" i="46"/>
  <c r="Y89" i="46"/>
  <c r="O89" i="46" s="1"/>
  <c r="T89" i="46"/>
  <c r="M89" i="46"/>
  <c r="L89" i="46"/>
  <c r="K89" i="46"/>
  <c r="D89" i="46"/>
  <c r="Z91" i="46"/>
  <c r="Y91" i="46"/>
  <c r="O91" i="46" s="1"/>
  <c r="T91" i="46"/>
  <c r="M91" i="46"/>
  <c r="L91" i="46"/>
  <c r="K91" i="46"/>
  <c r="AA91" i="46"/>
  <c r="D91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8" i="46"/>
  <c r="Z88" i="46"/>
  <c r="Y88" i="46"/>
  <c r="O88" i="46" s="1"/>
  <c r="T88" i="46"/>
  <c r="M88" i="46"/>
  <c r="L88" i="46"/>
  <c r="K88" i="46"/>
  <c r="D88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5" i="46"/>
  <c r="Z115" i="46"/>
  <c r="Y115" i="46"/>
  <c r="O115" i="46" s="1"/>
  <c r="T115" i="46"/>
  <c r="K115" i="46"/>
  <c r="D115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2" i="46"/>
  <c r="L82" i="46"/>
  <c r="K82" i="46"/>
  <c r="M87" i="46"/>
  <c r="L87" i="46"/>
  <c r="K87" i="46"/>
  <c r="M86" i="46"/>
  <c r="L86" i="46"/>
  <c r="K86" i="46"/>
  <c r="M85" i="46"/>
  <c r="L85" i="46"/>
  <c r="K85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Z87" i="46"/>
  <c r="Y87" i="46"/>
  <c r="O87" i="46" s="1"/>
  <c r="T87" i="46"/>
  <c r="G87" i="46"/>
  <c r="AA87" i="46" s="1"/>
  <c r="D87" i="46"/>
  <c r="Q340" i="49" l="1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89" i="46"/>
  <c r="X89" i="46" s="1"/>
  <c r="Q335" i="49"/>
  <c r="X335" i="49" s="1"/>
  <c r="Q72" i="48"/>
  <c r="X72" i="48" s="1"/>
  <c r="Q74" i="48"/>
  <c r="X74" i="48" s="1"/>
  <c r="Q338" i="49"/>
  <c r="X338" i="49" s="1"/>
  <c r="Q90" i="46"/>
  <c r="X90" i="46" s="1"/>
  <c r="Q71" i="48"/>
  <c r="X71" i="48" s="1"/>
  <c r="Q73" i="48"/>
  <c r="X73" i="48" s="1"/>
  <c r="Q92" i="46"/>
  <c r="X92" i="46" s="1"/>
  <c r="Q91" i="46"/>
  <c r="X91" i="46" s="1"/>
  <c r="Q339" i="49"/>
  <c r="X339" i="49" s="1"/>
  <c r="Q337" i="49"/>
  <c r="X337" i="49" s="1"/>
  <c r="Q336" i="49"/>
  <c r="X336" i="49" s="1"/>
  <c r="Q115" i="46"/>
  <c r="X115" i="46" s="1"/>
  <c r="Q88" i="46"/>
  <c r="X88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5" i="46"/>
  <c r="X85" i="46" s="1"/>
  <c r="Q86" i="46"/>
  <c r="X86" i="46" s="1"/>
  <c r="Q87" i="46"/>
  <c r="X87" i="46" s="1"/>
  <c r="X68" i="46" l="1"/>
  <c r="K63" i="46"/>
  <c r="AA116" i="46"/>
  <c r="Z116" i="46"/>
  <c r="Y116" i="46"/>
  <c r="O116" i="46" s="1"/>
  <c r="T116" i="46"/>
  <c r="K116" i="46"/>
  <c r="D116" i="46"/>
  <c r="Q116" i="46" l="1"/>
  <c r="X11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4" i="49"/>
  <c r="AA350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3" i="46"/>
  <c r="Z83" i="46"/>
  <c r="Y83" i="46"/>
  <c r="O83" i="46" s="1"/>
  <c r="T83" i="46"/>
  <c r="M83" i="46"/>
  <c r="L83" i="46"/>
  <c r="K83" i="46"/>
  <c r="D83" i="46"/>
  <c r="D84" i="46"/>
  <c r="G84" i="46"/>
  <c r="AA84" i="46" s="1"/>
  <c r="K84" i="46"/>
  <c r="L84" i="46"/>
  <c r="M84" i="46"/>
  <c r="T84" i="46"/>
  <c r="Y84" i="46"/>
  <c r="O84" i="46" s="1"/>
  <c r="Z84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3" i="46"/>
  <c r="X83" i="46" s="1"/>
  <c r="Q332" i="49"/>
  <c r="X332" i="49" s="1"/>
  <c r="Q59" i="48"/>
  <c r="X59" i="48" s="1"/>
  <c r="Q84" i="46"/>
  <c r="X84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2" i="46"/>
  <c r="Y82" i="46"/>
  <c r="O82" i="46" s="1"/>
  <c r="T82" i="46"/>
  <c r="G82" i="46"/>
  <c r="AA82" i="46" s="1"/>
  <c r="D82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2" i="46" l="1"/>
  <c r="X82" i="46" s="1"/>
  <c r="Q58" i="48"/>
  <c r="X58" i="48" s="1"/>
  <c r="Q57" i="48"/>
  <c r="X57" i="48" s="1"/>
  <c r="K108" i="46" l="1"/>
  <c r="K109" i="46"/>
  <c r="K110" i="46"/>
  <c r="K111" i="46"/>
  <c r="K112" i="46"/>
  <c r="K113" i="46"/>
  <c r="K114" i="46"/>
  <c r="AA114" i="46"/>
  <c r="Z114" i="46"/>
  <c r="Y114" i="46"/>
  <c r="O114" i="46" s="1"/>
  <c r="T114" i="46"/>
  <c r="D114" i="46"/>
  <c r="Q114" i="46" l="1"/>
  <c r="X114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7" i="46"/>
  <c r="Z77" i="46"/>
  <c r="Y77" i="46"/>
  <c r="O77" i="46" s="1"/>
  <c r="T77" i="46"/>
  <c r="M77" i="46"/>
  <c r="L77" i="46"/>
  <c r="K77" i="46"/>
  <c r="D77" i="46"/>
  <c r="Q77" i="46" l="1"/>
  <c r="X77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0" i="46"/>
  <c r="Y110" i="46"/>
  <c r="O110" i="46" s="1"/>
  <c r="T110" i="46"/>
  <c r="AA110" i="46"/>
  <c r="D110" i="46"/>
  <c r="Z109" i="46"/>
  <c r="Y109" i="46"/>
  <c r="O109" i="46" s="1"/>
  <c r="D109" i="46"/>
  <c r="Z108" i="46"/>
  <c r="Y108" i="46"/>
  <c r="O108" i="46" s="1"/>
  <c r="G108" i="46"/>
  <c r="AA108" i="46" s="1"/>
  <c r="D108" i="46"/>
  <c r="Z107" i="46"/>
  <c r="Y107" i="46"/>
  <c r="O107" i="46" s="1"/>
  <c r="K107" i="46"/>
  <c r="G107" i="46"/>
  <c r="H107" i="46" s="1"/>
  <c r="D107" i="46"/>
  <c r="Z106" i="46"/>
  <c r="Y106" i="46"/>
  <c r="T106" i="46"/>
  <c r="Q106" i="46"/>
  <c r="O106" i="46"/>
  <c r="K106" i="46"/>
  <c r="G106" i="46"/>
  <c r="AA106" i="46" s="1"/>
  <c r="D106" i="46"/>
  <c r="Z79" i="46"/>
  <c r="Y79" i="46"/>
  <c r="O79" i="46" s="1"/>
  <c r="T79" i="46"/>
  <c r="M79" i="46"/>
  <c r="L79" i="46"/>
  <c r="K79" i="46"/>
  <c r="G79" i="46"/>
  <c r="AA79" i="46" s="1"/>
  <c r="D79" i="46"/>
  <c r="Z78" i="46"/>
  <c r="Y78" i="46"/>
  <c r="O78" i="46" s="1"/>
  <c r="T78" i="46"/>
  <c r="M78" i="46"/>
  <c r="L78" i="46"/>
  <c r="K78" i="46"/>
  <c r="G78" i="46"/>
  <c r="AA78" i="46" s="1"/>
  <c r="D78" i="46"/>
  <c r="Z80" i="46"/>
  <c r="Y80" i="46"/>
  <c r="O80" i="46" s="1"/>
  <c r="T80" i="46"/>
  <c r="M80" i="46"/>
  <c r="L80" i="46"/>
  <c r="K80" i="46"/>
  <c r="G80" i="46"/>
  <c r="AA80" i="46" s="1"/>
  <c r="D80" i="46"/>
  <c r="Z286" i="49"/>
  <c r="Y286" i="49"/>
  <c r="U286" i="49"/>
  <c r="T286" i="49"/>
  <c r="Q286" i="49"/>
  <c r="O286" i="49"/>
  <c r="K286" i="49"/>
  <c r="G286" i="49"/>
  <c r="AA286" i="49" s="1"/>
  <c r="D286" i="49"/>
  <c r="P106" i="46" l="1"/>
  <c r="T108" i="46"/>
  <c r="P107" i="46"/>
  <c r="R125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6" i="46"/>
  <c r="Q110" i="46"/>
  <c r="AA109" i="46"/>
  <c r="T109" i="46"/>
  <c r="Q109" i="46" s="1"/>
  <c r="Q80" i="46"/>
  <c r="X80" i="46" s="1"/>
  <c r="AA107" i="46"/>
  <c r="Q108" i="46"/>
  <c r="T107" i="46"/>
  <c r="Q107" i="46" s="1"/>
  <c r="H108" i="46"/>
  <c r="P108" i="46" s="1"/>
  <c r="Q79" i="46"/>
  <c r="X79" i="46" s="1"/>
  <c r="Q78" i="46"/>
  <c r="X78" i="46" s="1"/>
  <c r="P286" i="49"/>
  <c r="X286" i="49" s="1"/>
  <c r="X108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0" i="46"/>
  <c r="X109" i="46"/>
  <c r="X107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5" i="49"/>
  <c r="Y345" i="49"/>
  <c r="O345" i="49" s="1"/>
  <c r="U345" i="49"/>
  <c r="R345" i="49"/>
  <c r="K345" i="49"/>
  <c r="G345" i="49"/>
  <c r="D345" i="49"/>
  <c r="Z344" i="49"/>
  <c r="Y344" i="49"/>
  <c r="U344" i="49"/>
  <c r="T344" i="49"/>
  <c r="Q344" i="49"/>
  <c r="O344" i="49"/>
  <c r="K344" i="49"/>
  <c r="G344" i="49"/>
  <c r="AA344" i="49" s="1"/>
  <c r="D344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1" i="46"/>
  <c r="Y81" i="46"/>
  <c r="O81" i="46" s="1"/>
  <c r="T81" i="46"/>
  <c r="M81" i="46"/>
  <c r="L81" i="46"/>
  <c r="K81" i="46"/>
  <c r="G81" i="46"/>
  <c r="AA81" i="46" s="1"/>
  <c r="D81" i="46"/>
  <c r="AA22" i="48"/>
  <c r="P298" i="49" l="1"/>
  <c r="P290" i="49"/>
  <c r="H345" i="49"/>
  <c r="AA345" i="49"/>
  <c r="AA353" i="49"/>
  <c r="T345" i="49"/>
  <c r="Q345" i="49" s="1"/>
  <c r="Q353" i="49" s="1"/>
  <c r="R353" i="49"/>
  <c r="O353" i="49"/>
  <c r="H344" i="49"/>
  <c r="H353" i="49" s="1"/>
  <c r="G353" i="49"/>
  <c r="P20" i="48"/>
  <c r="O351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5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1" i="46"/>
  <c r="X81" i="46" s="1"/>
  <c r="P344" i="49" l="1"/>
  <c r="X344" i="49" s="1"/>
  <c r="Q351" i="49"/>
  <c r="X186" i="49"/>
  <c r="X352" i="49"/>
  <c r="P353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5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4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6" i="46"/>
  <c r="Z76" i="46"/>
  <c r="Y76" i="46"/>
  <c r="O76" i="46" s="1"/>
  <c r="T76" i="46"/>
  <c r="M76" i="46"/>
  <c r="L76" i="46"/>
  <c r="K76" i="46"/>
  <c r="D76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6" i="46"/>
  <c r="X76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5" i="46"/>
  <c r="Z75" i="46"/>
  <c r="Y75" i="46"/>
  <c r="O75" i="46" s="1"/>
  <c r="T75" i="46"/>
  <c r="M75" i="46"/>
  <c r="L75" i="46"/>
  <c r="K75" i="46"/>
  <c r="D75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6" i="48"/>
  <c r="E106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1" i="46"/>
  <c r="H100" i="46"/>
  <c r="H99" i="46"/>
  <c r="H98" i="46"/>
  <c r="H97" i="46"/>
  <c r="H96" i="46"/>
  <c r="N96" i="46"/>
  <c r="N97" i="46"/>
  <c r="N98" i="46"/>
  <c r="N99" i="46"/>
  <c r="N100" i="46"/>
  <c r="N101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5" i="46"/>
  <c r="X75" i="46" s="1"/>
  <c r="X37" i="48"/>
  <c r="T107" i="34"/>
  <c r="P107" i="34" s="1"/>
  <c r="X107" i="34" s="1"/>
  <c r="G106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4" i="46"/>
  <c r="Z74" i="46"/>
  <c r="Y74" i="46"/>
  <c r="O74" i="46" s="1"/>
  <c r="T74" i="46"/>
  <c r="M74" i="46"/>
  <c r="L74" i="46"/>
  <c r="K74" i="46"/>
  <c r="D74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52" i="49"/>
  <c r="H351" i="49"/>
  <c r="W355" i="49"/>
  <c r="V355" i="49"/>
  <c r="U355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4" i="46"/>
  <c r="X74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52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81" i="48"/>
  <c r="G73" i="46"/>
  <c r="Z73" i="46"/>
  <c r="Y73" i="46"/>
  <c r="O73" i="46" s="1"/>
  <c r="T73" i="46"/>
  <c r="M73" i="46"/>
  <c r="L73" i="46"/>
  <c r="K73" i="46"/>
  <c r="D73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51" i="49"/>
  <c r="AA73" i="46"/>
  <c r="AA186" i="49"/>
  <c r="AA352" i="49" s="1"/>
  <c r="G352" i="49"/>
  <c r="O352" i="49"/>
  <c r="R351" i="49"/>
  <c r="G351" i="49"/>
  <c r="AA104" i="49"/>
  <c r="AA39" i="49"/>
  <c r="AA124" i="49"/>
  <c r="AA192" i="49"/>
  <c r="Q34" i="48"/>
  <c r="X34" i="48" s="1"/>
  <c r="Q40" i="46"/>
  <c r="Q73" i="46"/>
  <c r="X73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3" i="48"/>
  <c r="Z94" i="48"/>
  <c r="Z113" i="46"/>
  <c r="Z104" i="46"/>
  <c r="Z105" i="46"/>
  <c r="Z111" i="46"/>
  <c r="Z112" i="46"/>
  <c r="Y93" i="48"/>
  <c r="O93" i="48" s="1"/>
  <c r="Y94" i="48"/>
  <c r="O94" i="48" s="1"/>
  <c r="D93" i="48"/>
  <c r="D94" i="48"/>
  <c r="Y113" i="46"/>
  <c r="Y104" i="46"/>
  <c r="Y105" i="46"/>
  <c r="O105" i="46" s="1"/>
  <c r="Y111" i="46"/>
  <c r="Y112" i="46"/>
  <c r="D113" i="46"/>
  <c r="D104" i="46"/>
  <c r="D105" i="46"/>
  <c r="D111" i="46"/>
  <c r="D112" i="46"/>
  <c r="T105" i="46"/>
  <c r="K105" i="46"/>
  <c r="G105" i="46"/>
  <c r="AA105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5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6" i="48"/>
  <c r="N97" i="48" s="1"/>
  <c r="M96" i="48"/>
  <c r="M97" i="48" s="1"/>
  <c r="L96" i="48"/>
  <c r="L97" i="48" s="1"/>
  <c r="U93" i="48"/>
  <c r="T93" i="48"/>
  <c r="K93" i="48"/>
  <c r="G93" i="48"/>
  <c r="H93" i="48" s="1"/>
  <c r="U94" i="48"/>
  <c r="R94" i="48"/>
  <c r="K94" i="48"/>
  <c r="G94" i="48"/>
  <c r="A92" i="48"/>
  <c r="AA89" i="48"/>
  <c r="X89" i="48"/>
  <c r="R89" i="48"/>
  <c r="Q89" i="48"/>
  <c r="P89" i="48"/>
  <c r="O89" i="48"/>
  <c r="H89" i="48"/>
  <c r="G89" i="48"/>
  <c r="H88" i="48"/>
  <c r="R87" i="48"/>
  <c r="H87" i="48"/>
  <c r="H86" i="48"/>
  <c r="R85" i="48"/>
  <c r="N82" i="48"/>
  <c r="N81" i="48"/>
  <c r="H80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7" i="48"/>
  <c r="Q87" i="48"/>
  <c r="O87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5" i="46" l="1"/>
  <c r="P61" i="46"/>
  <c r="P58" i="46"/>
  <c r="P59" i="46"/>
  <c r="P60" i="46"/>
  <c r="R100" i="46"/>
  <c r="P62" i="46"/>
  <c r="AA351" i="49"/>
  <c r="Y351" i="49" s="1"/>
  <c r="G80" i="48"/>
  <c r="AA2" i="48"/>
  <c r="AA88" i="48" s="1"/>
  <c r="G81" i="48"/>
  <c r="G82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3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81" i="48"/>
  <c r="P5" i="48"/>
  <c r="X5" i="48" s="1"/>
  <c r="R99" i="46"/>
  <c r="R355" i="49"/>
  <c r="G355" i="49"/>
  <c r="X351" i="49"/>
  <c r="P352" i="49"/>
  <c r="Q352" i="49"/>
  <c r="H355" i="49"/>
  <c r="P68" i="45"/>
  <c r="Q4" i="48"/>
  <c r="O81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5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6" i="48"/>
  <c r="K97" i="48" s="1"/>
  <c r="G96" i="48"/>
  <c r="G97" i="48" s="1"/>
  <c r="Q93" i="48"/>
  <c r="Y89" i="48"/>
  <c r="Q29" i="48"/>
  <c r="H85" i="48"/>
  <c r="O88" i="48"/>
  <c r="R82" i="48"/>
  <c r="M82" i="48"/>
  <c r="G86" i="48"/>
  <c r="M81" i="48"/>
  <c r="K81" i="48"/>
  <c r="AA29" i="48"/>
  <c r="P85" i="48"/>
  <c r="L81" i="48"/>
  <c r="R80" i="48"/>
  <c r="H82" i="48"/>
  <c r="O96" i="48"/>
  <c r="O97" i="48" s="1"/>
  <c r="O86" i="48"/>
  <c r="X85" i="48"/>
  <c r="O82" i="48"/>
  <c r="P87" i="48"/>
  <c r="Q30" i="48"/>
  <c r="R96" i="48"/>
  <c r="R97" i="48" s="1"/>
  <c r="X87" i="48"/>
  <c r="AA87" i="48"/>
  <c r="R86" i="48"/>
  <c r="K82" i="48"/>
  <c r="AA85" i="48"/>
  <c r="P29" i="48"/>
  <c r="L82" i="48"/>
  <c r="G85" i="48"/>
  <c r="G88" i="48"/>
  <c r="O85" i="48"/>
  <c r="H94" i="48"/>
  <c r="H96" i="48" s="1"/>
  <c r="H97" i="48" s="1"/>
  <c r="Q85" i="48"/>
  <c r="O80" i="48"/>
  <c r="AA30" i="48"/>
  <c r="R88" i="48"/>
  <c r="T94" i="48"/>
  <c r="Q94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0" i="48" l="1"/>
  <c r="Y352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3" i="48"/>
  <c r="X105" i="46"/>
  <c r="X39" i="46"/>
  <c r="X37" i="46"/>
  <c r="X38" i="46"/>
  <c r="X36" i="46"/>
  <c r="P39" i="45"/>
  <c r="X39" i="45" s="1"/>
  <c r="P38" i="45"/>
  <c r="X38" i="45" s="1"/>
  <c r="P81" i="48"/>
  <c r="Q81" i="48"/>
  <c r="X62" i="46"/>
  <c r="X4" i="48"/>
  <c r="X68" i="45"/>
  <c r="Q355" i="49"/>
  <c r="X353" i="49"/>
  <c r="Y353" i="49"/>
  <c r="Z352" i="49"/>
  <c r="X20" i="46"/>
  <c r="P88" i="48"/>
  <c r="X23" i="46"/>
  <c r="X18" i="46"/>
  <c r="X21" i="46"/>
  <c r="X16" i="46"/>
  <c r="K10" i="47"/>
  <c r="X17" i="46"/>
  <c r="X69" i="45"/>
  <c r="X3" i="48"/>
  <c r="AA81" i="48"/>
  <c r="X59" i="40"/>
  <c r="X22" i="46"/>
  <c r="Q88" i="48"/>
  <c r="X19" i="46"/>
  <c r="X30" i="48"/>
  <c r="X2" i="48"/>
  <c r="F9" i="18"/>
  <c r="P94" i="48"/>
  <c r="P96" i="48" s="1"/>
  <c r="Q82" i="48"/>
  <c r="Q96" i="48"/>
  <c r="Q97" i="48" s="1"/>
  <c r="AA80" i="48"/>
  <c r="AA82" i="48" s="1"/>
  <c r="X29" i="48"/>
  <c r="P80" i="48"/>
  <c r="AA86" i="48"/>
  <c r="Q86" i="48"/>
  <c r="X88" i="48"/>
  <c r="Y85" i="48"/>
  <c r="P86" i="48"/>
  <c r="X86" i="48"/>
  <c r="Y87" i="48"/>
  <c r="P82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8" i="48"/>
  <c r="Z351" i="49"/>
  <c r="Z353" i="49"/>
  <c r="P355" i="49"/>
  <c r="X355" i="49" s="1"/>
  <c r="K11" i="47"/>
  <c r="C9" i="18"/>
  <c r="G9" i="18" s="1"/>
  <c r="X94" i="48"/>
  <c r="Z87" i="48"/>
  <c r="X81" i="48"/>
  <c r="Z88" i="48"/>
  <c r="Z86" i="48"/>
  <c r="Z89" i="48"/>
  <c r="Z85" i="48"/>
  <c r="Z82" i="48"/>
  <c r="X82" i="48"/>
  <c r="Z80" i="48"/>
  <c r="X80" i="48"/>
  <c r="Z81" i="48"/>
  <c r="Y86" i="48"/>
  <c r="P97" i="48"/>
  <c r="X97" i="48" s="1"/>
  <c r="X96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4" i="46"/>
  <c r="Q104" i="46"/>
  <c r="O104" i="46"/>
  <c r="K104" i="46"/>
  <c r="G104" i="46"/>
  <c r="AA104" i="46" l="1"/>
  <c r="G125" i="46"/>
  <c r="D318" i="50"/>
  <c r="D319" i="50" s="1"/>
  <c r="D320" i="50" s="1"/>
  <c r="D321" i="50" s="1"/>
  <c r="D322" i="50" s="1"/>
  <c r="X36" i="45"/>
  <c r="K14" i="47"/>
  <c r="H104" i="46"/>
  <c r="P104" i="46" l="1"/>
  <c r="H12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4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7" i="46"/>
  <c r="V127" i="46"/>
  <c r="U12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3" i="46"/>
  <c r="T113" i="46"/>
  <c r="AA11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3" i="46"/>
  <c r="D415" i="50" l="1"/>
  <c r="D416" i="50" s="1"/>
  <c r="D417" i="50" s="1"/>
  <c r="D418" i="50" s="1"/>
  <c r="K27" i="47"/>
  <c r="AA12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3" i="46"/>
  <c r="H12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2" i="46"/>
  <c r="T112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18" i="46"/>
  <c r="R119" i="46" s="1"/>
  <c r="N118" i="46"/>
  <c r="N119" i="46" s="1"/>
  <c r="M118" i="46"/>
  <c r="M119" i="46" s="1"/>
  <c r="L118" i="46"/>
  <c r="L119" i="46" s="1"/>
  <c r="O111" i="46"/>
  <c r="T111" i="46"/>
  <c r="AA111" i="46"/>
  <c r="A103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96" i="46"/>
  <c r="L24" i="46"/>
  <c r="L96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0" i="46" l="1"/>
  <c r="G100" i="46"/>
  <c r="K100" i="46"/>
  <c r="M100" i="46"/>
  <c r="O100" i="46"/>
  <c r="M99" i="46"/>
  <c r="O125" i="46"/>
  <c r="P48" i="46"/>
  <c r="D431" i="50"/>
  <c r="D432" i="50" s="1"/>
  <c r="D433" i="50" s="1"/>
  <c r="D434" i="50" s="1"/>
  <c r="O97" i="46"/>
  <c r="O98" i="46"/>
  <c r="AA71" i="46"/>
  <c r="G99" i="46"/>
  <c r="P47" i="46"/>
  <c r="P46" i="46"/>
  <c r="P49" i="46"/>
  <c r="P52" i="46"/>
  <c r="P44" i="46"/>
  <c r="P45" i="46"/>
  <c r="P26" i="46"/>
  <c r="G96" i="46"/>
  <c r="L97" i="46"/>
  <c r="P27" i="46"/>
  <c r="K96" i="46"/>
  <c r="O99" i="46"/>
  <c r="O96" i="46"/>
  <c r="K98" i="46"/>
  <c r="L98" i="46"/>
  <c r="M98" i="46"/>
  <c r="M97" i="46"/>
  <c r="M101" i="46"/>
  <c r="G101" i="46"/>
  <c r="G97" i="46"/>
  <c r="P11" i="46"/>
  <c r="K99" i="46"/>
  <c r="O101" i="46"/>
  <c r="K101" i="46"/>
  <c r="K97" i="46"/>
  <c r="L101" i="46"/>
  <c r="L99" i="46"/>
  <c r="G98" i="46"/>
  <c r="R96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3" i="46"/>
  <c r="G95" i="46"/>
  <c r="T7" i="46"/>
  <c r="P7" i="46" s="1"/>
  <c r="R98" i="46"/>
  <c r="O95" i="46"/>
  <c r="AA7" i="46"/>
  <c r="T5" i="46"/>
  <c r="P5" i="46" s="1"/>
  <c r="R97" i="46"/>
  <c r="T3" i="46"/>
  <c r="P3" i="46" s="1"/>
  <c r="R101" i="46"/>
  <c r="AA24" i="46"/>
  <c r="T24" i="46"/>
  <c r="Q24" i="46" s="1"/>
  <c r="R95" i="46"/>
  <c r="Q7" i="46"/>
  <c r="AA5" i="46"/>
  <c r="AA3" i="46"/>
  <c r="AA2" i="46"/>
  <c r="D25" i="47"/>
  <c r="D26" i="47" s="1"/>
  <c r="R123" i="46"/>
  <c r="O124" i="46"/>
  <c r="R124" i="46"/>
  <c r="G124" i="46"/>
  <c r="G123" i="46"/>
  <c r="AA12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0" i="46" s="1"/>
  <c r="P25" i="46"/>
  <c r="AA112" i="46"/>
  <c r="AA125" i="46" s="1"/>
  <c r="Q112" i="46"/>
  <c r="X112" i="46" s="1"/>
  <c r="G118" i="46"/>
  <c r="G119" i="46" s="1"/>
  <c r="P8" i="46"/>
  <c r="P4" i="46"/>
  <c r="Q4" i="46"/>
  <c r="Q6" i="46"/>
  <c r="Q8" i="46"/>
  <c r="K118" i="46"/>
  <c r="K119" i="46" s="1"/>
  <c r="Q5" i="46"/>
  <c r="Q2" i="46"/>
  <c r="Q111" i="46"/>
  <c r="Q125" i="46" s="1"/>
  <c r="O118" i="46"/>
  <c r="O119" i="46" s="1"/>
  <c r="P6" i="46"/>
  <c r="Q3" i="46"/>
  <c r="Q100" i="46" l="1"/>
  <c r="X48" i="46"/>
  <c r="Q101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9" i="46"/>
  <c r="X45" i="46"/>
  <c r="P24" i="46"/>
  <c r="P96" i="46" s="1"/>
  <c r="P98" i="46"/>
  <c r="Q98" i="46"/>
  <c r="Q99" i="46"/>
  <c r="P97" i="46"/>
  <c r="AA95" i="46"/>
  <c r="AA100" i="46"/>
  <c r="Q96" i="46"/>
  <c r="K31" i="47"/>
  <c r="AA96" i="46"/>
  <c r="Q97" i="46"/>
  <c r="AA99" i="46"/>
  <c r="AA123" i="46"/>
  <c r="P95" i="46"/>
  <c r="Q95" i="46"/>
  <c r="G132" i="47"/>
  <c r="G133" i="47" s="1"/>
  <c r="G134" i="47" s="1"/>
  <c r="G135" i="47" s="1"/>
  <c r="G136" i="47" s="1"/>
  <c r="X11" i="46"/>
  <c r="AA101" i="46"/>
  <c r="AA97" i="46"/>
  <c r="AA98" i="46"/>
  <c r="R127" i="46"/>
  <c r="P12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4" i="46"/>
  <c r="X46" i="46"/>
  <c r="Q123" i="46"/>
  <c r="X123" i="46"/>
  <c r="X2" i="46"/>
  <c r="X71" i="46"/>
  <c r="Q118" i="46"/>
  <c r="Q119" i="46" s="1"/>
  <c r="X25" i="46"/>
  <c r="X6" i="46"/>
  <c r="X8" i="46"/>
  <c r="X4" i="46"/>
  <c r="X5" i="46"/>
  <c r="X7" i="46"/>
  <c r="H118" i="46"/>
  <c r="H119" i="46" s="1"/>
  <c r="P12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1" i="46"/>
  <c r="X101" i="46" s="1"/>
  <c r="X99" i="46"/>
  <c r="X96" i="46"/>
  <c r="K32" i="47"/>
  <c r="Z96" i="46"/>
  <c r="Z99" i="46"/>
  <c r="Z97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7" i="46"/>
  <c r="G127" i="46"/>
  <c r="Y123" i="46"/>
  <c r="X100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0" i="46"/>
  <c r="Z98" i="46"/>
  <c r="Q124" i="46"/>
  <c r="X98" i="46"/>
  <c r="Z95" i="46"/>
  <c r="X95" i="46"/>
  <c r="X111" i="46"/>
  <c r="P11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1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L309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7" i="46"/>
  <c r="H127" i="46"/>
  <c r="P119" i="46"/>
  <c r="X119" i="46" s="1"/>
  <c r="X118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5" i="46"/>
  <c r="Y125" i="46"/>
  <c r="Z124" i="46"/>
  <c r="X124" i="46"/>
  <c r="P124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4" i="46"/>
  <c r="P127" i="46"/>
  <c r="X127" i="46" s="1"/>
  <c r="Z123" i="46"/>
  <c r="Z12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469" i="50"/>
  <c r="K41" i="47"/>
  <c r="Z18" i="40"/>
  <c r="Y18" i="40"/>
  <c r="O18" i="40" s="1"/>
  <c r="Q18" i="40" s="1"/>
  <c r="U18" i="40"/>
  <c r="G18" i="40"/>
  <c r="AA18" i="40" s="1"/>
  <c r="D18" i="40"/>
  <c r="D307" i="47" l="1"/>
  <c r="D308" i="47" s="1"/>
  <c r="D309" i="47" s="1"/>
  <c r="D312" i="47" s="1"/>
  <c r="G307" i="47"/>
  <c r="G308" i="47" s="1"/>
  <c r="G309" i="47" s="1"/>
  <c r="G312" i="47" s="1"/>
  <c r="O126" i="46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2" i="46"/>
  <c r="O12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47" i="50" l="1"/>
  <c r="D648" i="50" s="1"/>
  <c r="D649" i="50" s="1"/>
  <c r="D650" i="50" s="1"/>
  <c r="D651" i="50" s="1"/>
  <c r="D652" i="50" s="1"/>
  <c r="D655" i="50" s="1"/>
  <c r="O350" i="49" s="1"/>
  <c r="O355" i="49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8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0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20250716 5760</t>
        </r>
      </text>
    </comment>
    <comment ref="R86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07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08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09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  <comment ref="R110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1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<sst xmlns="http://schemas.openxmlformats.org/spreadsheetml/2006/main" count="14176" uniqueCount="6974">
  <si>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</si>
  <si>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</si>
  <si>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</si>
  <si>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</si>
  <si>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</si>
  <si>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</si>
  <si>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</si>
  <si>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</si>
  <si>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</si>
  <si>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</si>
  <si>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</si>
  <si>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</si>
  <si>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</si>
  <si>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</si>
  <si>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</si>
  <si>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</si>
  <si>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</si>
  <si>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</si>
  <si>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</si>
  <si>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</si>
  <si>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</si>
  <si>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</si>
  <si>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</si>
  <si>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</si>
  <si>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</si>
  <si>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</si>
  <si>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</si>
  <si>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</si>
  <si>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</si>
  <si>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</si>
  <si>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</si>
  <si>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</si>
  <si>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</si>
  <si>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</si>
  <si>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</si>
  <si>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</si>
  <si>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</si>
  <si>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</si>
  <si>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</si>
  <si>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</si>
  <si>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</si>
  <si>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</si>
  <si>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</si>
  <si>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</si>
  <si>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</si>
  <si>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</si>
  <si>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</si>
  <si>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</si>
  <si>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</si>
  <si>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</si>
  <si>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</si>
  <si>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</si>
  <si>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</si>
  <si>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</si>
  <si>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</si>
  <si>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</si>
  <si>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</si>
  <si>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</si>
  <si>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</si>
  <si>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</si>
  <si>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</si>
  <si>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</si>
  <si>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</si>
  <si>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</si>
  <si>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</si>
  <si>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</si>
  <si>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</si>
  <si>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</si>
  <si>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</si>
  <si>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</si>
  <si>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</si>
  <si>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</si>
  <si>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</si>
  <si>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</si>
  <si>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</si>
  <si>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</si>
  <si>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</si>
  <si>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</si>
  <si>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</si>
  <si>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</si>
  <si>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</si>
  <si>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</si>
  <si>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</si>
  <si>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</si>
  <si>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</si>
  <si>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</si>
  <si>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</si>
  <si>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</si>
  <si>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</si>
  <si>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</si>
  <si>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</si>
  <si>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</si>
  <si>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</si>
  <si>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</si>
  <si>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</si>
  <si>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</si>
  <si>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</si>
  <si>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</si>
  <si>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</si>
  <si>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</si>
  <si>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</si>
  <si>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</si>
  <si>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</si>
  <si>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</si>
  <si>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</si>
  <si>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</si>
  <si>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</si>
  <si>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</si>
  <si>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</si>
  <si>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</si>
  <si>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</si>
  <si>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</si>
  <si>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</si>
  <si>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</si>
  <si>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</si>
  <si>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</si>
  <si>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</si>
  <si>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</si>
  <si>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</si>
  <si>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</si>
  <si>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</si>
  <si>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</si>
  <si>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</si>
  <si>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</si>
  <si>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</si>
  <si>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</si>
  <si>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</si>
  <si>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</si>
  <si>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</si>
  <si>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</si>
  <si>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</si>
  <si>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</si>
  <si>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</si>
  <si>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</si>
  <si>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</si>
  <si>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</si>
  <si>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</si>
  <si>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</si>
  <si>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</si>
  <si>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</si>
  <si>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</si>
  <si>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</si>
  <si>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</si>
  <si>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</si>
  <si>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</si>
  <si>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</si>
  <si>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</si>
  <si>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</si>
  <si>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</si>
  <si>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</si>
  <si>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</si>
  <si>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</si>
  <si>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</si>
  <si>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</si>
  <si>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</si>
  <si>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</si>
  <si>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</si>
  <si>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</si>
  <si>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</si>
  <si>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</si>
  <si>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</si>
  <si>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</si>
  <si>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</si>
  <si>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</si>
  <si>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</si>
  <si>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</si>
  <si>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</si>
  <si>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</si>
  <si>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</si>
  <si>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</si>
  <si>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</si>
  <si>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</si>
  <si>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</si>
  <si>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</si>
  <si>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</si>
  <si>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</si>
  <si>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</si>
  <si>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</si>
  <si>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</si>
  <si>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</si>
  <si>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</si>
  <si>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</si>
  <si>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</si>
  <si>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</si>
  <si>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</si>
  <si>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</si>
  <si>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</si>
  <si>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</si>
  <si>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</si>
  <si>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</si>
  <si>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</si>
  <si>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</si>
  <si>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</si>
  <si>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</si>
  <si>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</si>
  <si>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</si>
  <si>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</si>
  <si>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</si>
  <si>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</si>
  <si>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</si>
  <si>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</si>
  <si>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</si>
  <si>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</si>
  <si>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</si>
  <si>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</si>
  <si>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</si>
  <si>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</si>
  <si>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</si>
  <si>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</si>
  <si>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</si>
  <si>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</si>
  <si>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</si>
  <si>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</si>
  <si>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</si>
  <si>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</si>
  <si>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</si>
  <si>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</si>
  <si>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</si>
  <si>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</si>
  <si>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</si>
  <si>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</si>
  <si>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</si>
  <si>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</si>
  <si>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</si>
  <si>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</si>
  <si>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</si>
  <si>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</si>
  <si>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</si>
  <si>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</si>
  <si>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</si>
  <si>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</si>
  <si>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</si>
  <si>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</si>
  <si>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</si>
  <si>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</si>
  <si>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</si>
  <si>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</si>
  <si>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</si>
  <si>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</si>
  <si>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</si>
  <si>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</si>
  <si>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</si>
  <si>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</si>
  <si>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</si>
  <si>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</si>
  <si>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</si>
  <si>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</si>
  <si>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</si>
  <si>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</si>
  <si>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</si>
  <si>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</si>
  <si>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</si>
  <si>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</si>
  <si>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</si>
  <si>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</si>
  <si>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</si>
  <si>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</si>
  <si>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</si>
  <si>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</si>
  <si>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</si>
  <si>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</si>
  <si>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</si>
  <si>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</si>
  <si>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</si>
  <si>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</si>
  <si>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</si>
  <si>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</si>
  <si>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</si>
  <si>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</si>
  <si>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</si>
  <si>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</si>
  <si>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</si>
  <si>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</si>
  <si>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</si>
  <si>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</si>
  <si>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</si>
  <si>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</si>
  <si>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</si>
  <si>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</si>
  <si>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</si>
  <si>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</si>
  <si>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</si>
  <si>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</si>
  <si>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</si>
  <si>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</si>
  <si>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</si>
  <si>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</si>
  <si>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</si>
  <si>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</si>
  <si>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</si>
  <si>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</si>
  <si>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</si>
  <si>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</si>
  <si>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</si>
  <si>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</si>
  <si>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</si>
  <si>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</si>
  <si>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</si>
  <si>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</si>
  <si>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</si>
  <si>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</si>
  <si>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</si>
  <si>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</si>
  <si>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</si>
  <si>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</si>
  <si>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</si>
  <si>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</si>
  <si>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</si>
  <si>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</si>
  <si>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</si>
  <si>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</si>
  <si>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</si>
  <si>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</si>
  <si>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</si>
  <si>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</si>
  <si>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</si>
  <si>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</si>
  <si>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</si>
  <si>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</si>
  <si>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</si>
  <si>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</si>
  <si>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</si>
  <si>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</si>
  <si>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</si>
  <si>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</si>
  <si>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</si>
  <si>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</si>
  <si>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</si>
  <si>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</si>
  <si>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</si>
  <si>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</si>
  <si>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</si>
  <si>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</si>
  <si>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</si>
  <si>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</si>
  <si>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</si>
  <si>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</si>
  <si>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</si>
  <si>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</si>
  <si>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</si>
  <si>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</si>
  <si>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</si>
  <si>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</si>
  <si>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</si>
  <si>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</si>
  <si>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</si>
  <si>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</si>
  <si>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</si>
  <si>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</si>
  <si>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</si>
  <si>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</si>
  <si>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</si>
  <si>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</si>
  <si>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</si>
  <si>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</si>
  <si>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</si>
  <si>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</si>
  <si>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</si>
  <si>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</si>
  <si>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</si>
  <si>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</si>
  <si>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</si>
  <si>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</si>
  <si>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</si>
  <si>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</si>
  <si>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</si>
  <si>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</si>
  <si>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</si>
  <si>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</si>
  <si>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</si>
  <si>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</si>
  <si>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</si>
  <si>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</si>
  <si>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</si>
  <si>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</si>
  <si>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</si>
  <si>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</si>
  <si>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</si>
  <si>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</si>
  <si>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</si>
  <si>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</si>
  <si>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</si>
  <si>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</si>
  <si>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</si>
  <si>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</si>
  <si>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</si>
  <si>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</si>
  <si>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</si>
  <si>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</si>
  <si>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</si>
  <si>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</si>
  <si>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</si>
  <si>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</si>
  <si>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</si>
  <si>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</si>
  <si>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</si>
  <si>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</si>
  <si>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</si>
  <si>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</si>
  <si>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</si>
  <si>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</si>
  <si>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</si>
  <si>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</si>
  <si>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</si>
  <si>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</si>
  <si>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</si>
  <si>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</si>
  <si>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</si>
  <si>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</si>
  <si>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</si>
  <si>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</si>
  <si>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</si>
  <si>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</si>
  <si>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</si>
  <si>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</si>
  <si>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</si>
  <si>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</si>
  <si>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</si>
  <si>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</si>
  <si>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</si>
  <si>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</si>
  <si>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</si>
  <si>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</si>
  <si>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</si>
  <si>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</si>
  <si>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</si>
  <si>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</si>
  <si>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</si>
  <si>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</si>
  <si>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</si>
  <si>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</si>
  <si>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</si>
  <si>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</si>
  <si>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</si>
  <si>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</si>
  <si>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</si>
  <si>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</si>
  <si>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</si>
  <si>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</si>
  <si>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</si>
  <si>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</si>
  <si>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</si>
  <si>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</si>
  <si>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</si>
  <si>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</si>
  <si>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</si>
  <si>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</si>
  <si>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</si>
  <si>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</si>
  <si>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</si>
  <si>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</si>
  <si>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</si>
  <si>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</si>
  <si>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</si>
  <si>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</si>
  <si>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</si>
  <si>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</si>
  <si>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</si>
  <si>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</si>
  <si>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</si>
  <si>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</si>
  <si>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</si>
  <si>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</si>
  <si>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</si>
  <si>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</si>
  <si>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</si>
  <si>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</si>
  <si>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</si>
  <si>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</si>
  <si>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</si>
  <si>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</si>
  <si>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</si>
  <si>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</si>
  <si>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</si>
  <si>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</si>
  <si>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</si>
  <si>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</si>
  <si>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</si>
  <si>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</si>
  <si>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</si>
  <si>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</si>
  <si>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</si>
  <si>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</si>
  <si>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</si>
  <si>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</si>
  <si>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</si>
  <si>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</si>
  <si>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</si>
  <si>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</si>
  <si>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</si>
  <si>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</si>
  <si>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</si>
  <si>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</si>
  <si>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</si>
  <si>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</si>
  <si>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</si>
  <si>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</si>
  <si>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</si>
  <si>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</si>
  <si>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</si>
  <si>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</si>
  <si>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</si>
  <si>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</si>
  <si>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</si>
  <si>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</si>
  <si>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</si>
  <si>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</si>
  <si>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</si>
  <si>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</si>
  <si>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</si>
  <si>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</si>
  <si>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</si>
  <si>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</si>
  <si>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</si>
  <si>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</si>
  <si>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</si>
  <si>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</si>
  <si>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</si>
  <si>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</si>
  <si>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</si>
  <si>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</si>
  <si>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</si>
  <si>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</si>
  <si>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</si>
  <si>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</si>
  <si>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</si>
  <si>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</si>
  <si>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</si>
  <si>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</si>
  <si>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</si>
  <si>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</si>
  <si>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</si>
  <si>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</si>
  <si>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</si>
  <si>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</si>
  <si>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</si>
  <si>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</si>
  <si>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</si>
  <si>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</si>
  <si>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</si>
  <si>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</si>
  <si>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</si>
  <si>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</si>
  <si>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</si>
  <si>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</si>
  <si>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</si>
  <si>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</si>
  <si>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</si>
  <si>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</si>
  <si>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</si>
  <si>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</si>
  <si>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</si>
  <si>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</si>
  <si>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</si>
  <si>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</si>
  <si>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</si>
  <si>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</si>
  <si>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</si>
  <si>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</si>
  <si>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</si>
  <si>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</si>
  <si>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</si>
  <si>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</si>
  <si>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</si>
  <si>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</si>
  <si>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</si>
  <si>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</si>
  <si>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</si>
  <si>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</si>
  <si>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</si>
  <si>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</si>
  <si>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</si>
  <si>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</si>
  <si>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</si>
  <si>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</si>
  <si>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</si>
  <si>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</si>
  <si>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</si>
  <si>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</si>
  <si>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</si>
  <si>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</si>
  <si>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</si>
  <si>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</si>
  <si>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</si>
  <si>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</si>
  <si>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</si>
  <si>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</si>
  <si>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</si>
  <si>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</si>
  <si>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</si>
  <si>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</si>
  <si>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</si>
  <si>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</si>
  <si>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</si>
  <si>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</si>
  <si>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</si>
  <si>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</si>
  <si>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</si>
  <si>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</si>
  <si>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</si>
  <si>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</si>
  <si>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</si>
  <si>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</si>
  <si>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</si>
  <si>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</si>
  <si>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</si>
  <si>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</si>
  <si>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</si>
  <si>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</si>
  <si>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</si>
  <si>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</si>
  <si>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</si>
  <si>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</si>
  <si>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</si>
  <si>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</si>
  <si>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</si>
  <si>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</si>
  <si>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</si>
  <si>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</si>
  <si>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</si>
  <si>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</si>
  <si>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</si>
  <si>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</si>
  <si>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</si>
  <si>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</si>
  <si>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</si>
  <si>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</si>
  <si>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</si>
  <si>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</si>
  <si>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</si>
  <si>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</si>
  <si>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</si>
  <si>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</si>
  <si>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</si>
  <si>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</si>
  <si>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</si>
  <si>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</si>
  <si>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</si>
  <si>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</si>
  <si>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</si>
  <si>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</si>
  <si>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</si>
  <si>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</si>
  <si>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</si>
  <si>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</si>
  <si>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</si>
  <si>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</si>
  <si>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</si>
  <si>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</si>
  <si>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</si>
  <si>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</si>
  <si>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</si>
  <si>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</si>
  <si>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</si>
  <si>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</si>
  <si>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</si>
  <si>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</si>
  <si>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</si>
  <si>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</si>
  <si>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</si>
  <si>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</si>
  <si>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</si>
  <si>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</si>
  <si>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</si>
  <si>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</si>
  <si>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</si>
  <si>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</si>
  <si>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</si>
  <si>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</si>
  <si>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</si>
  <si>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</si>
  <si>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</si>
  <si>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</si>
  <si>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</si>
  <si>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</si>
  <si>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</si>
  <si>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</si>
  <si>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</si>
  <si>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</si>
  <si>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</si>
  <si>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</si>
  <si>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</si>
  <si>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</si>
  <si>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</si>
  <si>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</si>
  <si>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</si>
  <si>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</si>
  <si>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</si>
  <si>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</si>
  <si>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</si>
  <si>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</si>
  <si>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</si>
  <si>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</si>
  <si>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</si>
  <si>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</si>
  <si>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</si>
  <si>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</si>
  <si>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</si>
  <si>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</si>
  <si>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</si>
  <si>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</si>
  <si>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</si>
  <si>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</si>
  <si>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</si>
  <si>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</si>
  <si>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</si>
  <si>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</si>
  <si>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</si>
  <si>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</si>
  <si>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</si>
  <si>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</si>
  <si>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</si>
  <si>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</si>
  <si>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</si>
  <si>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</si>
  <si>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</si>
  <si>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</si>
  <si>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</si>
  <si>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</si>
  <si>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</si>
  <si>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</si>
  <si>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</si>
  <si>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</si>
  <si>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</si>
  <si>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</si>
  <si>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</si>
  <si>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</si>
  <si>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</si>
  <si>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</si>
  <si>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</si>
  <si>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</si>
  <si>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</si>
  <si>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</si>
  <si>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</si>
  <si>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</si>
  <si>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</si>
  <si>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</si>
  <si>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</si>
  <si>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</si>
  <si>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</si>
  <si>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</si>
  <si>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</si>
  <si>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</si>
  <si>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</si>
  <si>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</si>
  <si>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</si>
  <si>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</si>
  <si>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</si>
  <si>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</si>
  <si>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</si>
  <si>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</si>
  <si>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</si>
  <si>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</si>
  <si>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</si>
  <si>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</si>
  <si>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</si>
  <si>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</si>
  <si>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</si>
  <si>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</si>
  <si>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</si>
  <si>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</si>
  <si>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</si>
  <si>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</si>
  <si>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</si>
  <si>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</si>
  <si>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</si>
  <si>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</si>
  <si>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</si>
  <si>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</si>
  <si>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</si>
  <si>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</si>
  <si>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</si>
  <si>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</si>
  <si>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</si>
  <si>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</si>
  <si>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</si>
  <si>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</si>
  <si>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</si>
  <si>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</si>
  <si>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</si>
  <si>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</si>
  <si>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</si>
  <si>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</si>
  <si>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</si>
  <si>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</si>
  <si>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</si>
  <si>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</si>
  <si>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</si>
  <si>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</si>
  <si>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</si>
  <si>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</si>
  <si>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</si>
  <si>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</si>
  <si>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</si>
  <si>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</si>
  <si>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</si>
  <si>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</si>
  <si>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</si>
  <si>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</si>
  <si>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</si>
  <si>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</si>
  <si>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</si>
  <si>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</si>
  <si>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</si>
  <si>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</si>
  <si>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</si>
  <si>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</si>
  <si>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</si>
  <si>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</si>
  <si>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</si>
  <si>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</si>
  <si>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</si>
  <si>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</si>
  <si>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</si>
  <si>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</si>
  <si>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</si>
  <si>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</si>
  <si>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</si>
  <si>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</si>
  <si>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</si>
  <si>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</si>
  <si>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</si>
  <si>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</si>
  <si>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</si>
  <si>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</si>
  <si>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</si>
  <si>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</si>
  <si>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</si>
  <si>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</si>
  <si>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</si>
  <si>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</si>
  <si>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</si>
  <si>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</si>
  <si>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</si>
  <si>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</si>
  <si>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</si>
  <si>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</si>
  <si>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</si>
  <si>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</si>
  <si>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</si>
  <si>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</si>
  <si>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</si>
  <si>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</si>
  <si>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</si>
  <si>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</si>
  <si>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</si>
  <si>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</si>
  <si>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</si>
  <si>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</si>
  <si>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</si>
  <si>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</si>
  <si>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</si>
  <si>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</si>
  <si>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</si>
  <si>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</si>
  <si>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</si>
  <si>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</si>
  <si>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</si>
  <si>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</si>
  <si>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</si>
  <si>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</si>
  <si>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</si>
  <si>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</si>
  <si>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</si>
  <si>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</si>
  <si>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</si>
  <si>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</si>
  <si>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</si>
  <si>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</si>
  <si>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</si>
  <si>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</si>
  <si>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</si>
  <si>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</si>
  <si>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</si>
  <si>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</si>
  <si>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</si>
  <si>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</si>
  <si>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</si>
  <si>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</si>
  <si>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</si>
  <si>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</si>
  <si>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</si>
  <si>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</si>
  <si>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</si>
  <si>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</si>
  <si>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</si>
  <si>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</si>
  <si>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</si>
  <si>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</si>
  <si>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</si>
  <si>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</si>
  <si>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</si>
  <si>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</si>
  <si>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</si>
  <si>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</si>
  <si>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</si>
  <si>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</si>
  <si>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</si>
  <si>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</si>
  <si>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</si>
  <si>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</si>
  <si>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</si>
  <si>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</si>
  <si>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</si>
  <si>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</si>
  <si>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</si>
  <si>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</si>
  <si>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</si>
  <si>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</si>
  <si>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</si>
  <si>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</si>
  <si>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</si>
  <si>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</si>
  <si>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</si>
  <si>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</si>
  <si>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</si>
  <si>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</si>
  <si>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</si>
  <si>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</si>
  <si>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</si>
  <si>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</si>
  <si>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</si>
  <si>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</si>
  <si>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</si>
  <si>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</si>
  <si>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</si>
  <si>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</si>
  <si>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</si>
  <si>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</si>
  <si>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</si>
  <si>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</si>
  <si>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</si>
  <si>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</si>
  <si>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</si>
  <si>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</si>
  <si>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</si>
  <si>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</si>
  <si>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</si>
  <si>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</si>
  <si>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</si>
  <si>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</si>
  <si>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</si>
  <si>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</si>
  <si>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</si>
  <si>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</si>
  <si>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</si>
  <si>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</si>
  <si>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</si>
  <si>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</si>
  <si>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</si>
  <si>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</si>
  <si>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</si>
  <si>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</si>
  <si>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</si>
  <si>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</si>
  <si>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</si>
  <si>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</si>
  <si>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</si>
  <si>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</si>
  <si>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</si>
  <si>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</si>
  <si>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</si>
  <si>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</si>
  <si>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</si>
  <si>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</si>
  <si>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</si>
  <si>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</si>
  <si>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</si>
  <si>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</si>
  <si>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</si>
  <si>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</si>
  <si>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</si>
  <si>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</si>
  <si>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</si>
  <si>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</si>
  <si>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</si>
  <si>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</si>
  <si>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</si>
  <si>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</si>
  <si>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</si>
  <si>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</si>
  <si>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</si>
  <si>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</si>
  <si>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</si>
  <si>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</si>
  <si>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</si>
  <si>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</si>
  <si>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</si>
  <si>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</si>
  <si>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</si>
  <si>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</si>
  <si>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</si>
  <si>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</si>
  <si>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</si>
  <si>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</si>
  <si>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</si>
  <si>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</si>
  <si>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</si>
  <si>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</si>
  <si>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</si>
  <si>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</si>
  <si>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</si>
  <si>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</si>
  <si>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</si>
  <si>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</si>
  <si>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</si>
  <si>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</si>
  <si>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</si>
  <si>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</si>
  <si>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</si>
  <si>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</si>
  <si>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</si>
  <si>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</si>
  <si>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</si>
  <si>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</si>
  <si>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</si>
  <si>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</si>
  <si>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</si>
  <si>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</si>
  <si>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</si>
  <si>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</si>
  <si>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</si>
  <si>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</si>
  <si>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</si>
  <si>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</si>
  <si>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</si>
  <si>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</si>
  <si>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</si>
  <si>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</si>
  <si>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</si>
  <si>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</si>
  <si>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</si>
  <si>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</si>
  <si>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</si>
  <si>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</si>
  <si>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</si>
  <si>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</si>
  <si>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</si>
  <si>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</si>
  <si>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</si>
  <si>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</si>
  <si>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</si>
  <si>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</si>
  <si>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</si>
  <si>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</si>
  <si>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</si>
  <si>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</si>
  <si>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</si>
  <si>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</si>
  <si>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</si>
  <si>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</si>
  <si>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</si>
  <si>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</si>
  <si>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</si>
  <si>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</si>
  <si>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</si>
  <si>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</si>
  <si>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</si>
  <si>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</si>
  <si>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</si>
  <si>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</si>
  <si>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</si>
  <si>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</si>
  <si>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</si>
  <si>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</si>
  <si>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</si>
  <si>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</si>
  <si>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</si>
  <si>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</si>
  <si>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</si>
  <si>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</si>
  <si>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</si>
  <si>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</si>
  <si>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</si>
  <si>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</si>
  <si>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</si>
  <si>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</si>
  <si>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</si>
  <si>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</si>
  <si>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</si>
  <si>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</si>
  <si>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</si>
  <si>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</si>
  <si>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</si>
  <si>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</si>
  <si>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</si>
  <si>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</si>
  <si>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</si>
  <si>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</si>
  <si>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</si>
  <si>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</si>
  <si>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</si>
  <si>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</si>
  <si>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</si>
  <si>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</si>
  <si>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</si>
  <si>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</si>
  <si>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</si>
  <si>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</si>
  <si>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</si>
  <si>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</si>
  <si>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</si>
  <si>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</si>
  <si>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</si>
  <si>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</si>
  <si>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</si>
  <si>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</si>
  <si>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</si>
  <si>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</si>
  <si>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</si>
  <si>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</si>
  <si>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</si>
  <si>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</si>
  <si>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</si>
  <si>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</si>
  <si>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</si>
  <si>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</si>
  <si>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</si>
  <si>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</si>
  <si>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</si>
  <si>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</si>
  <si>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</si>
  <si>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</si>
  <si>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</si>
  <si>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</si>
  <si>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</si>
  <si>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</si>
  <si>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</si>
  <si>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</si>
  <si>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</si>
  <si>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</si>
  <si>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</si>
  <si>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</si>
  <si>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</si>
  <si>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</si>
  <si>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</si>
  <si>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</si>
  <si>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</si>
  <si>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</si>
  <si>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</si>
  <si>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</si>
  <si>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</si>
  <si>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</si>
  <si>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</si>
  <si>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</si>
  <si>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</si>
  <si>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</si>
  <si>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</si>
  <si>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</si>
  <si>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</si>
  <si>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</si>
  <si>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</si>
  <si>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</si>
  <si>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</si>
  <si>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</si>
  <si>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</si>
  <si>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</si>
  <si>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</si>
  <si>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</si>
  <si>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</si>
  <si>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</si>
  <si>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</si>
  <si>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</si>
  <si>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</si>
  <si>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</si>
  <si>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</si>
  <si>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</si>
  <si>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</si>
  <si>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</si>
  <si>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</si>
  <si>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</si>
  <si>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</si>
  <si>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</si>
  <si>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</si>
  <si>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</si>
  <si>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</si>
  <si>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</si>
  <si>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</si>
  <si>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</si>
  <si>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</si>
  <si>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</si>
  <si>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</si>
  <si>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</si>
  <si>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</si>
  <si>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</si>
  <si>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</si>
  <si>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</si>
  <si>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</si>
  <si>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</si>
  <si>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</si>
  <si>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</si>
  <si>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</si>
  <si>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</si>
  <si>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</si>
  <si>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</si>
  <si>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</si>
  <si>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</si>
  <si>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</si>
  <si>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</si>
  <si>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</si>
  <si>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</si>
  <si>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</si>
  <si>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</si>
  <si>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</si>
  <si>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</si>
  <si>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</si>
  <si>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</si>
  <si>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</si>
  <si>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</si>
  <si>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</si>
  <si>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</si>
  <si>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</si>
  <si>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</si>
  <si>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</si>
  <si>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</si>
  <si>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</si>
  <si>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</si>
  <si>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</si>
  <si>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</si>
  <si>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</si>
  <si>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</si>
  <si>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</si>
  <si>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</si>
  <si>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</si>
  <si>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</si>
  <si>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</si>
  <si>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</si>
  <si>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</si>
  <si>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</si>
  <si>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</si>
  <si>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</si>
  <si>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</si>
  <si>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</si>
  <si>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</si>
  <si>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</si>
  <si>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</si>
  <si>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</si>
  <si>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</si>
  <si>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</si>
  <si>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</si>
  <si>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</si>
  <si>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</si>
  <si>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</si>
  <si>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</si>
  <si>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</si>
  <si>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</si>
  <si>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</si>
  <si>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</si>
  <si>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</si>
  <si>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</si>
  <si>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</si>
  <si>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</si>
  <si>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</si>
  <si>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</si>
  <si>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</si>
  <si>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</si>
  <si>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</si>
  <si>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</si>
  <si>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</si>
  <si>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</si>
  <si>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</si>
  <si>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</si>
  <si>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</si>
  <si>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</si>
  <si>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</si>
  <si>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</si>
  <si>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</si>
  <si>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</si>
  <si>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</si>
  <si>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</si>
  <si>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</si>
  <si>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</si>
  <si>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</si>
  <si>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</si>
  <si>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</si>
  <si>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</si>
  <si>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</si>
  <si>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</si>
  <si>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</si>
  <si>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</si>
  <si>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</si>
  <si>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</si>
  <si>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</si>
  <si>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</si>
  <si>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</si>
  <si>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</si>
  <si>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</si>
  <si>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</si>
  <si>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</si>
  <si>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</si>
  <si>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</si>
  <si>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</si>
  <si>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</si>
  <si>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</si>
  <si>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</si>
  <si>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</si>
  <si>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</si>
  <si>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</si>
  <si>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</si>
  <si>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</si>
  <si>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</si>
  <si>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</si>
  <si>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</si>
  <si>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</si>
  <si>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</si>
  <si>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</si>
  <si>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</si>
  <si>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</si>
  <si>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</si>
  <si>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</si>
  <si>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</si>
  <si>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</si>
  <si>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</si>
  <si>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</si>
  <si>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</si>
  <si>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</si>
  <si>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</si>
  <si>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</si>
  <si>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</si>
  <si>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</si>
  <si>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</si>
  <si>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</si>
  <si>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</si>
  <si>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</si>
  <si>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</si>
  <si>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</si>
  <si>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</si>
  <si>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</si>
  <si>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</si>
  <si>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</si>
  <si>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</si>
  <si>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</si>
  <si>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</si>
  <si>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</si>
  <si>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</si>
  <si>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</si>
  <si>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</si>
  <si>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</si>
  <si>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</si>
  <si>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</si>
  <si>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</si>
  <si>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</si>
  <si>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</si>
  <si>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</si>
  <si>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</si>
  <si>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</si>
  <si>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</si>
  <si>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</si>
  <si>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</si>
  <si>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</si>
  <si>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</si>
  <si>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</si>
  <si>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</si>
  <si>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</si>
  <si>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</si>
  <si>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</si>
  <si>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</si>
  <si>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</si>
  <si>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</si>
  <si>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</si>
  <si>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</si>
  <si>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</si>
  <si>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</si>
  <si>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</si>
  <si>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</si>
  <si>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</si>
  <si>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</si>
  <si>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</si>
  <si>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</si>
  <si>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</si>
  <si>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</si>
  <si>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</si>
  <si>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</si>
  <si>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</si>
  <si>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</si>
  <si>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</si>
  <si>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</si>
  <si>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</si>
  <si>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</si>
  <si>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</si>
  <si>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</si>
  <si>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</si>
  <si>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</si>
  <si>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</si>
  <si>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</si>
  <si>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</si>
  <si>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</si>
  <si>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</si>
  <si>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</si>
  <si>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</si>
  <si>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</si>
  <si>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</si>
  <si>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</si>
  <si>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</si>
  <si>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</si>
  <si>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</si>
  <si>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</si>
  <si>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</si>
  <si>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</si>
  <si>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</si>
  <si>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</si>
  <si>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</si>
  <si>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</si>
  <si>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</si>
  <si>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</si>
  <si>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</si>
  <si>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</si>
  <si>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</si>
  <si>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</si>
  <si>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</si>
  <si>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</si>
  <si>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</si>
  <si>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</si>
  <si>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</si>
  <si>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</si>
  <si>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</si>
  <si>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</si>
  <si>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</si>
  <si>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</si>
  <si>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</si>
  <si>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</si>
  <si>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</si>
  <si>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</si>
  <si>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</si>
  <si>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</si>
  <si>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</si>
  <si>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</si>
  <si>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</si>
  <si>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</si>
  <si>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</si>
  <si>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</si>
  <si>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</si>
  <si>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</si>
  <si>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</si>
  <si>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</si>
  <si>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</si>
  <si>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</si>
  <si>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</si>
  <si>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</si>
  <si>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</si>
  <si>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</si>
  <si>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</si>
  <si>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</si>
  <si>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</si>
  <si>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</si>
  <si>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</si>
  <si>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</si>
  <si>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</si>
  <si>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</si>
  <si>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</si>
  <si>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</si>
  <si>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</si>
  <si>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</si>
  <si>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</si>
  <si>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</si>
  <si>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</si>
  <si>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</si>
  <si>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</si>
  <si>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</si>
  <si>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</si>
  <si>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</si>
  <si>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</si>
  <si>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</si>
  <si>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</si>
  <si>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</si>
  <si>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</si>
  <si>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</si>
  <si>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</si>
  <si>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</si>
  <si>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</si>
  <si>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</si>
  <si>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</si>
  <si>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</si>
  <si>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</si>
  <si>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</si>
  <si>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</si>
  <si>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</si>
  <si>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</si>
  <si>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</si>
  <si>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</si>
  <si>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</si>
  <si>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</si>
  <si>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</si>
  <si>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</si>
  <si>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</si>
  <si>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</si>
  <si>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</si>
  <si>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</si>
  <si>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</si>
  <si>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</si>
  <si>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</si>
  <si>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</si>
  <si>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</si>
  <si>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</si>
  <si>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</si>
  <si>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</si>
  <si>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</si>
  <si>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</si>
  <si>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</si>
  <si>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</si>
  <si>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</si>
  <si>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</si>
  <si>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</si>
  <si>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</si>
  <si>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</si>
  <si>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</si>
  <si>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</si>
  <si>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</si>
  <si>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</si>
  <si>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</si>
  <si>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</si>
  <si>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</si>
  <si>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</si>
  <si>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</si>
  <si>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</si>
  <si>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</si>
  <si>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</si>
  <si>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</si>
  <si>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</si>
  <si>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</si>
  <si>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</si>
  <si>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</si>
  <si>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</si>
  <si>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</si>
  <si>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</si>
  <si>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</si>
  <si>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</si>
  <si>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</si>
  <si>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</si>
  <si>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</si>
  <si>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</si>
  <si>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</si>
  <si>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</si>
  <si>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</si>
  <si>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</si>
  <si>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</si>
  <si>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</si>
  <si>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</si>
  <si>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</si>
  <si>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</si>
  <si>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</si>
  <si>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</si>
  <si>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</si>
  <si>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</si>
  <si>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</si>
  <si>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</si>
  <si>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</si>
  <si>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</si>
  <si>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</si>
  <si>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</si>
  <si>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</si>
  <si>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</si>
  <si>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</si>
  <si>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</si>
  <si>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</si>
  <si>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</si>
  <si>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</si>
  <si>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</si>
  <si>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</si>
  <si>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</si>
  <si>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</si>
  <si>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</si>
  <si>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</si>
  <si>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</si>
  <si>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</si>
  <si>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</si>
  <si>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</si>
  <si>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</si>
  <si>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</si>
  <si>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</si>
  <si>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</si>
  <si>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</si>
  <si>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</si>
  <si>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</si>
  <si>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</si>
  <si>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</si>
  <si>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</si>
  <si>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</si>
  <si>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</si>
  <si>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</si>
  <si>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</si>
  <si>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</si>
  <si>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</si>
  <si>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</si>
  <si>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</si>
  <si>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</si>
  <si>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</si>
  <si>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</si>
  <si>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</si>
  <si>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</si>
  <si>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</si>
  <si>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</si>
  <si>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</si>
  <si>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</si>
  <si>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</si>
  <si>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</si>
  <si>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</si>
  <si>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</si>
  <si>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</si>
  <si>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</si>
  <si>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</si>
  <si>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</si>
  <si>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</si>
  <si>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</si>
  <si>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</si>
  <si>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</si>
  <si>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</si>
  <si>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</si>
  <si>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</si>
  <si>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</si>
  <si>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</si>
  <si>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</si>
  <si>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</si>
  <si>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</si>
  <si>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</si>
  <si>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</si>
  <si>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</si>
  <si>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</si>
  <si>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</si>
  <si>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</si>
  <si>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</si>
  <si>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</si>
  <si>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</si>
  <si>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</si>
  <si>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</si>
  <si>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</si>
  <si>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</si>
  <si>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</si>
  <si>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</si>
  <si>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</si>
  <si>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</si>
  <si>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</si>
  <si>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</si>
  <si>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</si>
  <si>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</si>
  <si>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</si>
  <si>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</si>
  <si>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</si>
  <si>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</si>
  <si>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</si>
  <si>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</si>
  <si>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</si>
  <si>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</si>
  <si>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</si>
  <si>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</si>
  <si>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</si>
  <si>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</si>
  <si>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</si>
  <si>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</si>
  <si>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</si>
  <si>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</si>
  <si>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</si>
  <si>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</si>
  <si>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</si>
  <si>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</si>
  <si>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</si>
  <si>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</si>
  <si>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</si>
  <si>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</si>
  <si>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</si>
  <si>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</si>
  <si>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</si>
  <si>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</si>
  <si>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</si>
  <si>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</si>
  <si>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</si>
  <si>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</si>
  <si>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</si>
  <si>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</si>
  <si>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</si>
  <si>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</si>
  <si>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</si>
  <si>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</si>
  <si>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</si>
  <si>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</si>
  <si>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</si>
  <si>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</si>
  <si>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</si>
  <si>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</si>
  <si>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</si>
  <si>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</si>
  <si>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</si>
  <si>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</si>
  <si>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</si>
  <si>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</si>
  <si>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</si>
  <si>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</si>
  <si>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</si>
  <si>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</si>
  <si>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</si>
  <si>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</si>
  <si>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</si>
  <si>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</si>
  <si>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</si>
  <si>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</si>
  <si>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</si>
  <si>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</si>
  <si>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</si>
  <si>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</si>
  <si>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</si>
  <si>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</si>
  <si>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</si>
  <si>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</si>
  <si>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</si>
  <si>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</si>
  <si>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</si>
  <si>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</si>
  <si>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</si>
  <si>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</si>
  <si>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</si>
  <si>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</si>
  <si>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</si>
  <si>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</si>
  <si>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</si>
  <si>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</si>
  <si>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</si>
  <si>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</si>
  <si>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</si>
  <si>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</si>
  <si>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</si>
  <si>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</si>
  <si>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</si>
  <si>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</si>
  <si>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</si>
  <si>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</si>
  <si>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</si>
  <si>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</si>
  <si>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</si>
  <si>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</si>
  <si>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</si>
  <si>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</si>
  <si>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</si>
  <si>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</si>
  <si>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</si>
  <si>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</si>
  <si>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</si>
  <si>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</si>
  <si>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</si>
  <si>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</si>
  <si>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</si>
  <si>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</si>
  <si>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</si>
  <si>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</si>
  <si>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</si>
  <si>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</si>
  <si>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</si>
  <si>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</si>
  <si>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</si>
  <si>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</si>
  <si>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</si>
  <si>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</si>
  <si>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</si>
  <si>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</si>
  <si>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</si>
  <si>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</si>
  <si>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</si>
  <si>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</si>
  <si>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</si>
  <si>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</si>
  <si>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</si>
  <si>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</si>
  <si>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</si>
  <si>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</si>
  <si>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</si>
  <si>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</si>
  <si>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</si>
  <si>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</si>
  <si>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</si>
  <si>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</si>
  <si>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</si>
  <si>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</si>
  <si>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</si>
  <si>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</si>
  <si>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</si>
  <si>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</si>
  <si>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</si>
  <si>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</si>
  <si>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</si>
  <si>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</si>
  <si>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</si>
  <si>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</si>
  <si>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</si>
  <si>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</si>
  <si>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</si>
  <si>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</si>
  <si>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</si>
  <si>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</si>
  <si>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</si>
  <si>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</si>
  <si>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</si>
  <si>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</si>
  <si>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</si>
  <si>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</si>
  <si>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</si>
  <si>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</si>
  <si>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</si>
  <si>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</si>
  <si>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</si>
  <si>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</si>
  <si>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</si>
  <si>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</si>
  <si>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</si>
  <si>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</si>
  <si>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</si>
  <si>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</si>
  <si>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</si>
  <si>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</si>
  <si>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</si>
  <si>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</si>
  <si>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</si>
  <si>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</si>
  <si>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</si>
  <si>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</si>
  <si>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</si>
  <si>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</si>
  <si>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</si>
  <si>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</si>
  <si>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</si>
  <si>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</si>
  <si>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</si>
  <si>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</si>
  <si>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</si>
  <si>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</si>
  <si>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</si>
  <si>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</si>
  <si>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</si>
  <si>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</si>
  <si>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</si>
  <si>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</si>
  <si>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</si>
  <si>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</si>
  <si>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</si>
  <si>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</si>
  <si>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</si>
  <si>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</si>
  <si>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</si>
  <si>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</si>
  <si>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</si>
  <si>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</si>
  <si>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</si>
  <si>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</si>
  <si>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</si>
  <si>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</si>
  <si>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</si>
  <si>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</si>
  <si>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</si>
  <si>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</si>
  <si>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</si>
  <si>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</si>
  <si>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</si>
  <si>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</si>
  <si>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</si>
  <si>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</si>
  <si>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</si>
  <si>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</si>
  <si>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</si>
  <si>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</si>
  <si>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</si>
  <si>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</si>
  <si>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</si>
  <si>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</si>
  <si>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</si>
  <si>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</si>
  <si>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</si>
  <si>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</si>
  <si>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</si>
  <si>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</si>
  <si>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</si>
  <si>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</si>
  <si>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</si>
  <si>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</si>
  <si>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</si>
  <si>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</si>
  <si>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</si>
  <si>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</si>
  <si>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</si>
  <si>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</si>
  <si>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</si>
  <si>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</si>
  <si>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</si>
  <si>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</si>
  <si>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</si>
  <si>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</si>
  <si>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</si>
  <si>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</si>
  <si>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</si>
  <si>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</si>
  <si>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</si>
  <si>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</si>
  <si>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</si>
  <si>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</si>
  <si>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</si>
  <si>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</si>
  <si>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</si>
  <si>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</si>
  <si>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</si>
  <si>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</si>
  <si>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</si>
  <si>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</si>
  <si>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</si>
  <si>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</si>
  <si>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</si>
  <si>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</si>
  <si>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</si>
  <si>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</si>
  <si>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</si>
  <si>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</si>
  <si>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</si>
  <si>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</si>
  <si>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</si>
  <si>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</si>
  <si>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</si>
  <si>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</si>
  <si>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</si>
  <si>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</si>
  <si>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</si>
  <si>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</si>
  <si>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</si>
  <si>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</si>
  <si>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</si>
  <si>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</si>
  <si>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</si>
  <si>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</si>
  <si>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</si>
  <si>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</si>
  <si>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</si>
  <si>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</si>
  <si>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</si>
  <si>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</si>
  <si>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</si>
  <si>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</si>
  <si>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</si>
  <si>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</si>
  <si>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</si>
  <si>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</si>
  <si>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</si>
  <si>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</si>
  <si>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</si>
  <si>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</si>
  <si>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</si>
  <si>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</si>
  <si>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</si>
  <si>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</si>
  <si>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</si>
  <si>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</si>
  <si>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</si>
  <si>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</si>
  <si>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</si>
  <si>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</si>
  <si>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</si>
  <si>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</si>
  <si>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</si>
  <si>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</si>
  <si>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</si>
  <si>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</si>
  <si>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</si>
  <si>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</si>
  <si>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</si>
  <si>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</si>
  <si>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</si>
  <si>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</si>
  <si>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</si>
  <si>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</si>
  <si>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</si>
  <si>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</si>
  <si>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</si>
  <si>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</si>
  <si>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</si>
  <si>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</si>
  <si>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</si>
  <si>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</si>
  <si>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</si>
  <si>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</si>
  <si>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</si>
  <si>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</si>
  <si>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</si>
  <si>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</si>
  <si>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</si>
  <si>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</si>
  <si>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</si>
  <si>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</si>
  <si>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</si>
  <si>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</si>
  <si>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</si>
  <si>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</si>
  <si>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</si>
  <si>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</si>
  <si>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</si>
  <si>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</si>
  <si>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</si>
  <si>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</si>
  <si>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</si>
  <si>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</si>
  <si>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</si>
  <si>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</si>
  <si>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</si>
  <si>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</si>
  <si>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</si>
  <si>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</si>
  <si>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</si>
  <si>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</si>
  <si>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</si>
  <si>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</si>
  <si>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</si>
  <si>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</si>
  <si>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</si>
  <si>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</si>
  <si>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</si>
  <si>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</si>
  <si>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</si>
  <si>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</si>
  <si>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</si>
  <si>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</si>
  <si>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</si>
  <si>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</si>
  <si>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</si>
  <si>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</si>
  <si>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</si>
  <si>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</si>
  <si>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</si>
  <si>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</si>
  <si>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</si>
  <si>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</si>
  <si>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</si>
  <si>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</si>
  <si>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</si>
  <si>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</si>
  <si>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</si>
  <si>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</si>
  <si>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</si>
  <si>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</si>
  <si>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</si>
  <si>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</si>
  <si>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</si>
  <si>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</si>
  <si>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</si>
  <si>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</si>
  <si>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</si>
  <si>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</si>
  <si>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</si>
  <si>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</si>
  <si>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</si>
  <si>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</si>
  <si>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</si>
  <si>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</si>
  <si>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</si>
  <si>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</si>
  <si>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</si>
  <si>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</si>
  <si>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</si>
  <si>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</si>
  <si>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</si>
  <si>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</si>
  <si>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</si>
  <si>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</si>
  <si>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</si>
  <si>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</si>
  <si>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</si>
  <si>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</si>
  <si>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</si>
  <si>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</si>
  <si>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</si>
  <si>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</si>
  <si>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</si>
  <si>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</si>
  <si>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</si>
  <si>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</si>
  <si>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</si>
  <si>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</si>
  <si>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</si>
  <si>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</si>
  <si>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</si>
  <si>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</si>
  <si>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</si>
  <si>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</si>
  <si>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</si>
  <si>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</si>
  <si>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</si>
  <si>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</si>
  <si>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</si>
  <si>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</si>
  <si>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</si>
  <si>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</si>
  <si>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</si>
  <si>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</si>
  <si>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</si>
  <si>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</si>
  <si>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</si>
  <si>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</si>
  <si>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</si>
  <si>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</si>
  <si>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</si>
  <si>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</si>
  <si>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</si>
  <si>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</si>
  <si>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</si>
  <si>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</si>
  <si>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</si>
  <si>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</si>
  <si>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</si>
  <si>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</si>
  <si>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</si>
  <si>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</si>
  <si>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</si>
  <si>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</si>
  <si>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</si>
  <si>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</si>
  <si>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</si>
  <si>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</si>
  <si>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</si>
  <si>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</si>
  <si>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</si>
  <si>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</si>
  <si>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</si>
  <si>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</si>
  <si>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</si>
  <si>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</si>
  <si>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</si>
  <si>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</si>
  <si>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</si>
  <si>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</si>
  <si>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</si>
  <si>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</si>
  <si>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</si>
  <si>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</si>
  <si>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</si>
  <si>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</si>
  <si>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</si>
  <si>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</si>
  <si>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</si>
  <si>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</si>
  <si>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</si>
  <si>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</si>
  <si>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</si>
  <si>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</si>
  <si>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</si>
  <si>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</si>
  <si>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</si>
  <si>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</si>
  <si>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</si>
  <si>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</si>
  <si>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</si>
  <si>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</si>
  <si>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</si>
  <si>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</si>
  <si>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</si>
  <si>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</si>
  <si>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</si>
  <si>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</si>
  <si>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</si>
  <si>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</si>
  <si>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</si>
  <si>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</si>
  <si>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</si>
  <si>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</si>
  <si>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</si>
  <si>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</si>
  <si>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</si>
  <si>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</si>
  <si>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</si>
  <si>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</si>
  <si>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</si>
  <si>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</si>
  <si>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</si>
  <si>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</si>
  <si>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</si>
  <si>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</si>
  <si>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</si>
  <si>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</si>
  <si>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</si>
  <si>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</si>
  <si>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</si>
  <si>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</si>
  <si>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</si>
  <si>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</si>
  <si>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</si>
  <si>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</si>
  <si>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</si>
  <si>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</si>
  <si>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</si>
  <si>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</si>
  <si>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</si>
  <si>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</si>
  <si>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</si>
  <si>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</si>
  <si>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</si>
  <si>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</si>
  <si>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</si>
  <si>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</si>
  <si>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</si>
  <si>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</si>
  <si>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</si>
  <si>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</si>
  <si>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</si>
  <si>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</si>
  <si>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</si>
  <si>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</si>
  <si>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</si>
  <si>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</si>
  <si>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</si>
  <si>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</si>
  <si>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</si>
  <si>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</si>
  <si>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</si>
  <si>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</si>
  <si>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</si>
  <si>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</si>
  <si>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</si>
  <si>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</si>
  <si>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</si>
  <si>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</si>
  <si>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</si>
  <si>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</si>
  <si>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</si>
  <si>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</si>
  <si>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</si>
  <si>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</si>
  <si>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</si>
  <si>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</si>
  <si>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</si>
  <si>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</si>
  <si>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</si>
  <si>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</si>
  <si>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</si>
  <si>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</si>
  <si>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</si>
  <si>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</si>
  <si>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</si>
  <si>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</si>
  <si>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</si>
  <si>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</si>
  <si>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</si>
  <si>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</si>
  <si>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</si>
  <si>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</si>
  <si>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</si>
  <si>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</si>
  <si>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</si>
  <si>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</si>
  <si>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</si>
  <si>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</si>
  <si>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</si>
  <si>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</si>
  <si>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</si>
  <si>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</si>
  <si>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</si>
  <si>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</si>
  <si>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</si>
  <si>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</si>
  <si>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</si>
  <si>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</si>
  <si>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</si>
  <si>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</si>
  <si>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</si>
  <si>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</si>
  <si>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</si>
  <si>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</si>
  <si>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</si>
  <si>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</si>
  <si>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</si>
  <si>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</si>
  <si>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</si>
  <si>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</si>
  <si>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</si>
  <si>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</si>
  <si>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</si>
  <si>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</si>
  <si>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</si>
  <si>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</si>
  <si>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</si>
  <si>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</si>
  <si>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</si>
  <si>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</si>
  <si>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</si>
  <si>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</si>
  <si>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</si>
  <si>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</si>
  <si>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</si>
  <si>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</si>
  <si>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</si>
  <si>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</si>
  <si>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</si>
  <si>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</si>
  <si>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</si>
  <si>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</si>
  <si>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</si>
  <si>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</si>
  <si>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</si>
  <si>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</si>
  <si>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</si>
  <si>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</si>
  <si>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</si>
  <si>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</si>
  <si>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</si>
  <si>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</si>
  <si>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</si>
  <si>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</si>
  <si>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</si>
  <si>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</si>
  <si>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</si>
  <si>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</si>
  <si>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</si>
  <si>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</si>
  <si>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</si>
  <si>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</si>
  <si>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</si>
  <si>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</si>
  <si>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</si>
  <si>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</si>
  <si>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</si>
  <si>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</si>
  <si>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</si>
  <si>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</si>
  <si>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</si>
  <si>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</si>
  <si>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</si>
  <si>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</si>
  <si>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</si>
  <si>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</si>
  <si>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</si>
  <si>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</si>
  <si>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</si>
  <si>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</si>
  <si>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</si>
  <si>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</si>
  <si>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</si>
  <si>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</si>
  <si>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</si>
  <si>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</si>
  <si>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</si>
  <si>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</si>
  <si>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</si>
  <si>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</si>
  <si>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</si>
  <si>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</si>
  <si>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</si>
  <si>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</si>
  <si>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</si>
  <si>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</si>
  <si>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</si>
  <si>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</si>
  <si>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</si>
  <si>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</si>
  <si>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</si>
  <si>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</si>
  <si>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</si>
  <si>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</si>
  <si>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</si>
  <si>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</si>
  <si>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</si>
  <si>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</si>
  <si>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</si>
  <si>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</si>
  <si>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</si>
  <si>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</si>
  <si>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</si>
  <si>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</si>
  <si>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</si>
  <si>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</si>
  <si>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</si>
  <si>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</si>
  <si>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</si>
  <si>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</si>
  <si>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</si>
  <si>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</si>
  <si>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</si>
  <si>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</si>
  <si>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</si>
  <si>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</si>
  <si>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</si>
  <si>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</si>
  <si>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</si>
  <si>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</si>
  <si>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</si>
  <si>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</si>
  <si>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</si>
  <si>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</si>
  <si>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</si>
  <si>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</si>
  <si>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</si>
  <si>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</si>
  <si>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</si>
  <si>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</si>
  <si>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</si>
  <si>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</si>
  <si>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</si>
  <si>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</si>
  <si>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</si>
  <si>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</si>
  <si>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</si>
  <si>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</si>
  <si>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</si>
  <si>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</si>
  <si>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</si>
  <si>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</si>
  <si>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</si>
  <si>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</si>
  <si>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</si>
  <si>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</si>
  <si>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</si>
  <si>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</si>
  <si>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</si>
  <si>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</si>
  <si>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</si>
  <si>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</si>
  <si>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</si>
  <si>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</si>
  <si>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</si>
  <si>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</si>
  <si>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</si>
  <si>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</si>
  <si>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</si>
  <si>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</si>
  <si>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</si>
  <si>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</si>
  <si>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</si>
  <si>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</si>
  <si>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</si>
  <si>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</si>
  <si>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</si>
  <si>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</si>
  <si>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</si>
  <si>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</si>
  <si>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</si>
  <si>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</si>
  <si>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</si>
  <si>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</si>
  <si>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</si>
  <si>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</si>
  <si>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</si>
  <si>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</si>
  <si>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</si>
  <si>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</si>
  <si>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</si>
  <si>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</si>
  <si>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</si>
  <si>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</si>
  <si>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</si>
  <si>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</si>
  <si>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</si>
  <si>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</si>
  <si>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</si>
  <si>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</si>
  <si>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</si>
  <si>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</si>
  <si>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</si>
  <si>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</si>
  <si>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</si>
  <si>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</si>
  <si>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</si>
  <si>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</si>
  <si>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</si>
  <si>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</si>
  <si>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</si>
  <si>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</si>
  <si>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</si>
  <si>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</si>
  <si>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</si>
  <si>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</si>
  <si>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</si>
  <si>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</si>
  <si>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</si>
  <si>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</si>
  <si>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</si>
  <si>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</si>
  <si>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</si>
  <si>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</si>
  <si>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</si>
  <si>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</si>
  <si>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</si>
  <si>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</si>
  <si>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</si>
  <si>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</si>
  <si>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</si>
  <si>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</si>
  <si>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</si>
  <si>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</si>
  <si>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</si>
  <si>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</si>
  <si>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</si>
  <si>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</si>
  <si>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</si>
  <si>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</si>
  <si>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</si>
  <si>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</si>
  <si>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</si>
  <si>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</si>
  <si>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</si>
  <si>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</si>
  <si>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</si>
  <si>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</si>
  <si>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</si>
  <si>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</si>
  <si>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</si>
  <si>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</si>
  <si>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</si>
  <si>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</si>
  <si>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</si>
  <si>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</si>
  <si>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</si>
  <si>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</si>
  <si>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</si>
  <si>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</si>
  <si>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</si>
  <si>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</si>
  <si>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</si>
  <si>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</si>
  <si>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</si>
  <si>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</si>
  <si>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</si>
  <si>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</si>
  <si>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</si>
  <si>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</si>
  <si>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</si>
  <si>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</si>
  <si>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</si>
  <si>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</si>
  <si>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</si>
  <si>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</si>
  <si>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</si>
  <si>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</si>
  <si>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</si>
  <si>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</si>
  <si>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</si>
  <si>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</si>
  <si>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</si>
  <si>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</si>
  <si>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</si>
  <si>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</si>
  <si>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</si>
  <si>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</si>
  <si>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</si>
  <si>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</si>
  <si>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</si>
  <si>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</si>
  <si>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</si>
  <si>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</si>
  <si>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</si>
  <si>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</si>
  <si>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</si>
  <si>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</si>
  <si>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</si>
  <si>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</si>
  <si>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</si>
  <si>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</si>
  <si>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</si>
  <si>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</si>
  <si>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</si>
  <si>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</si>
  <si>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</si>
  <si>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</si>
  <si>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</si>
  <si>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</si>
  <si>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</si>
  <si>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</si>
  <si>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</si>
  <si>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</si>
  <si>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</si>
  <si>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</si>
  <si>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</si>
  <si>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</si>
  <si>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</si>
  <si>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</si>
  <si>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</si>
  <si>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</si>
  <si>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</si>
  <si>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</si>
  <si>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</si>
  <si>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</si>
  <si>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</si>
  <si>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</si>
  <si>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</si>
  <si>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</si>
  <si>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</si>
  <si>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</si>
  <si>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</si>
  <si>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</si>
  <si>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</si>
  <si>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</si>
  <si>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</si>
  <si>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</si>
  <si>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</si>
  <si>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</si>
  <si>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</si>
  <si>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</si>
  <si>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</si>
  <si>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</si>
  <si>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</si>
  <si>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</si>
  <si>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</si>
  <si>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</si>
  <si>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</si>
  <si>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</si>
  <si>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</si>
  <si>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</si>
  <si>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</si>
  <si>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</si>
  <si>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</si>
  <si>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</si>
  <si>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</si>
  <si>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</si>
  <si>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</si>
  <si>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</si>
  <si>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</si>
  <si>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</si>
  <si>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</si>
  <si>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</si>
  <si>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</si>
  <si>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</si>
  <si>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</si>
  <si>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</si>
  <si>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</si>
  <si>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</si>
  <si>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</si>
  <si>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</si>
  <si>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</si>
  <si>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</si>
  <si>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</si>
  <si>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</si>
  <si>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</si>
  <si>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</si>
  <si>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</si>
  <si>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</si>
  <si>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</si>
  <si>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</si>
  <si>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</si>
  <si>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</si>
  <si>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</si>
  <si>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</si>
  <si>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</si>
  <si>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</si>
  <si>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</si>
  <si>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</si>
  <si>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</si>
  <si>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</si>
  <si>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</si>
  <si>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</si>
  <si>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</si>
  <si>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</si>
  <si>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</si>
  <si>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</si>
  <si>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</si>
  <si>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</si>
  <si>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</si>
  <si>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</si>
  <si>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</si>
  <si>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</si>
  <si>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</si>
  <si>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</si>
  <si>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</si>
  <si>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</si>
  <si>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</si>
  <si>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</si>
  <si>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</si>
  <si>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</si>
  <si>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</si>
  <si>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</si>
  <si>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</si>
  <si>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</si>
  <si>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</si>
  <si>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</si>
  <si>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</si>
  <si>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</si>
  <si>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</si>
  <si>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</si>
  <si>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</si>
  <si>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</si>
  <si>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</si>
  <si>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</si>
  <si>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</si>
  <si>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</si>
  <si>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</si>
  <si>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</si>
  <si>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</si>
  <si>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</si>
  <si>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</si>
  <si>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</si>
  <si>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</si>
  <si>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</si>
  <si>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</si>
  <si>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</si>
  <si>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</si>
  <si>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</si>
  <si>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</si>
  <si>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</si>
  <si>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</si>
  <si>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</si>
  <si>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</si>
  <si>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</si>
  <si>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</si>
  <si>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</si>
  <si>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</si>
  <si>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</si>
  <si>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</si>
  <si>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</si>
  <si>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</si>
  <si>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</si>
  <si>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</si>
  <si>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</si>
  <si>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</si>
  <si>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</si>
  <si>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</si>
  <si>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</si>
  <si>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</si>
  <si>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</si>
  <si>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</si>
  <si>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</si>
  <si>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</si>
  <si>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</si>
  <si>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</si>
  <si>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</si>
  <si>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</si>
  <si>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</si>
  <si>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</si>
  <si>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</si>
  <si>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</si>
  <si>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</si>
  <si>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</si>
  <si>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</si>
  <si>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</si>
  <si>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</si>
  <si>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</si>
  <si>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</si>
  <si>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</si>
  <si>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</si>
  <si>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</si>
  <si>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</si>
  <si>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</si>
  <si>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</si>
  <si>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</si>
  <si>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</si>
  <si>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</si>
  <si>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</si>
  <si>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</si>
  <si>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</si>
  <si>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</si>
  <si>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</si>
  <si>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</si>
  <si>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</si>
  <si>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</si>
  <si>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</si>
  <si>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</si>
  <si>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</si>
  <si>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</si>
  <si>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</si>
  <si>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</si>
  <si>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</si>
  <si>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</si>
  <si>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</si>
  <si>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</si>
  <si>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</si>
  <si>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</si>
  <si>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</si>
  <si>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</si>
  <si>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</si>
  <si>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</si>
  <si>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</si>
  <si>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</si>
  <si>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</si>
  <si>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</si>
  <si>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</si>
  <si>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</si>
  <si>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</si>
  <si>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</si>
  <si>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</si>
  <si>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</si>
  <si>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</si>
  <si>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</si>
  <si>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</si>
  <si>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</si>
  <si>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</si>
  <si>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</si>
  <si>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</si>
  <si>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</si>
  <si>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</si>
  <si>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</si>
  <si>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</si>
  <si>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</si>
  <si>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</si>
  <si>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</si>
  <si>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</si>
  <si>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</si>
  <si>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</si>
  <si>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</si>
  <si>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</si>
  <si>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</si>
  <si>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</si>
  <si>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</si>
  <si>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</si>
  <si>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</si>
  <si>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</si>
  <si>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</si>
  <si>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</si>
  <si>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</si>
  <si>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</si>
  <si>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</si>
  <si>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</si>
  <si>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</si>
  <si>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</si>
  <si>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</si>
  <si>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</si>
  <si>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</si>
  <si>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</si>
  <si>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</si>
  <si>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</si>
  <si>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</si>
  <si>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</si>
  <si>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</si>
  <si>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</si>
  <si>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</si>
  <si>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</si>
  <si>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</si>
  <si>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</si>
  <si>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</si>
  <si>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</si>
  <si>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</si>
  <si>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</si>
  <si>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</si>
  <si>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</si>
  <si>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</si>
  <si>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</si>
  <si>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</si>
  <si>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</si>
  <si>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</si>
  <si>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</si>
  <si>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</si>
  <si>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</si>
  <si>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</si>
  <si>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</si>
  <si>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</si>
  <si>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</si>
  <si>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</si>
  <si>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</si>
  <si>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</si>
  <si>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</si>
  <si>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</si>
  <si>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</si>
  <si>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</si>
  <si>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</si>
  <si>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</si>
  <si>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</si>
  <si>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</si>
  <si>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</si>
  <si>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</si>
  <si>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</si>
  <si>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</si>
  <si>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</si>
  <si>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</si>
  <si>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</si>
  <si>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</si>
  <si>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</si>
  <si>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</si>
  <si>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</si>
  <si>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</si>
  <si>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</si>
  <si>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</si>
  <si>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</si>
  <si>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</si>
  <si>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</si>
  <si>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</si>
  <si>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</si>
  <si>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</si>
  <si>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</si>
  <si>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</si>
  <si>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</si>
  <si>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</si>
  <si>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</si>
  <si>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</si>
  <si>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</si>
  <si>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</si>
  <si>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</si>
  <si>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</si>
  <si>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</si>
  <si>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</si>
  <si>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</si>
  <si>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</si>
  <si>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</si>
  <si>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</si>
  <si>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</si>
  <si>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</si>
  <si>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</si>
  <si>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</si>
  <si>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</si>
  <si>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</si>
  <si>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</si>
  <si>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</si>
  <si>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</si>
  <si>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</si>
  <si>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</si>
  <si>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</si>
  <si>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</si>
  <si>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</si>
  <si>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</si>
  <si>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</si>
  <si>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</si>
  <si>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</si>
  <si>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</si>
  <si>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</si>
  <si>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</si>
  <si>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</si>
  <si>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</si>
  <si>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</si>
  <si>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</si>
  <si>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</si>
  <si>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</si>
  <si>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</si>
  <si>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</si>
  <si>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</si>
  <si>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</si>
  <si>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</si>
  <si>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</si>
  <si>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</si>
  <si>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</si>
  <si>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</si>
  <si>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</si>
  <si>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</si>
  <si>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</si>
  <si>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</si>
  <si>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</si>
  <si>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</si>
  <si>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</si>
  <si>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</si>
  <si>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</si>
  <si>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</si>
  <si>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</si>
  <si>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</si>
  <si>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</si>
  <si>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</si>
  <si>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</si>
  <si>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</si>
  <si>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</si>
  <si>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</si>
  <si>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</si>
  <si>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</si>
  <si>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</si>
  <si>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</si>
  <si>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</si>
  <si>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</si>
  <si>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</si>
  <si>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</si>
  <si>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</si>
  <si>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</si>
  <si>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</si>
  <si>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</si>
  <si>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</si>
  <si>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</si>
  <si>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</si>
  <si>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</si>
  <si>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</si>
  <si>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</si>
  <si>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</si>
  <si>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</si>
  <si>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</si>
  <si>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</si>
  <si>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</si>
  <si>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</si>
  <si>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</si>
  <si>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</si>
  <si>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</si>
  <si>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</si>
  <si>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</si>
  <si>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</si>
  <si>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</si>
  <si>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</si>
  <si>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</si>
  <si>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</si>
  <si>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</si>
  <si>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</si>
  <si>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</si>
  <si>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</si>
  <si>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</si>
  <si>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</si>
  <si>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</si>
  <si>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</si>
  <si>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</si>
  <si>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</si>
  <si>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</si>
  <si>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</si>
  <si>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</si>
  <si>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</si>
  <si>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</si>
  <si>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</si>
  <si>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</si>
  <si>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</si>
  <si>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</si>
  <si>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</si>
  <si>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</si>
  <si>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</si>
  <si>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</si>
  <si>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</si>
  <si>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</si>
  <si>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</si>
  <si>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</si>
  <si>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</si>
  <si>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</si>
  <si>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</si>
  <si>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</si>
  <si>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</si>
  <si>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</si>
  <si>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</si>
  <si>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</si>
  <si>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</si>
  <si>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</si>
  <si>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</si>
  <si>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</si>
  <si>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</si>
  <si>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</si>
  <si>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</si>
  <si>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</si>
  <si>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</si>
  <si>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</si>
  <si>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</si>
  <si>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</si>
  <si>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</si>
  <si>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</si>
  <si>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</si>
  <si>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</si>
  <si>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</si>
  <si>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</si>
  <si>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</si>
  <si>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</si>
  <si>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</si>
  <si>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</si>
  <si>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</si>
  <si>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</si>
  <si>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</si>
  <si>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</si>
  <si>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</si>
  <si>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</si>
  <si>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</si>
  <si>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</si>
  <si>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</si>
  <si>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</si>
  <si>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</si>
  <si>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</si>
  <si>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</si>
  <si>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</si>
  <si>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</si>
  <si>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</si>
  <si>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</si>
  <si>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</si>
  <si>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</si>
  <si>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</si>
  <si>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</si>
  <si>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</si>
  <si>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</si>
  <si>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</si>
  <si>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</si>
  <si>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</si>
  <si>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</si>
  <si>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</si>
  <si>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</si>
  <si>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</si>
  <si>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</si>
  <si>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</si>
  <si>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</si>
  <si>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</si>
  <si>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</si>
  <si>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</si>
  <si>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</si>
  <si>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</si>
  <si>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</si>
  <si>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</si>
  <si>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</si>
  <si>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</si>
  <si>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</si>
  <si>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</si>
  <si>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</si>
  <si>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</si>
  <si>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</si>
  <si>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</si>
  <si>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</si>
  <si>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</si>
  <si>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</si>
  <si>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</si>
  <si>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</si>
  <si>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</si>
  <si>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</si>
  <si>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</si>
  <si>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</si>
  <si>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</si>
  <si>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</si>
  <si>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</si>
  <si>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</si>
  <si>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</si>
  <si>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</si>
  <si>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</si>
  <si>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</si>
  <si>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</si>
  <si>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</si>
  <si>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</si>
  <si>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</si>
  <si>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</si>
  <si>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</si>
  <si>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</si>
  <si>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</si>
  <si>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</si>
  <si>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</si>
  <si>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</si>
  <si>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</si>
  <si>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</si>
  <si>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</si>
  <si>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</si>
  <si>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</si>
  <si>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</si>
  <si>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</si>
  <si>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</si>
  <si>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</si>
  <si>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</si>
  <si>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</si>
  <si>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</si>
  <si>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</si>
  <si>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</si>
  <si>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</si>
  <si>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</si>
  <si>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</si>
  <si>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</si>
  <si>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</si>
  <si>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</si>
  <si>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</si>
  <si>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</si>
  <si>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</si>
  <si>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</si>
  <si>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</si>
  <si>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</si>
  <si>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</si>
  <si>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</si>
  <si>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</si>
  <si>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</si>
  <si>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</si>
  <si>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</si>
  <si>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</si>
  <si>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</si>
  <si>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</si>
  <si>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</si>
  <si>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</si>
  <si>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</si>
  <si>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</si>
  <si>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</si>
  <si>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</si>
  <si>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</si>
  <si>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</si>
  <si>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</si>
  <si>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</si>
  <si>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</si>
  <si>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</si>
  <si>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</si>
  <si>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</si>
  <si>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</si>
  <si>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</si>
  <si>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</si>
  <si>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</si>
  <si>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</si>
  <si>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</si>
  <si>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</si>
  <si>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</si>
  <si>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</si>
  <si>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</si>
  <si>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</si>
  <si>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</si>
  <si>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</si>
  <si>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</si>
  <si>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</si>
  <si>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</si>
  <si>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</si>
  <si>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</si>
  <si>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</si>
  <si>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</si>
  <si>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</si>
  <si>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</si>
  <si>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</si>
  <si>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</si>
  <si>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</si>
  <si>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</si>
  <si>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</si>
  <si>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</si>
  <si>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</si>
  <si>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</si>
  <si>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</si>
  <si>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</si>
  <si>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</si>
  <si>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</si>
  <si>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</si>
  <si>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</si>
  <si>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</si>
  <si>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</si>
  <si>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</si>
  <si>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</si>
  <si>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</si>
  <si>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</si>
  <si>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</si>
  <si>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</si>
  <si>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</si>
  <si>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</si>
  <si>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</si>
  <si>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</si>
  <si>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</si>
  <si>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</si>
  <si>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</si>
  <si>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</si>
  <si>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</si>
  <si>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</si>
  <si>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</si>
  <si>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</si>
  <si>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</si>
  <si>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</si>
  <si>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</si>
  <si>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</si>
  <si>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</si>
  <si>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</si>
  <si>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</si>
  <si>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</si>
  <si>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</si>
  <si>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</si>
  <si>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</si>
  <si>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</si>
  <si>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</si>
  <si>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</si>
  <si>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</si>
  <si>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</si>
  <si>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</si>
  <si>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</si>
  <si>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</si>
  <si>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</si>
  <si>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</si>
  <si>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</si>
  <si>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</si>
  <si>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</si>
  <si>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</si>
  <si>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</si>
  <si>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</si>
  <si>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</si>
  <si>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</si>
  <si>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</si>
  <si>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</si>
  <si>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</si>
  <si>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</si>
  <si>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</si>
  <si>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</si>
  <si>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</si>
  <si>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</si>
  <si>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</si>
  <si>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</si>
  <si>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</si>
  <si>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</si>
  <si>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</si>
  <si>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</si>
  <si>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</si>
  <si>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</si>
  <si>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</si>
  <si>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</si>
  <si>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</si>
  <si>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</si>
  <si>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</si>
  <si>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</si>
  <si>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</si>
  <si>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</si>
  <si>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</si>
  <si>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</si>
  <si>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</si>
  <si>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</si>
  <si>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</si>
  <si>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</si>
  <si>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</si>
  <si>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</si>
  <si>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</si>
  <si>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</si>
  <si>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</si>
  <si>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</si>
  <si>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</si>
  <si>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</si>
  <si>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</si>
  <si>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</si>
  <si>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</si>
  <si>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</si>
  <si>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</si>
  <si>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</si>
  <si>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</si>
  <si>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</si>
  <si>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</si>
  <si>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</si>
  <si>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</si>
  <si>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</si>
  <si>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</si>
  <si>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</si>
  <si>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</si>
  <si>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</si>
  <si>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</si>
  <si>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</si>
  <si>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</si>
  <si>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</si>
  <si>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</si>
  <si>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</si>
  <si>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</si>
  <si>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</si>
  <si>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</si>
  <si>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</si>
  <si>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</si>
  <si>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</si>
  <si>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</si>
  <si>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</si>
  <si>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</si>
  <si>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</si>
  <si>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</si>
  <si>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</si>
  <si>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</si>
  <si>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</si>
  <si>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</si>
  <si>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</si>
  <si>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</si>
  <si>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</si>
  <si>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</si>
  <si>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</si>
  <si>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</si>
  <si>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</si>
  <si>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</si>
  <si>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</si>
  <si>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</si>
  <si>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</si>
  <si>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</si>
  <si>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</si>
  <si>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</si>
  <si>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</si>
  <si>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</si>
  <si>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</si>
  <si>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</si>
  <si>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</si>
  <si>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</si>
  <si>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</si>
  <si>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</si>
  <si>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</si>
  <si>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</si>
  <si>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</si>
  <si>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</si>
  <si>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</si>
  <si>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</si>
  <si>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</si>
  <si>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</si>
  <si>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</si>
  <si>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</si>
  <si>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</si>
  <si>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</si>
  <si>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</si>
  <si>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</si>
  <si>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</si>
  <si>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</si>
  <si>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</si>
  <si>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</si>
  <si>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</si>
  <si>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</si>
  <si>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</si>
  <si>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</si>
  <si>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</si>
  <si>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</si>
  <si>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</si>
  <si>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</si>
  <si>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</si>
  <si>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</si>
  <si>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</si>
  <si>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</si>
  <si>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</si>
  <si>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</si>
  <si>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</si>
  <si>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</si>
  <si>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</si>
  <si>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</si>
  <si>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</si>
  <si>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</si>
  <si>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</si>
  <si>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</si>
  <si>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</si>
  <si>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</si>
  <si>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</si>
  <si>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</si>
  <si>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</si>
  <si>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</si>
  <si>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</si>
  <si>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</si>
  <si>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</si>
  <si>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</si>
  <si>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</si>
  <si>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</si>
  <si>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</si>
  <si>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</si>
  <si>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</si>
  <si>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</si>
  <si>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</si>
  <si>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</si>
  <si>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</si>
  <si>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</si>
  <si>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</si>
  <si>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</si>
  <si>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</si>
  <si>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</si>
  <si>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</si>
  <si>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</si>
  <si>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</si>
  <si>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</si>
  <si>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</si>
  <si>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</si>
  <si>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</si>
  <si>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</si>
  <si>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</si>
  <si>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</si>
  <si>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</si>
  <si>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</si>
  <si>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</si>
  <si>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</si>
  <si>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</si>
  <si>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</si>
  <si>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</si>
  <si>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</si>
  <si>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</si>
  <si>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</si>
  <si>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</si>
  <si>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</si>
  <si>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</si>
  <si>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</si>
  <si>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</si>
  <si>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</si>
  <si>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</si>
  <si>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</si>
  <si>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</si>
  <si>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</si>
  <si>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</si>
  <si>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</si>
  <si>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</si>
  <si>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</si>
  <si>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</si>
  <si>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</si>
  <si>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</si>
  <si>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</si>
  <si>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</si>
  <si>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</si>
  <si>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</si>
  <si>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</si>
  <si>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</si>
  <si>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</si>
  <si>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</si>
  <si>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</si>
  <si>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</si>
  <si>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</si>
  <si>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</si>
  <si>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</si>
  <si>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</si>
  <si>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</si>
  <si>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</si>
  <si>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</si>
  <si>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</si>
  <si>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</si>
  <si>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</si>
  <si>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</si>
  <si>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</si>
  <si>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</si>
  <si>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</si>
  <si>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</si>
  <si>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</si>
  <si>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</si>
  <si>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</si>
  <si>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</si>
  <si>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</si>
  <si>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</si>
  <si>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</si>
  <si>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</si>
  <si>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</si>
  <si>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</si>
  <si>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</si>
  <si>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</si>
  <si>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</si>
  <si>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</si>
  <si>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</si>
  <si>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</si>
  <si>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</si>
  <si>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</si>
  <si>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</si>
  <si>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</si>
  <si>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</si>
  <si>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</si>
  <si>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</si>
  <si>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</si>
  <si>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</si>
  <si>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</si>
  <si>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</si>
  <si>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</si>
  <si>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</si>
  <si>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</si>
  <si>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</si>
  <si>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</si>
  <si>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</si>
  <si>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</si>
  <si>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</si>
  <si>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</si>
  <si>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</si>
  <si>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</si>
  <si>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</si>
  <si>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</si>
  <si>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</si>
  <si>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</si>
  <si>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</si>
  <si>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</si>
  <si>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</si>
  <si>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</si>
  <si>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</si>
  <si>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</si>
  <si>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</si>
  <si>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</si>
  <si>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</si>
  <si>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</si>
  <si>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</si>
  <si>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</si>
  <si>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</si>
  <si>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</si>
  <si>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</si>
  <si>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</si>
  <si>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</si>
  <si>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</si>
  <si>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</si>
  <si>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</si>
  <si>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</si>
  <si>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</si>
  <si>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</si>
  <si>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</si>
  <si>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</si>
  <si>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</si>
  <si>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</si>
  <si>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</si>
  <si>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</si>
  <si>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</si>
  <si>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</si>
  <si>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</si>
  <si>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</si>
  <si>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</si>
  <si>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</si>
  <si>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</si>
  <si>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</si>
  <si>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</si>
  <si>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</si>
  <si>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</si>
  <si>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</si>
  <si>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</si>
  <si>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</si>
  <si>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</si>
  <si>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</si>
  <si>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</si>
  <si>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</si>
  <si>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</si>
  <si>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</si>
  <si>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</si>
  <si>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</si>
  <si>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</si>
  <si>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</si>
  <si>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</si>
  <si>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</si>
  <si>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</si>
  <si>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</si>
  <si>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</si>
  <si>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</si>
  <si>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</si>
  <si>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</si>
  <si>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</si>
  <si>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</si>
  <si>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</si>
  <si>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</si>
  <si>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</si>
  <si>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</si>
  <si>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</si>
  <si>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</si>
  <si>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</si>
  <si>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</si>
  <si>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</si>
  <si>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</si>
  <si>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</si>
  <si>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</si>
  <si>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</si>
  <si>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</si>
  <si>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</si>
  <si>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</si>
  <si>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</si>
  <si>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</si>
  <si>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</si>
  <si>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</si>
  <si>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</si>
  <si>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</si>
  <si>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</si>
  <si>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</si>
  <si>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</si>
  <si>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</si>
  <si>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</si>
  <si>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</si>
  <si>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</si>
  <si>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</si>
  <si>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</si>
  <si>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</si>
  <si>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</si>
  <si>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</si>
  <si>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</si>
  <si>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</si>
  <si>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</si>
  <si>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</si>
  <si>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</si>
  <si>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</si>
  <si>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</si>
  <si>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</si>
  <si>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</si>
  <si>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</si>
  <si>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</si>
  <si>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</si>
  <si>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</si>
  <si>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</si>
  <si>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</si>
  <si>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</si>
  <si>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</si>
  <si>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</si>
  <si>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</si>
  <si>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</si>
  <si>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</si>
  <si>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</si>
  <si>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</si>
  <si>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</si>
  <si>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</si>
  <si>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</si>
  <si>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</si>
  <si>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</si>
  <si>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</si>
  <si>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</si>
  <si>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</si>
  <si>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</si>
  <si>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</si>
  <si>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</si>
  <si>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</si>
  <si>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</si>
  <si>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</si>
  <si>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</si>
  <si>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</si>
  <si>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</si>
  <si>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</si>
  <si>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</si>
  <si>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</si>
  <si>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</si>
  <si>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</si>
  <si>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</si>
  <si>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</si>
  <si>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</si>
  <si>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</si>
  <si>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</si>
  <si>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</si>
  <si>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</si>
  <si>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</si>
  <si>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</si>
  <si>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</si>
  <si>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</si>
  <si>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</si>
  <si>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</si>
  <si>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</si>
  <si>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</si>
  <si>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</si>
  <si>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</si>
  <si>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</si>
  <si>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</si>
  <si>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</si>
  <si>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</si>
  <si>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</si>
  <si>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</si>
  <si>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</si>
  <si>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</si>
  <si>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</si>
  <si>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</si>
  <si>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</si>
  <si>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</si>
  <si>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</si>
  <si>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</si>
  <si>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</si>
  <si>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</si>
  <si>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</si>
  <si>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</si>
  <si>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</si>
  <si>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</si>
  <si>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</si>
  <si>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</si>
  <si>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</si>
  <si>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</si>
  <si>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</si>
  <si>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</si>
  <si>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</si>
  <si>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</si>
  <si>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</si>
  <si>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</si>
  <si>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</si>
  <si>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</si>
  <si>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</si>
  <si>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</si>
  <si>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</si>
  <si>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</si>
  <si>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</si>
  <si>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</si>
  <si>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</si>
  <si>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</si>
  <si>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</si>
  <si>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</si>
  <si>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</si>
  <si>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</si>
  <si>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</si>
  <si>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</si>
  <si>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</si>
  <si>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</si>
  <si>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</si>
  <si>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</si>
  <si>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</si>
  <si>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</si>
  <si>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</si>
  <si>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</si>
  <si>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</si>
  <si>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</si>
  <si>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</si>
  <si>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</si>
  <si>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</si>
  <si>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</si>
  <si>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</si>
  <si>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</si>
  <si>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</si>
  <si>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</si>
  <si>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</si>
  <si>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</si>
  <si>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</si>
  <si>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</si>
  <si>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</si>
  <si>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</si>
  <si>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</si>
  <si>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</si>
  <si>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</si>
  <si>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</si>
  <si>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</si>
  <si>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</si>
  <si>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</si>
  <si>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</si>
  <si>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</si>
  <si>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</si>
  <si>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</si>
  <si>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</si>
  <si>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</si>
  <si>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</si>
  <si>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</si>
  <si>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</si>
  <si>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</si>
  <si>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</si>
  <si>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</si>
  <si>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</si>
  <si>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</si>
  <si>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</si>
  <si>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</si>
  <si>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</si>
  <si>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</si>
  <si>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</si>
  <si>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</si>
  <si>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</si>
  <si>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</si>
  <si>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</si>
  <si>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</si>
  <si>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</si>
  <si>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</si>
  <si>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</si>
  <si>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</si>
  <si>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</si>
  <si>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</si>
  <si>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</si>
  <si>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</si>
  <si>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</si>
  <si>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</si>
  <si>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</si>
  <si>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</si>
  <si>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</si>
  <si>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</si>
  <si>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</si>
  <si>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</si>
  <si>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</si>
  <si>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</si>
  <si>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</si>
  <si>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</si>
  <si>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</si>
  <si>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</si>
  <si>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</si>
  <si>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</si>
  <si>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</si>
  <si>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</si>
  <si>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</si>
  <si>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</si>
  <si>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</si>
  <si>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</si>
  <si>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</si>
  <si>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</si>
  <si>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</si>
  <si>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</si>
  <si>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</si>
  <si>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</si>
  <si>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</si>
  <si>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</si>
  <si>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</si>
  <si>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</si>
  <si>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</si>
  <si>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</si>
  <si>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</si>
  <si>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</si>
  <si>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</si>
  <si>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</si>
  <si>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</si>
  <si>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</si>
  <si>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</si>
  <si>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</si>
  <si>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</si>
  <si>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</si>
  <si>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</si>
  <si>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</si>
  <si>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</si>
  <si>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</si>
  <si>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</si>
  <si>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</si>
  <si>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</si>
  <si>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</si>
  <si>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</si>
  <si>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</si>
  <si>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</si>
  <si>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</si>
  <si>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</si>
  <si>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</si>
  <si>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</si>
  <si>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</si>
  <si>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</si>
  <si>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</si>
  <si>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</si>
  <si>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</si>
  <si>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</si>
  <si>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</si>
  <si>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</si>
  <si>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</si>
  <si>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</si>
  <si>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</si>
  <si>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</si>
  <si>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</si>
  <si>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</si>
  <si>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</si>
  <si>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</si>
  <si>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</si>
  <si>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</si>
  <si>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</si>
  <si>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</si>
  <si>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</si>
  <si>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</si>
  <si>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</si>
  <si>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</si>
  <si>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</si>
  <si>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</si>
  <si>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</si>
  <si>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</si>
  <si>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</si>
  <si>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</si>
  <si>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</si>
  <si>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</si>
  <si>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</si>
  <si>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</si>
  <si>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</si>
  <si>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</si>
  <si>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</si>
  <si>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</si>
  <si>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</si>
  <si>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</si>
  <si>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</si>
  <si>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</si>
  <si>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</si>
  <si>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</si>
  <si>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</si>
  <si>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</si>
  <si>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</si>
  <si>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</si>
  <si>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</si>
  <si>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</si>
  <si>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</si>
  <si>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</si>
  <si>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</si>
  <si>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</si>
  <si>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</si>
  <si>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</si>
  <si>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</si>
  <si>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</si>
  <si>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</si>
  <si>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</si>
  <si>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</si>
  <si>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</si>
  <si>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</si>
  <si>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</si>
  <si>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</si>
  <si>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</si>
  <si>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</si>
  <si>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</si>
  <si>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</si>
  <si>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</si>
  <si>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</si>
  <si>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</si>
  <si>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</si>
  <si>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</si>
  <si>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</si>
  <si>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</si>
  <si>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</si>
  <si>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</si>
  <si>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</si>
  <si>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</si>
  <si>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</si>
  <si>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</si>
  <si>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</si>
  <si>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</si>
  <si>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</si>
  <si>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</si>
  <si>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</si>
  <si>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</si>
  <si>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</si>
  <si>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</si>
  <si>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</si>
  <si>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</si>
  <si>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</si>
  <si>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</si>
  <si>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</si>
  <si>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</si>
  <si>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</si>
  <si>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</si>
  <si>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</si>
  <si>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</si>
  <si>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</si>
  <si>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</si>
  <si>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</si>
  <si>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</si>
  <si>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</si>
  <si>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</si>
  <si>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</si>
  <si>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</si>
  <si>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</si>
  <si>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</si>
  <si>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</si>
  <si>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</si>
  <si>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</si>
  <si>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</si>
  <si>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</si>
  <si>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</si>
  <si>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</si>
  <si>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</si>
  <si>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</si>
  <si>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</si>
  <si>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</si>
  <si>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</si>
  <si>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</si>
  <si>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</si>
  <si>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</si>
  <si>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</si>
  <si>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</si>
  <si>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</si>
  <si>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</si>
  <si>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</si>
  <si>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</si>
  <si>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</si>
  <si>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</si>
  <si>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</si>
  <si>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</si>
  <si>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</si>
  <si>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</si>
  <si>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</si>
  <si>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</si>
  <si>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</si>
  <si>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</si>
  <si>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</si>
  <si>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</si>
  <si>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</si>
  <si>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</si>
  <si>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</si>
  <si>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</si>
  <si>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</si>
  <si>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</si>
  <si>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</si>
  <si>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</si>
  <si>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</si>
  <si>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</si>
  <si>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</si>
  <si>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</si>
  <si>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</si>
  <si>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</si>
  <si>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</si>
  <si>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</si>
  <si>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</si>
  <si>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</si>
  <si>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</si>
  <si>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</si>
  <si>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</si>
  <si>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</si>
  <si>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</si>
  <si>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</si>
  <si>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</si>
  <si>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</si>
  <si>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</si>
  <si>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</si>
  <si>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</si>
  <si>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</si>
  <si>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</si>
  <si>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</si>
  <si>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</si>
  <si>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</si>
  <si>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</si>
  <si>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</si>
  <si>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</si>
  <si>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</si>
  <si>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</si>
  <si>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</si>
  <si>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</si>
  <si>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</si>
  <si>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</si>
  <si>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</si>
  <si>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</si>
  <si>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</si>
  <si>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</si>
  <si>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</si>
  <si>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</si>
  <si>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</si>
  <si>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</si>
  <si>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</si>
  <si>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</si>
  <si>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</si>
  <si>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</si>
  <si>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</si>
  <si>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</si>
  <si>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</si>
  <si>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</si>
  <si>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</si>
  <si>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</si>
  <si>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</si>
  <si>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</si>
  <si>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</si>
  <si>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</si>
  <si>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</si>
  <si>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</si>
  <si>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</si>
  <si>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</si>
  <si>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</si>
  <si>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</si>
  <si>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</si>
  <si>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</si>
  <si>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</si>
  <si>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</si>
  <si>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</si>
  <si>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</si>
  <si>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</si>
  <si>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</si>
  <si>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</si>
  <si>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</si>
  <si>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</si>
  <si>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</si>
  <si>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</si>
  <si>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</si>
  <si>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</si>
  <si>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</si>
  <si>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</si>
  <si>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</si>
  <si>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</si>
  <si>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</si>
  <si>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</si>
  <si>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</si>
  <si>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</si>
  <si>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</si>
  <si>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</si>
  <si>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</si>
  <si>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</si>
  <si>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</si>
  <si>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</si>
  <si>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</si>
  <si>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</si>
  <si>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</si>
  <si>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</si>
  <si>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</si>
  <si>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</si>
  <si>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</si>
  <si>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</si>
  <si>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</si>
  <si>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</si>
  <si>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</si>
  <si>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</si>
  <si>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</si>
  <si>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</si>
  <si>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</si>
  <si>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</si>
  <si>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</si>
  <si>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</si>
  <si>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</si>
  <si>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</si>
  <si>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</si>
  <si>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</si>
  <si>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</si>
  <si>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</si>
  <si>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</si>
  <si>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</si>
  <si>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</si>
  <si>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</si>
  <si>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</si>
  <si>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</si>
  <si>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</si>
  <si>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</si>
  <si>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</si>
  <si>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</si>
  <si>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</si>
  <si>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</si>
  <si>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</si>
  <si>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</si>
  <si>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</si>
  <si>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</si>
  <si>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</si>
  <si>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</si>
  <si>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</si>
  <si>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</si>
  <si>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</si>
  <si>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</si>
  <si>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</si>
  <si>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</si>
  <si>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</si>
  <si>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</si>
  <si>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</si>
  <si>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</si>
  <si>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</si>
  <si>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</si>
  <si>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</si>
  <si>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</si>
  <si>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</si>
  <si>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</si>
  <si>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</si>
  <si>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</si>
  <si>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</si>
  <si>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</si>
  <si>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</si>
  <si>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</si>
  <si>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</si>
  <si>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</si>
  <si>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</si>
  <si>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</si>
  <si>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</si>
  <si>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</si>
  <si>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</si>
  <si>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</si>
  <si>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</si>
  <si>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</si>
  <si>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</si>
  <si>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</si>
  <si>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</si>
  <si>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</si>
  <si>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</si>
  <si>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</si>
  <si>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</si>
  <si>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</si>
  <si>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</si>
  <si>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</si>
  <si>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</si>
  <si>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</si>
  <si>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</si>
  <si>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</si>
  <si>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</si>
  <si>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</si>
  <si>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</si>
  <si>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</si>
  <si>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</si>
  <si>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</si>
  <si>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</si>
  <si>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</si>
  <si>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</si>
  <si>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</si>
  <si>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</si>
  <si>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</si>
  <si>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</si>
  <si>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</si>
  <si>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</si>
  <si>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</si>
  <si>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</si>
  <si>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</si>
  <si>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</si>
  <si>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</si>
  <si>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</si>
  <si>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</si>
  <si>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</si>
  <si>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</si>
  <si>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</si>
  <si>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</si>
  <si>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</si>
  <si>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</si>
  <si>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</si>
  <si>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</si>
  <si>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</si>
  <si>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</si>
  <si>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</si>
  <si>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</si>
  <si>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</si>
  <si>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</si>
  <si>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</si>
  <si>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</si>
  <si>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</si>
  <si>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</si>
  <si>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</si>
  <si>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</si>
  <si>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</si>
  <si>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</si>
  <si>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</si>
  <si>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</si>
  <si>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</si>
  <si>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</si>
  <si>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</si>
  <si>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</si>
  <si>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</si>
  <si>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</si>
  <si>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</si>
  <si>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</si>
  <si>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</si>
  <si>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</si>
  <si>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</si>
  <si>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</si>
  <si>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</si>
  <si>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</si>
  <si>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</si>
  <si>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</si>
  <si>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</si>
  <si>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</si>
  <si>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</si>
  <si>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</si>
  <si>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</si>
  <si>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</si>
  <si>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</si>
  <si>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</si>
  <si>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</si>
  <si>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</si>
  <si>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</si>
  <si>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</si>
  <si>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</si>
  <si>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</si>
  <si>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</si>
  <si>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</si>
  <si>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</si>
  <si>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</si>
  <si>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</si>
  <si>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</si>
  <si>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</si>
  <si>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</si>
  <si>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</si>
  <si>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</si>
  <si>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</si>
  <si>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</si>
  <si>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</si>
  <si>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</si>
  <si>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</si>
  <si>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</si>
  <si>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</si>
  <si>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</si>
  <si>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</si>
  <si>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</si>
  <si>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</si>
  <si>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</si>
  <si>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</si>
  <si>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</si>
  <si>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</si>
  <si>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</si>
  <si>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</si>
  <si>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</si>
  <si>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</si>
  <si>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</si>
  <si>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</si>
  <si>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</si>
  <si>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</si>
  <si>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</si>
  <si>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</si>
  <si>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</si>
  <si>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</si>
  <si>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</si>
  <si>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</si>
  <si>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</si>
  <si>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</si>
  <si>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</si>
  <si>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</si>
  <si>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</si>
  <si>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</si>
  <si>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</si>
  <si>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</si>
  <si>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</si>
  <si>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</si>
  <si>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</si>
  <si>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</si>
  <si>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</si>
  <si>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</si>
  <si>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</si>
  <si>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</si>
  <si>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</si>
  <si>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</si>
  <si>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</si>
  <si>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</si>
  <si>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</si>
  <si>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</si>
  <si>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</si>
  <si>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</si>
  <si>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</si>
  <si>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</si>
  <si>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</si>
  <si>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</si>
  <si>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</si>
  <si>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</si>
  <si>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</si>
  <si>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</si>
  <si>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</si>
  <si>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</si>
  <si>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</si>
  <si>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</si>
  <si>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</si>
  <si>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</si>
  <si>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</si>
  <si>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</si>
  <si>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</si>
  <si>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</si>
  <si>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</si>
  <si>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</si>
  <si>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</si>
  <si>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</si>
  <si>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</si>
  <si>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</si>
  <si>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</si>
  <si>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</si>
  <si>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</si>
  <si>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</si>
  <si>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</si>
  <si>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</si>
  <si>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</si>
  <si>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</si>
  <si>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</si>
  <si>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</si>
  <si>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</si>
  <si>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</si>
  <si>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</si>
  <si>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</si>
  <si>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</si>
  <si>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</si>
  <si>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</si>
  <si>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</si>
  <si>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</si>
  <si>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</si>
  <si>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</si>
  <si>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</si>
  <si>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</si>
  <si>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</si>
  <si>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</si>
  <si>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</si>
  <si>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</si>
  <si>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</si>
  <si>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</si>
  <si>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</si>
  <si>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</si>
  <si>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</si>
  <si>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</si>
  <si>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</si>
  <si>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</si>
  <si>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</si>
  <si>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</si>
  <si>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</si>
  <si>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</si>
  <si>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</si>
  <si>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</si>
  <si>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</si>
  <si>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</si>
  <si>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</si>
  <si>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</si>
  <si>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</si>
  <si>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</si>
  <si>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</si>
  <si>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</si>
  <si>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</si>
  <si>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</si>
  <si>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</si>
  <si>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</si>
  <si>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</si>
  <si>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</si>
  <si>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</si>
  <si>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</si>
  <si>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</si>
  <si>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</si>
  <si>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</si>
  <si>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</si>
  <si>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</si>
  <si>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</si>
  <si>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</si>
  <si>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</si>
  <si>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</si>
  <si>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</si>
  <si>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</si>
  <si>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</si>
  <si>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</si>
  <si>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</si>
  <si>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</si>
  <si>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</si>
  <si>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</si>
  <si>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</si>
  <si>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</si>
  <si>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</si>
  <si>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</si>
  <si>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</si>
  <si>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</si>
  <si>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</si>
  <si>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</si>
  <si>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</si>
  <si>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</si>
  <si>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</si>
  <si>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</si>
  <si>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</si>
  <si>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</si>
  <si>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</si>
  <si>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</si>
  <si>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</si>
  <si>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</si>
  <si>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</si>
  <si>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</si>
  <si>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</si>
  <si>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</si>
  <si>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</si>
  <si>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</si>
  <si>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</si>
  <si>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</si>
  <si>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</si>
  <si>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</si>
  <si>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</si>
  <si>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</si>
  <si>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</si>
  <si>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</si>
  <si>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</si>
  <si>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</si>
  <si>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</si>
  <si>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</si>
  <si>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</si>
  <si>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</si>
  <si>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</si>
  <si>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</si>
  <si>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</si>
  <si>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</si>
  <si>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</si>
  <si>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</si>
  <si>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</si>
  <si>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</si>
  <si>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</si>
  <si>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</si>
  <si>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</si>
  <si>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</si>
  <si>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</si>
  <si>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</si>
  <si>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</si>
  <si>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</si>
  <si>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</si>
  <si>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</si>
  <si>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</si>
  <si>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</si>
  <si>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</si>
  <si>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</si>
  <si>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</si>
  <si>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</si>
  <si>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</si>
  <si>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</si>
  <si>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</si>
  <si>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</si>
  <si>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</si>
  <si>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</si>
  <si>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</si>
  <si>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</si>
  <si>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</si>
  <si>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</si>
  <si>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</si>
  <si>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</si>
  <si>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</si>
  <si>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</si>
  <si>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</si>
  <si>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</si>
  <si>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</si>
  <si>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</si>
  <si>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</si>
  <si>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</si>
  <si>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</si>
  <si>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</si>
  <si>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</si>
  <si>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</si>
  <si>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</si>
  <si>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</si>
  <si>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</si>
  <si>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</si>
  <si>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</si>
  <si>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</si>
  <si>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</si>
  <si>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</si>
  <si>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</si>
  <si>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</si>
  <si>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</si>
  <si>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</si>
  <si>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</si>
  <si>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</si>
  <si>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</si>
  <si>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</si>
  <si>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</si>
  <si>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</si>
  <si>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</si>
  <si>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</si>
  <si>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</si>
  <si>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</si>
  <si>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</si>
  <si>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</si>
  <si>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</si>
  <si>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</si>
  <si>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</si>
  <si>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</si>
  <si>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</si>
  <si>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</si>
  <si>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</si>
  <si>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</si>
  <si>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</si>
  <si>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</si>
  <si>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</si>
  <si>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</si>
  <si>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</si>
  <si>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</si>
  <si>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</si>
  <si>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</si>
  <si>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</si>
  <si>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</si>
  <si>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</si>
  <si>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</si>
  <si>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</si>
  <si>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</si>
  <si>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</si>
  <si>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</si>
  <si>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</si>
  <si>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</si>
  <si>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</si>
  <si>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</si>
  <si>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</si>
  <si>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</si>
  <si>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</si>
  <si>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</si>
  <si>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</si>
  <si>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</si>
  <si>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</si>
  <si>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</si>
  <si>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</si>
  <si>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</si>
  <si>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</si>
  <si>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</si>
  <si>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</si>
  <si>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</si>
  <si>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</si>
  <si>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</si>
  <si>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</si>
  <si>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</si>
  <si>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</si>
  <si>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</si>
  <si>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</si>
  <si>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</si>
  <si>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</si>
  <si>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</si>
  <si>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</si>
  <si>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</si>
  <si>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</si>
  <si>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</si>
  <si>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</si>
  <si>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</si>
  <si>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</si>
  <si>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</si>
  <si>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</si>
  <si>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</si>
  <si>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</si>
  <si>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</si>
  <si>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</si>
  <si>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</si>
  <si>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</si>
  <si>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</si>
  <si>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</si>
  <si>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</si>
  <si>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</si>
  <si>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</si>
  <si>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</si>
  <si>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</si>
  <si>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</si>
  <si>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</si>
  <si>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</si>
  <si>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</si>
  <si>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</si>
  <si>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</si>
  <si>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</si>
  <si>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</si>
  <si>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</si>
  <si>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</si>
  <si>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</si>
  <si>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</si>
  <si>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</si>
  <si>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</si>
  <si>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</si>
  <si>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</si>
  <si>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</si>
  <si>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</si>
  <si>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</si>
  <si>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</si>
  <si>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</si>
  <si>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</si>
  <si>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</si>
  <si>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</si>
  <si>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</si>
  <si>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</si>
  <si>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</si>
  <si>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</si>
  <si>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</si>
  <si>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</si>
  <si>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</si>
  <si>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</si>
  <si>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</si>
  <si>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</si>
  <si>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</si>
  <si>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</si>
  <si>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</si>
  <si>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</si>
  <si>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</si>
  <si>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</si>
  <si>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</si>
  <si>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</si>
  <si>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</si>
  <si>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</si>
  <si>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</si>
  <si>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</si>
  <si>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</si>
  <si>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</si>
  <si>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</si>
  <si>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</si>
  <si>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</si>
  <si>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</si>
  <si>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</si>
  <si>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</si>
  <si>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</si>
  <si>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</si>
  <si>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</si>
  <si>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</si>
  <si>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</si>
  <si>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</si>
  <si>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</si>
  <si>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</si>
  <si>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</si>
  <si>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</si>
  <si>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</si>
  <si>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</si>
  <si>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</si>
  <si>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</si>
  <si>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</si>
  <si>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</si>
  <si>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</si>
  <si>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</si>
  <si>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</si>
  <si>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</si>
  <si>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</si>
  <si>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</si>
  <si>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</si>
  <si>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</si>
  <si>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</si>
  <si>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</si>
  <si>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</si>
  <si>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</si>
  <si>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</si>
  <si>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</si>
  <si>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</si>
  <si>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</si>
  <si>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</si>
  <si>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</si>
  <si>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</si>
  <si>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</si>
  <si>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</si>
  <si>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</si>
  <si>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</si>
  <si>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</si>
  <si>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</si>
  <si>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</si>
  <si>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</si>
  <si>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</si>
  <si>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</si>
  <si>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</si>
  <si>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</si>
  <si>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</si>
  <si>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</si>
  <si>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</si>
  <si>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</si>
  <si>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</si>
  <si>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</si>
  <si>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</si>
  <si>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</si>
  <si>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</si>
  <si>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</si>
  <si>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</si>
  <si>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</si>
  <si>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</si>
  <si>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</si>
  <si>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</si>
  <si>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</si>
  <si>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</si>
  <si>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</si>
  <si>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</si>
  <si>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</si>
  <si>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</si>
  <si>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</si>
  <si>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</si>
  <si>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</si>
  <si>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</si>
  <si>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</si>
  <si>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</si>
  <si>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</si>
  <si>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</si>
  <si>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</si>
  <si>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</si>
  <si>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</si>
  <si>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</si>
  <si>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</si>
  <si>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</si>
  <si>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</si>
  <si>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</si>
  <si>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</si>
  <si>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</si>
  <si>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</si>
  <si>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</si>
  <si>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</si>
  <si>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</si>
  <si>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</si>
  <si>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</si>
  <si>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</si>
  <si>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</si>
  <si>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</si>
  <si>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</si>
  <si>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</si>
  <si>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</si>
  <si>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</si>
  <si>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</si>
  <si>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</si>
  <si>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</si>
  <si>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</si>
  <si>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</si>
  <si>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</si>
  <si>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</si>
  <si>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</si>
  <si>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</si>
  <si>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</si>
  <si>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</si>
  <si>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</si>
  <si>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</si>
  <si>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</si>
  <si>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</si>
  <si>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</si>
  <si>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</si>
  <si>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</si>
  <si>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</si>
  <si>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</si>
  <si>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</si>
  <si>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</si>
  <si>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</si>
  <si>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</si>
  <si>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</si>
  <si>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</si>
  <si>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</si>
  <si>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</si>
  <si>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</si>
  <si>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</si>
  <si>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</si>
  <si>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</si>
  <si>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</si>
  <si>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</si>
  <si>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</si>
  <si>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</si>
  <si>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</si>
  <si>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</si>
  <si>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</si>
  <si>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</si>
  <si>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</si>
  <si>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</si>
  <si>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</si>
  <si>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</si>
  <si>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</si>
  <si>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</si>
  <si>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</si>
  <si>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</si>
  <si>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</si>
  <si>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</si>
  <si>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</si>
  <si>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</si>
  <si>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</si>
  <si>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</si>
  <si>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</si>
  <si>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</si>
  <si>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</si>
  <si>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</si>
  <si>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</si>
  <si>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</si>
  <si>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</si>
  <si>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</si>
  <si>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</si>
  <si>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</si>
  <si>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</si>
  <si>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</si>
  <si>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</si>
  <si>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</si>
  <si>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</si>
  <si>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</si>
  <si>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</si>
  <si>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</si>
  <si>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</si>
  <si>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</si>
  <si>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</si>
  <si>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</si>
  <si>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</si>
  <si>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</si>
  <si>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</si>
  <si>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</si>
  <si>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</si>
  <si>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</si>
  <si>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</si>
  <si>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</si>
  <si>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</si>
  <si>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</si>
  <si>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</si>
  <si>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</si>
  <si>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</si>
  <si>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</si>
  <si>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</si>
  <si>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</si>
  <si>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</si>
  <si>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</si>
  <si>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</si>
  <si>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</si>
  <si>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</si>
  <si>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</si>
  <si>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</si>
  <si>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</si>
  <si>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</si>
  <si>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</si>
  <si>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</si>
  <si>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</si>
  <si>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</si>
  <si>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</si>
  <si>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</si>
  <si>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</si>
  <si>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</si>
  <si>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</si>
  <si>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</si>
  <si>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</si>
  <si>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</si>
  <si>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</si>
  <si>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</si>
  <si>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</si>
  <si>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</si>
  <si>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</si>
  <si>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</si>
  <si>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</si>
  <si>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</si>
  <si>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</si>
  <si>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</si>
  <si>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</si>
  <si>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</si>
  <si>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</si>
  <si>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</si>
  <si>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</si>
  <si>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</si>
  <si>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</si>
  <si>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</si>
  <si>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</si>
  <si>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</si>
  <si>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</si>
  <si>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</si>
  <si>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</si>
  <si>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</si>
  <si>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</si>
  <si>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</si>
  <si>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</si>
  <si>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</si>
  <si>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</si>
  <si>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</si>
  <si>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</si>
  <si>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</si>
  <si>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</si>
  <si>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</si>
  <si>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</si>
  <si>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</si>
  <si>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</si>
  <si>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</si>
  <si>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</si>
  <si>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</si>
  <si>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</si>
  <si>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</si>
  <si>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</si>
  <si>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</si>
  <si>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</si>
  <si>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</si>
  <si>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</si>
  <si>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</si>
  <si>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</si>
  <si>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</si>
  <si>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</si>
  <si>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</si>
  <si>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</si>
  <si>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</si>
  <si>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</si>
  <si>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</si>
  <si>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</si>
  <si>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</si>
  <si>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</si>
  <si>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</si>
  <si>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</si>
  <si>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</si>
  <si>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</si>
  <si>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</si>
  <si>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</si>
  <si>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</si>
  <si>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</si>
  <si>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</si>
  <si>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</si>
  <si>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</si>
  <si>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</si>
  <si>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</si>
  <si>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</si>
  <si>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</si>
  <si>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</si>
  <si>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</si>
  <si>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</si>
  <si>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</si>
  <si>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</si>
  <si>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</si>
  <si>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</si>
  <si>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</si>
  <si>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</si>
  <si>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</si>
  <si>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</si>
  <si>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</si>
  <si>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</si>
  <si>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</si>
  <si>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</si>
  <si>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</si>
  <si>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</si>
  <si>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</si>
  <si>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</si>
  <si>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</si>
  <si>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</si>
  <si>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</si>
  <si>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</si>
  <si>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</si>
  <si>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</si>
  <si>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</si>
  <si>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</si>
  <si>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</si>
  <si>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</si>
  <si>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</si>
  <si>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</si>
  <si>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</si>
  <si>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</si>
  <si>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</si>
  <si>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</si>
  <si>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</si>
  <si>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</si>
  <si>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</si>
  <si>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</si>
  <si>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</si>
  <si>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</si>
  <si>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</si>
  <si>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</si>
  <si>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</si>
  <si>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</si>
  <si>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</si>
  <si>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</si>
  <si>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</si>
  <si>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</si>
  <si>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</si>
  <si>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</si>
  <si>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</si>
  <si>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</si>
  <si>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</si>
  <si>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</si>
  <si>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</si>
  <si>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</si>
  <si>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</si>
  <si>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</si>
  <si>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</si>
  <si>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</si>
  <si>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</si>
  <si>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</si>
  <si>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</si>
  <si>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</si>
  <si>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</si>
  <si>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</si>
  <si>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</si>
  <si>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</si>
  <si>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</si>
  <si>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</si>
  <si>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</si>
  <si>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</si>
  <si>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</si>
  <si>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</si>
  <si>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</si>
  <si>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</si>
  <si>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</si>
  <si>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</si>
  <si>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</si>
  <si>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</si>
  <si>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</si>
  <si>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</si>
  <si>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</si>
  <si>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</si>
  <si>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</si>
  <si>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</si>
  <si>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</si>
  <si>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</si>
  <si>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</si>
  <si>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</si>
  <si>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</si>
  <si>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</si>
  <si>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</si>
  <si>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</si>
  <si>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</si>
  <si>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</si>
  <si>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</si>
  <si>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</si>
  <si>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</si>
  <si>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</si>
  <si>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</si>
  <si>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</si>
  <si>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</si>
  <si>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</si>
  <si>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</si>
  <si>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</si>
  <si>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</si>
  <si>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</si>
  <si>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</si>
  <si>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</si>
  <si>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</si>
  <si>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</si>
  <si>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</si>
  <si>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</si>
  <si>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</si>
  <si>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</si>
  <si>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</si>
  <si>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</si>
  <si>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</si>
  <si>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</si>
  <si>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</si>
  <si>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</si>
  <si>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</si>
  <si>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</si>
  <si>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</si>
  <si>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</si>
  <si>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</si>
  <si>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</si>
  <si>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</si>
  <si>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</si>
  <si>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</si>
  <si>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</si>
  <si>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</si>
  <si>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</si>
  <si>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</si>
  <si>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</si>
  <si>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</si>
  <si>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</si>
  <si>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</si>
  <si>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</si>
  <si>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</si>
  <si>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</si>
  <si>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</si>
  <si>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</si>
  <si>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</si>
  <si>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</si>
  <si>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</si>
  <si>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</si>
  <si>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</si>
  <si>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</si>
  <si>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</si>
  <si>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</si>
  <si>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</si>
  <si>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</si>
  <si>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</si>
  <si>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</si>
  <si>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</si>
  <si>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</si>
  <si>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</si>
  <si>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</si>
  <si>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</si>
  <si>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</si>
  <si>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</si>
  <si>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</si>
  <si>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</si>
  <si>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</si>
  <si>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</si>
  <si>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</si>
  <si>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</si>
  <si>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</si>
  <si>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</si>
  <si>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</si>
  <si>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</si>
  <si>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</si>
  <si>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</si>
  <si>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</si>
  <si>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</si>
  <si>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</si>
  <si>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</si>
  <si>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</si>
  <si>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</si>
  <si>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</si>
  <si>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</si>
  <si>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</si>
  <si>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</si>
  <si>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</si>
  <si>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</si>
  <si>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</si>
  <si>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</si>
  <si>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</si>
  <si>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</si>
  <si>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</si>
  <si>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</si>
  <si>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</si>
  <si>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</si>
  <si>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</si>
  <si>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</si>
  <si>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</si>
  <si>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</si>
  <si>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</si>
  <si>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</si>
  <si>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</si>
  <si>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</si>
  <si>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</si>
  <si>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</si>
  <si>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</si>
  <si>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</si>
  <si>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</si>
  <si>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</si>
  <si>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</si>
  <si>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</si>
  <si>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</si>
  <si>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</si>
  <si>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</si>
  <si>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</si>
  <si>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</si>
  <si>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</si>
  <si>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</si>
  <si>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</si>
  <si>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</si>
  <si>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</si>
  <si>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00990A</t>
    <phoneticPr fontId="71" type="noConversion"/>
  </si>
  <si>
    <t>虹光</t>
  </si>
  <si>
    <t>提供掃瞄器、MFP等數位化辦公設備供應商</t>
  </si>
  <si>
    <t>璟德</t>
  </si>
  <si>
    <t>台灣最大LTCC元件廠</t>
  </si>
  <si>
    <t>轉換標的，，獲利了結。</t>
    <phoneticPr fontId="71" type="noConversion"/>
  </si>
  <si>
    <t>115萬</t>
  </si>
  <si>
    <t>00685L</t>
  </si>
  <si>
    <t>群益臺灣加權正2</t>
  </si>
  <si>
    <t>1.31億</t>
  </si>
  <si>
    <t>1.17億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</si>
  <si>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</si>
  <si>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</si>
  <si>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</si>
  <si>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</si>
  <si>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</si>
  <si>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</si>
  <si>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</si>
  <si>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</si>
  <si>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</si>
  <si>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</si>
  <si>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</si>
  <si>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123萬</t>
  </si>
  <si>
    <t>166萬</t>
  </si>
  <si>
    <t>1.00億</t>
  </si>
  <si>
    <t>122萬</t>
  </si>
  <si>
    <t>海昌生技</t>
  </si>
  <si>
    <t>開發膠原蛋白植入物之醫材廠</t>
  </si>
  <si>
    <t>聯邦美國金融創新</t>
  </si>
  <si>
    <t>1.67億</t>
  </si>
  <si>
    <t>120萬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</si>
  <si>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</si>
  <si>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</si>
  <si>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</si>
  <si>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</si>
  <si>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</si>
  <si>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</si>
  <si>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</si>
  <si>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</si>
  <si>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</si>
  <si>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</si>
  <si>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1.09億</t>
  </si>
  <si>
    <t>駿吉-KY</t>
  </si>
  <si>
    <t>東南亞最大氣動式工業用槍釘供應商</t>
  </si>
  <si>
    <t>186萬</t>
  </si>
  <si>
    <t>106萬</t>
  </si>
  <si>
    <t>1.16億</t>
  </si>
  <si>
    <t>1.20億</t>
  </si>
  <si>
    <t>103萬</t>
  </si>
  <si>
    <t>台鎔科技</t>
  </si>
  <si>
    <t>焚化及廢熱與蒸餾回收廢棄物處理廠</t>
  </si>
  <si>
    <t>154萬</t>
  </si>
  <si>
    <t>219萬</t>
  </si>
  <si>
    <t>174萬</t>
  </si>
  <si>
    <t>1.27億</t>
  </si>
  <si>
    <t>102萬</t>
  </si>
  <si>
    <t>118萬</t>
  </si>
  <si>
    <t>340萬</t>
  </si>
  <si>
    <t>1.15億</t>
  </si>
  <si>
    <t>1.12億</t>
  </si>
  <si>
    <t>1.06億</t>
  </si>
  <si>
    <t>192萬</t>
  </si>
  <si>
    <t>1.02億</t>
  </si>
  <si>
    <t>1.39億</t>
  </si>
  <si>
    <t>1.21億</t>
  </si>
  <si>
    <t>1.19億</t>
  </si>
  <si>
    <t>10.8億</t>
  </si>
  <si>
    <t>114萬</t>
  </si>
  <si>
    <t>303萬</t>
  </si>
  <si>
    <t>大鵬科CLMX</t>
  </si>
  <si>
    <t>台灣安防警報系統及長照警報系統廠商</t>
  </si>
  <si>
    <t>1.22億</t>
  </si>
  <si>
    <t>378萬</t>
  </si>
  <si>
    <t>176萬</t>
  </si>
  <si>
    <t>台灣第二大3C電子通路代理商</t>
  </si>
  <si>
    <t>306萬</t>
  </si>
  <si>
    <t>152萬</t>
  </si>
  <si>
    <t>141萬</t>
  </si>
  <si>
    <t>148萬</t>
  </si>
  <si>
    <t>150萬</t>
  </si>
  <si>
    <t>703萬</t>
  </si>
  <si>
    <t>295萬</t>
  </si>
  <si>
    <t>135萬</t>
  </si>
  <si>
    <t>107萬</t>
  </si>
  <si>
    <t>110萬</t>
  </si>
  <si>
    <t>緯致</t>
  </si>
  <si>
    <t>12.1億</t>
  </si>
  <si>
    <t>589萬</t>
  </si>
  <si>
    <t>1.30億</t>
  </si>
  <si>
    <t>129萬</t>
  </si>
  <si>
    <t>142萬</t>
  </si>
  <si>
    <t>185萬</t>
  </si>
  <si>
    <t>1.51億</t>
  </si>
  <si>
    <t>138萬</t>
  </si>
  <si>
    <t>台灣臍帶血公司</t>
  </si>
  <si>
    <t>130萬</t>
  </si>
  <si>
    <t>499萬</t>
  </si>
  <si>
    <t>1.37億</t>
  </si>
  <si>
    <t>10.3億</t>
  </si>
  <si>
    <t>11.3萬</t>
  </si>
  <si>
    <t>1.95億</t>
  </si>
  <si>
    <t>137萬</t>
  </si>
  <si>
    <t>211萬</t>
  </si>
  <si>
    <t>2.11億</t>
  </si>
  <si>
    <t>117萬</t>
  </si>
  <si>
    <t>15.9萬</t>
  </si>
  <si>
    <t>515萬</t>
  </si>
  <si>
    <t>169萬</t>
  </si>
  <si>
    <t>1.13億</t>
  </si>
  <si>
    <t>361萬</t>
  </si>
  <si>
    <t>206萬</t>
  </si>
  <si>
    <t>台達電</t>
    <phoneticPr fontId="71" type="noConversion"/>
  </si>
  <si>
    <t>南山人壽解約金</t>
    <phoneticPr fontId="71" type="noConversion"/>
  </si>
  <si>
    <t>阿嬤的祝福</t>
    <phoneticPr fontId="71" type="noConversion"/>
  </si>
  <si>
    <t>00410A</t>
  </si>
  <si>
    <t>主動永豐科技趨勢</t>
  </si>
  <si>
    <t>22.6萬</t>
  </si>
  <si>
    <t>1.43億</t>
  </si>
  <si>
    <t>貝萊德世界股票</t>
  </si>
  <si>
    <t>815萬</t>
  </si>
  <si>
    <t>505萬</t>
  </si>
  <si>
    <t>00991B</t>
  </si>
  <si>
    <t>貝萊德A級公司債</t>
  </si>
  <si>
    <t>1.82億</t>
  </si>
  <si>
    <t>聯發</t>
  </si>
  <si>
    <t>台灣十大聚酯加工絲廠之一</t>
  </si>
  <si>
    <t>466萬</t>
  </si>
  <si>
    <t>1.41億</t>
  </si>
  <si>
    <t>184萬</t>
  </si>
  <si>
    <t>144萬</t>
  </si>
  <si>
    <t>1.66億</t>
  </si>
  <si>
    <t>337萬</t>
  </si>
  <si>
    <t>375萬</t>
  </si>
  <si>
    <t>146萬</t>
  </si>
  <si>
    <t>140萬</t>
  </si>
  <si>
    <t>124萬</t>
  </si>
  <si>
    <t>320萬</t>
  </si>
  <si>
    <t>173萬</t>
  </si>
  <si>
    <t>359萬</t>
  </si>
  <si>
    <t>381萬</t>
  </si>
  <si>
    <t>436萬</t>
  </si>
  <si>
    <t>370萬</t>
  </si>
  <si>
    <t>368萬</t>
  </si>
  <si>
    <t>544萬</t>
  </si>
  <si>
    <t>234萬</t>
  </si>
  <si>
    <t>355萬</t>
  </si>
  <si>
    <t>222萬</t>
  </si>
  <si>
    <t>143萬</t>
  </si>
  <si>
    <t>284萬</t>
  </si>
  <si>
    <t>18.4億</t>
  </si>
  <si>
    <t>108萬</t>
  </si>
  <si>
    <t>1.76億</t>
  </si>
  <si>
    <t>113萬</t>
  </si>
  <si>
    <t>489萬</t>
  </si>
  <si>
    <t>366萬</t>
  </si>
  <si>
    <t>521萬</t>
  </si>
  <si>
    <t>3.63億</t>
  </si>
  <si>
    <t>385萬</t>
  </si>
  <si>
    <t>488萬</t>
  </si>
  <si>
    <t>290萬</t>
  </si>
  <si>
    <t>18.9億</t>
  </si>
  <si>
    <t>12.6億</t>
  </si>
  <si>
    <t>1.94億</t>
  </si>
  <si>
    <t>188萬</t>
  </si>
  <si>
    <t>601萬</t>
  </si>
  <si>
    <t>32.4萬</t>
  </si>
  <si>
    <t>85.2萬</t>
  </si>
  <si>
    <t>293萬</t>
  </si>
  <si>
    <t>1.53億</t>
  </si>
  <si>
    <t>1158萬</t>
  </si>
  <si>
    <t>172萬</t>
  </si>
  <si>
    <t>256萬</t>
  </si>
  <si>
    <t>2.70億</t>
  </si>
  <si>
    <t>237萬</t>
  </si>
  <si>
    <t>281萬</t>
  </si>
  <si>
    <t>15.0萬</t>
  </si>
  <si>
    <t>112萬</t>
  </si>
  <si>
    <t>2.46億</t>
  </si>
  <si>
    <t>259萬</t>
  </si>
  <si>
    <t>210萬</t>
  </si>
  <si>
    <t>268萬</t>
  </si>
  <si>
    <t>58.3萬</t>
  </si>
  <si>
    <t>37.7萬</t>
  </si>
  <si>
    <t>511萬</t>
  </si>
  <si>
    <t>179萬</t>
  </si>
  <si>
    <t>31.6萬</t>
  </si>
  <si>
    <t>600萬</t>
  </si>
  <si>
    <t>4.14億</t>
  </si>
  <si>
    <t>14.1億</t>
  </si>
  <si>
    <t>38.6萬</t>
  </si>
  <si>
    <t>834萬</t>
  </si>
  <si>
    <t>11.6萬</t>
  </si>
  <si>
    <t>189萬</t>
  </si>
  <si>
    <t>26.8萬</t>
  </si>
  <si>
    <t>2333萬</t>
  </si>
  <si>
    <t>578萬</t>
  </si>
  <si>
    <t>693萬</t>
  </si>
  <si>
    <t>66.1萬</t>
  </si>
  <si>
    <t>2.28億</t>
  </si>
  <si>
    <t>652萬</t>
  </si>
  <si>
    <t>82.7萬</t>
  </si>
  <si>
    <t>47.0萬</t>
  </si>
  <si>
    <t>254萬</t>
  </si>
  <si>
    <t>111萬</t>
  </si>
  <si>
    <t>155萬</t>
  </si>
  <si>
    <t>133億</t>
  </si>
  <si>
    <t>22.9萬</t>
  </si>
  <si>
    <t>531萬</t>
  </si>
  <si>
    <t>332萬</t>
  </si>
  <si>
    <t>471萬</t>
  </si>
  <si>
    <t>784萬</t>
  </si>
  <si>
    <t>331萬</t>
  </si>
  <si>
    <t>2756萬</t>
  </si>
  <si>
    <t>1.52億</t>
  </si>
  <si>
    <t>380萬</t>
  </si>
  <si>
    <t>1.10億</t>
  </si>
  <si>
    <t>1.36億</t>
  </si>
  <si>
    <t>1030萬</t>
  </si>
  <si>
    <t>882萬</t>
  </si>
  <si>
    <t>670萬</t>
  </si>
  <si>
    <t>24.8萬</t>
  </si>
  <si>
    <t>342萬</t>
  </si>
  <si>
    <t>81.1萬</t>
  </si>
  <si>
    <t>119萬</t>
  </si>
  <si>
    <t>1681萬</t>
  </si>
  <si>
    <t>3.67億</t>
  </si>
  <si>
    <t>48.1萬</t>
  </si>
  <si>
    <t>2.08億</t>
  </si>
  <si>
    <t>170萬</t>
  </si>
  <si>
    <t>199萬</t>
  </si>
  <si>
    <t>53.0萬</t>
  </si>
  <si>
    <t>50.5萬</t>
  </si>
  <si>
    <t>190萬</t>
  </si>
  <si>
    <t>588萬</t>
  </si>
  <si>
    <t>2.33億</t>
  </si>
  <si>
    <t>4.65億</t>
  </si>
  <si>
    <t>47.7萬</t>
  </si>
  <si>
    <t>434萬</t>
  </si>
  <si>
    <t>285萬</t>
  </si>
  <si>
    <t>470萬</t>
  </si>
  <si>
    <t>248萬</t>
  </si>
  <si>
    <t>571萬</t>
  </si>
  <si>
    <t>2.45億</t>
  </si>
  <si>
    <t>36.5萬</t>
  </si>
  <si>
    <t>2.10億</t>
  </si>
  <si>
    <t>55.9萬</t>
  </si>
  <si>
    <t>302萬</t>
  </si>
  <si>
    <t>16.2萬</t>
  </si>
  <si>
    <t>3.81億</t>
  </si>
  <si>
    <t>1.32億</t>
  </si>
  <si>
    <t>11.5億</t>
  </si>
  <si>
    <t>3.15億</t>
  </si>
  <si>
    <t>3.88億</t>
  </si>
  <si>
    <t>1.44億</t>
  </si>
  <si>
    <t>14.5億</t>
  </si>
  <si>
    <t>632萬</t>
  </si>
  <si>
    <t>27.0億</t>
  </si>
  <si>
    <t>225萬</t>
  </si>
  <si>
    <t>10.9億</t>
  </si>
  <si>
    <t>1.61億</t>
  </si>
  <si>
    <t>379萬</t>
  </si>
  <si>
    <t>162萬</t>
  </si>
  <si>
    <t>1690萬</t>
  </si>
  <si>
    <t>245萬</t>
  </si>
  <si>
    <t>132萬</t>
  </si>
  <si>
    <t>1.23億</t>
  </si>
  <si>
    <t>183萬</t>
  </si>
  <si>
    <t>56.8萬</t>
  </si>
  <si>
    <t>9.38億</t>
  </si>
  <si>
    <t>448萬</t>
  </si>
  <si>
    <t>1.38億</t>
  </si>
  <si>
    <t>318萬</t>
  </si>
  <si>
    <t>229萬</t>
  </si>
  <si>
    <t>4348萬</t>
  </si>
  <si>
    <t>181萬</t>
  </si>
  <si>
    <t>13.3億</t>
  </si>
  <si>
    <t>367萬</t>
  </si>
  <si>
    <t>98.8萬</t>
  </si>
  <si>
    <t>590萬</t>
  </si>
  <si>
    <t>27.2億</t>
  </si>
  <si>
    <t>635萬</t>
  </si>
  <si>
    <t>28.6萬</t>
  </si>
  <si>
    <t>1.73億</t>
  </si>
  <si>
    <t>24.1萬</t>
  </si>
  <si>
    <t>121億</t>
  </si>
  <si>
    <t>175萬</t>
  </si>
  <si>
    <t>1066萬</t>
  </si>
  <si>
    <t>2.07億</t>
  </si>
  <si>
    <t>232萬</t>
  </si>
  <si>
    <t>30.7萬</t>
  </si>
  <si>
    <t>339萬</t>
  </si>
  <si>
    <t>20.4萬</t>
  </si>
  <si>
    <t>502萬</t>
  </si>
  <si>
    <t>4.57億</t>
  </si>
  <si>
    <t>1.50億</t>
  </si>
  <si>
    <t>114億</t>
  </si>
  <si>
    <t>19.1萬</t>
  </si>
  <si>
    <t>69.6萬</t>
  </si>
  <si>
    <t>705萬</t>
  </si>
  <si>
    <t>147萬</t>
  </si>
  <si>
    <t>52.2萬</t>
  </si>
  <si>
    <t>66.5萬</t>
  </si>
  <si>
    <t>3.30億</t>
  </si>
  <si>
    <t>212萬</t>
  </si>
  <si>
    <t>10.7億</t>
  </si>
  <si>
    <t>17.8萬</t>
  </si>
  <si>
    <t>570萬</t>
  </si>
  <si>
    <t>19.0億</t>
  </si>
  <si>
    <t>557萬</t>
  </si>
  <si>
    <t>207萬</t>
  </si>
  <si>
    <t>16.6萬</t>
  </si>
  <si>
    <t>389萬</t>
  </si>
  <si>
    <t>1261萬</t>
  </si>
  <si>
    <t>48.9萬</t>
  </si>
  <si>
    <t>4.51億</t>
  </si>
  <si>
    <t>12.0萬</t>
  </si>
  <si>
    <t>529萬</t>
  </si>
  <si>
    <t>907萬</t>
  </si>
  <si>
    <t>1.34億</t>
  </si>
  <si>
    <t>362萬</t>
  </si>
  <si>
    <t>424萬</t>
  </si>
  <si>
    <t>4.73億</t>
  </si>
  <si>
    <t>4.10億</t>
  </si>
  <si>
    <t>1.97億</t>
  </si>
  <si>
    <t>205萬</t>
  </si>
  <si>
    <t>31.9萬</t>
  </si>
  <si>
    <t>67.2萬</t>
  </si>
  <si>
    <t>1129萬</t>
  </si>
  <si>
    <t>18.6萬</t>
  </si>
  <si>
    <t>4805萬</t>
  </si>
  <si>
    <t>1.57億</t>
  </si>
  <si>
    <t>42.1億</t>
  </si>
  <si>
    <t>501萬</t>
  </si>
  <si>
    <t>32.6億</t>
  </si>
  <si>
    <t>543萬</t>
  </si>
  <si>
    <t>282萬</t>
  </si>
  <si>
    <t>681萬</t>
  </si>
  <si>
    <t>1.69億</t>
  </si>
  <si>
    <t>517萬</t>
  </si>
  <si>
    <t>22.7萬</t>
  </si>
  <si>
    <t>1018萬</t>
  </si>
  <si>
    <t>50.1萬</t>
  </si>
  <si>
    <t>679萬</t>
  </si>
  <si>
    <t>2.97億</t>
  </si>
  <si>
    <t>2666萬</t>
  </si>
  <si>
    <t>2396萬</t>
  </si>
  <si>
    <t>1.75億</t>
  </si>
  <si>
    <t>1731萬</t>
  </si>
  <si>
    <t>875萬</t>
  </si>
  <si>
    <t>53.9萬</t>
  </si>
  <si>
    <t>326萬</t>
  </si>
  <si>
    <t>427萬</t>
  </si>
  <si>
    <t>194萬</t>
  </si>
  <si>
    <t>574萬</t>
  </si>
  <si>
    <t>325萬</t>
  </si>
  <si>
    <t>273萬</t>
  </si>
  <si>
    <t>311萬</t>
  </si>
  <si>
    <t>360萬</t>
  </si>
  <si>
    <t>1409萬</t>
  </si>
  <si>
    <t>26.5萬</t>
  </si>
  <si>
    <t>1374萬</t>
  </si>
  <si>
    <t>1.71億</t>
  </si>
  <si>
    <t>888萬</t>
  </si>
  <si>
    <t>3321萬</t>
  </si>
  <si>
    <t>220萬</t>
  </si>
  <si>
    <t>4.36億</t>
  </si>
  <si>
    <t>6048萬</t>
  </si>
  <si>
    <t>62.0萬</t>
  </si>
  <si>
    <t>1573萬</t>
  </si>
  <si>
    <t>734萬</t>
  </si>
  <si>
    <t>727萬</t>
  </si>
  <si>
    <t>409萬</t>
  </si>
  <si>
    <t>1003萬</t>
  </si>
  <si>
    <t>428萬</t>
  </si>
  <si>
    <t>591萬</t>
  </si>
  <si>
    <t>642萬</t>
  </si>
  <si>
    <t>4.91億</t>
  </si>
  <si>
    <t>615萬</t>
  </si>
  <si>
    <t>1296萬</t>
  </si>
  <si>
    <t>4.59億</t>
  </si>
  <si>
    <t>16.5萬</t>
  </si>
  <si>
    <t>25.7萬</t>
  </si>
  <si>
    <t>26.0萬</t>
  </si>
  <si>
    <t>2.26億</t>
  </si>
  <si>
    <t>1546萬</t>
  </si>
  <si>
    <t>5843萬</t>
  </si>
  <si>
    <t>34.3萬</t>
  </si>
  <si>
    <t>64.2萬</t>
  </si>
  <si>
    <t>2801萬</t>
  </si>
  <si>
    <t>17.3萬</t>
  </si>
  <si>
    <t>382萬</t>
  </si>
  <si>
    <t>30.5萬</t>
  </si>
  <si>
    <t>2.01億</t>
  </si>
  <si>
    <t>45.6萬</t>
  </si>
  <si>
    <t>24.9萬</t>
  </si>
  <si>
    <t>333萬</t>
  </si>
  <si>
    <t>537萬</t>
  </si>
  <si>
    <t>73.3萬</t>
  </si>
  <si>
    <t>22.1萬</t>
  </si>
  <si>
    <t>25.9萬</t>
  </si>
  <si>
    <t>87.0萬</t>
  </si>
  <si>
    <t>437萬</t>
  </si>
  <si>
    <t>182萬</t>
  </si>
  <si>
    <t>1841萬</t>
  </si>
  <si>
    <t>2.65萬</t>
  </si>
  <si>
    <t>2.38億</t>
  </si>
  <si>
    <t>55.8萬</t>
  </si>
  <si>
    <t>2.70萬</t>
  </si>
  <si>
    <t>34.8萬</t>
  </si>
  <si>
    <t>28.0萬</t>
  </si>
  <si>
    <t>312萬</t>
  </si>
  <si>
    <t>87.7萬</t>
  </si>
  <si>
    <t>1816萬</t>
  </si>
  <si>
    <t>277萬</t>
  </si>
  <si>
    <t>418萬</t>
  </si>
  <si>
    <t>3.56億</t>
  </si>
  <si>
    <t>46.5萬</t>
  </si>
  <si>
    <t>352萬</t>
  </si>
  <si>
    <t>47.3萬</t>
  </si>
  <si>
    <t>235萬</t>
  </si>
  <si>
    <t>13.1萬</t>
  </si>
  <si>
    <t>510萬</t>
  </si>
  <si>
    <t>426萬</t>
  </si>
  <si>
    <t>8318萬</t>
  </si>
  <si>
    <t>1578萬</t>
  </si>
  <si>
    <t>239萬</t>
  </si>
  <si>
    <t>939萬</t>
  </si>
  <si>
    <t>4424萬</t>
  </si>
  <si>
    <t>593萬</t>
  </si>
  <si>
    <t>8191萬</t>
  </si>
  <si>
    <t>13.5萬</t>
  </si>
  <si>
    <t>35.9萬</t>
  </si>
  <si>
    <t>301萬</t>
  </si>
  <si>
    <t>307萬</t>
  </si>
  <si>
    <t>3.00萬</t>
  </si>
  <si>
    <t>253億</t>
  </si>
  <si>
    <t>1.93億</t>
  </si>
  <si>
    <t>35.4億</t>
  </si>
  <si>
    <t>1.72億</t>
  </si>
  <si>
    <t>17.6億</t>
  </si>
  <si>
    <t>2.69億</t>
  </si>
  <si>
    <t>1.54億</t>
  </si>
  <si>
    <t>18.1億</t>
  </si>
  <si>
    <t>1.60億</t>
  </si>
  <si>
    <t>412萬</t>
  </si>
  <si>
    <t>2973萬</t>
  </si>
  <si>
    <t>562萬</t>
  </si>
  <si>
    <t>1.64億</t>
  </si>
  <si>
    <t>82.8萬</t>
  </si>
  <si>
    <t>3.35億</t>
  </si>
  <si>
    <t>30.9億</t>
  </si>
  <si>
    <t>677萬</t>
  </si>
  <si>
    <t>2070萬</t>
  </si>
  <si>
    <t>7.93億</t>
  </si>
  <si>
    <t>2.35億</t>
  </si>
  <si>
    <t>96.7萬</t>
  </si>
  <si>
    <t>822萬</t>
  </si>
  <si>
    <t>1585萬</t>
  </si>
  <si>
    <t>967萬</t>
  </si>
  <si>
    <t>6.06億</t>
  </si>
  <si>
    <t>2.55億</t>
  </si>
  <si>
    <t>78.0萬</t>
  </si>
  <si>
    <t>21.8億</t>
  </si>
  <si>
    <t>1993萬</t>
  </si>
  <si>
    <t>65.8萬</t>
  </si>
  <si>
    <t>36.0萬</t>
  </si>
  <si>
    <t>785萬</t>
  </si>
  <si>
    <t>2.71億</t>
  </si>
  <si>
    <t>22.8萬</t>
  </si>
  <si>
    <t>36.1萬</t>
  </si>
  <si>
    <t>30.9萬</t>
  </si>
  <si>
    <t>36.3萬</t>
  </si>
  <si>
    <t>2.77億</t>
  </si>
  <si>
    <t>21.4億</t>
  </si>
  <si>
    <t>519萬</t>
  </si>
  <si>
    <t>威剛旗下，經營電子零件通路和保健品</t>
  </si>
  <si>
    <t>116萬</t>
  </si>
  <si>
    <t>75.6萬</t>
  </si>
  <si>
    <t>1744萬</t>
  </si>
  <si>
    <t>1144萬</t>
  </si>
  <si>
    <t>2.88億</t>
  </si>
  <si>
    <t>4.99億</t>
  </si>
  <si>
    <t>23.8萬</t>
  </si>
  <si>
    <t>3803萬</t>
  </si>
  <si>
    <t>19.6億</t>
  </si>
  <si>
    <t>38.3萬</t>
  </si>
  <si>
    <t>75.1萬</t>
  </si>
  <si>
    <t>65.5萬</t>
  </si>
  <si>
    <t>76.8萬</t>
  </si>
  <si>
    <t>4.46億</t>
  </si>
  <si>
    <t>270萬</t>
  </si>
  <si>
    <t>93.2萬</t>
  </si>
  <si>
    <t>125萬</t>
  </si>
  <si>
    <t>55.0萬</t>
  </si>
  <si>
    <t>56.1億</t>
  </si>
  <si>
    <t>70.9萬</t>
  </si>
  <si>
    <t>21.3萬</t>
  </si>
  <si>
    <t>1345萬</t>
  </si>
  <si>
    <t>53.4萬</t>
  </si>
  <si>
    <t>603萬</t>
  </si>
  <si>
    <t>4158萬</t>
  </si>
  <si>
    <t>178萬</t>
  </si>
  <si>
    <t>2292萬</t>
  </si>
  <si>
    <t>2365萬</t>
  </si>
  <si>
    <t>5276萬</t>
  </si>
  <si>
    <t>68.6萬</t>
  </si>
  <si>
    <t>587萬</t>
  </si>
  <si>
    <t>576萬</t>
  </si>
  <si>
    <t>5.94億</t>
  </si>
  <si>
    <t>3775萬</t>
  </si>
  <si>
    <t>7.10億</t>
  </si>
  <si>
    <t>84.6萬</t>
  </si>
  <si>
    <t>2212萬</t>
  </si>
  <si>
    <t>327萬</t>
  </si>
  <si>
    <t>10.5萬</t>
  </si>
  <si>
    <t>1552萬</t>
  </si>
  <si>
    <t>257萬</t>
  </si>
  <si>
    <t>3597萬</t>
  </si>
  <si>
    <t>28.8萬</t>
  </si>
  <si>
    <t>709萬</t>
  </si>
  <si>
    <t>49.6萬</t>
  </si>
  <si>
    <t>45.1萬</t>
  </si>
  <si>
    <t>10.4萬</t>
  </si>
  <si>
    <t>10.1萬</t>
  </si>
  <si>
    <t>62.7萬</t>
  </si>
  <si>
    <t>217萬</t>
  </si>
  <si>
    <t>60.2萬</t>
  </si>
  <si>
    <t>水處理工程承攬商兼汽車金屬鍛造製造商</t>
  </si>
  <si>
    <t>1225萬</t>
  </si>
  <si>
    <t>1439萬</t>
  </si>
  <si>
    <t>37.3萬</t>
  </si>
  <si>
    <t>669萬</t>
  </si>
  <si>
    <t>350萬</t>
  </si>
  <si>
    <t>31.1萬</t>
  </si>
  <si>
    <t>131萬</t>
  </si>
  <si>
    <t>291萬</t>
  </si>
  <si>
    <t>5463萬</t>
  </si>
  <si>
    <t>1.25億</t>
  </si>
  <si>
    <t>32.0萬</t>
  </si>
  <si>
    <t>1.01億</t>
  </si>
  <si>
    <t>6.67萬</t>
  </si>
  <si>
    <t>1713萬</t>
  </si>
  <si>
    <t>684萬</t>
  </si>
  <si>
    <t>19.9億</t>
  </si>
  <si>
    <t>34.6萬</t>
  </si>
  <si>
    <t>35.7萬</t>
  </si>
  <si>
    <t>629萬</t>
  </si>
  <si>
    <t>487萬</t>
  </si>
  <si>
    <t>100.0萬</t>
  </si>
  <si>
    <t>993萬</t>
  </si>
  <si>
    <t>397萬</t>
  </si>
  <si>
    <t>315萬</t>
  </si>
  <si>
    <t>19.6萬</t>
  </si>
  <si>
    <t>1.63億</t>
  </si>
  <si>
    <t>274萬</t>
  </si>
  <si>
    <t>23.2萬</t>
  </si>
  <si>
    <t>262萬</t>
  </si>
  <si>
    <t>1980萬</t>
  </si>
  <si>
    <t>9.62萬</t>
  </si>
  <si>
    <t>1251萬</t>
  </si>
  <si>
    <t>24.7萬</t>
  </si>
  <si>
    <t>1603萬</t>
  </si>
  <si>
    <t>202萬</t>
  </si>
  <si>
    <t>77.7萬</t>
  </si>
  <si>
    <t>523萬</t>
  </si>
  <si>
    <t>276萬</t>
  </si>
  <si>
    <t>123億</t>
  </si>
  <si>
    <t>36.6萬</t>
  </si>
  <si>
    <t>76.1萬</t>
  </si>
  <si>
    <t>730萬</t>
  </si>
  <si>
    <t>3.11億</t>
  </si>
  <si>
    <t>4.32億</t>
  </si>
  <si>
    <t>92.9萬</t>
  </si>
  <si>
    <t>287萬</t>
  </si>
  <si>
    <t>2124萬</t>
  </si>
  <si>
    <t>5.02億</t>
  </si>
  <si>
    <t>1391萬</t>
  </si>
  <si>
    <t>1477萬</t>
  </si>
  <si>
    <t>275萬</t>
  </si>
  <si>
    <t>2.91億</t>
  </si>
  <si>
    <t>23.6萬</t>
  </si>
  <si>
    <t>71.5萬</t>
  </si>
  <si>
    <t>233萬</t>
  </si>
  <si>
    <t>1200萬</t>
  </si>
  <si>
    <t>3840萬</t>
  </si>
  <si>
    <t>66.6萬</t>
  </si>
  <si>
    <t>2.90億</t>
  </si>
  <si>
    <t>81.6萬</t>
  </si>
  <si>
    <t>34.4萬</t>
  </si>
  <si>
    <t>406萬</t>
  </si>
  <si>
    <t>1832萬</t>
  </si>
  <si>
    <t>3.12億</t>
  </si>
  <si>
    <t>70.6萬</t>
  </si>
  <si>
    <t>468萬</t>
  </si>
  <si>
    <t>4612萬</t>
  </si>
  <si>
    <t>3.25億</t>
  </si>
  <si>
    <t>595萬</t>
  </si>
  <si>
    <t>1757萬</t>
  </si>
  <si>
    <t>51.0萬</t>
  </si>
  <si>
    <t>732萬</t>
  </si>
  <si>
    <t>64.7萬</t>
  </si>
  <si>
    <t>136萬</t>
  </si>
  <si>
    <t>289萬</t>
  </si>
  <si>
    <t>3005萬</t>
  </si>
  <si>
    <t>51.2萬</t>
  </si>
  <si>
    <t>68.9萬</t>
  </si>
  <si>
    <t>98.3萬</t>
  </si>
  <si>
    <t>1.47億</t>
  </si>
  <si>
    <t>台灣寬頻傳輸設備及智慧聯網公司</t>
  </si>
  <si>
    <t>3.80億</t>
  </si>
  <si>
    <t>4693萬</t>
  </si>
  <si>
    <t>1.78億</t>
  </si>
  <si>
    <t>654萬</t>
  </si>
  <si>
    <t>1392萬</t>
  </si>
  <si>
    <t>1339萬</t>
  </si>
  <si>
    <t>1894萬</t>
  </si>
  <si>
    <t>19.0萬</t>
  </si>
  <si>
    <t>429萬</t>
  </si>
  <si>
    <t>20.7萬</t>
  </si>
  <si>
    <t>15.4萬</t>
  </si>
  <si>
    <t>1133萬</t>
  </si>
  <si>
    <t>5.37億</t>
  </si>
  <si>
    <t>2550萬</t>
  </si>
  <si>
    <t>5.84億</t>
  </si>
  <si>
    <t>41.3億</t>
  </si>
  <si>
    <t>1.68億</t>
  </si>
  <si>
    <t>00411A</t>
  </si>
  <si>
    <t>主動統一前沿科技</t>
  </si>
  <si>
    <t>2.86億</t>
  </si>
  <si>
    <t>67.0億</t>
  </si>
  <si>
    <t>7.59億</t>
  </si>
  <si>
    <t>1829萬</t>
  </si>
  <si>
    <t>29.8億</t>
  </si>
  <si>
    <t>758萬</t>
  </si>
  <si>
    <t>532萬</t>
  </si>
  <si>
    <t>95.8萬</t>
  </si>
  <si>
    <t>698萬</t>
  </si>
  <si>
    <t>653萬</t>
  </si>
  <si>
    <t>4.60億</t>
  </si>
  <si>
    <t>61.1億</t>
  </si>
  <si>
    <t>16.0億</t>
  </si>
  <si>
    <t>9270萬</t>
  </si>
  <si>
    <t>224萬</t>
  </si>
  <si>
    <t>4.02億</t>
  </si>
  <si>
    <t>607萬</t>
  </si>
  <si>
    <t>3.98億</t>
  </si>
  <si>
    <t>43.4萬</t>
  </si>
  <si>
    <t>787萬</t>
  </si>
  <si>
    <t>6152萬</t>
  </si>
  <si>
    <t>5955萬</t>
  </si>
  <si>
    <t>9.77萬</t>
  </si>
  <si>
    <t>77.2萬</t>
  </si>
  <si>
    <t>3733萬</t>
  </si>
  <si>
    <t>247萬</t>
  </si>
  <si>
    <t>3370萬</t>
  </si>
  <si>
    <t>446萬</t>
  </si>
  <si>
    <t>3.85億</t>
  </si>
  <si>
    <t>5.79億</t>
  </si>
  <si>
    <t>258萬</t>
  </si>
  <si>
    <t>3.26億</t>
  </si>
  <si>
    <t>1045萬</t>
  </si>
  <si>
    <t>3.22億</t>
  </si>
  <si>
    <t>2617萬</t>
  </si>
  <si>
    <t>2418萬</t>
  </si>
  <si>
    <t>3.07億</t>
  </si>
  <si>
    <t>3552萬</t>
  </si>
  <si>
    <t>2.16萬</t>
  </si>
  <si>
    <t>7.58萬</t>
  </si>
  <si>
    <t>25.8億</t>
  </si>
  <si>
    <t>2.85億</t>
  </si>
  <si>
    <t>1564萬</t>
  </si>
  <si>
    <t>1842萬</t>
  </si>
  <si>
    <t>4119萬</t>
  </si>
  <si>
    <t>837萬</t>
  </si>
  <si>
    <t>1462萬</t>
  </si>
  <si>
    <t>3130萬</t>
  </si>
  <si>
    <t>2360萬</t>
  </si>
  <si>
    <t>4552萬</t>
  </si>
  <si>
    <t>23.3萬</t>
  </si>
  <si>
    <t>1407萬</t>
  </si>
  <si>
    <t>419萬</t>
  </si>
  <si>
    <t>2.66億</t>
  </si>
  <si>
    <t>3.08億</t>
  </si>
  <si>
    <t>4197萬</t>
  </si>
  <si>
    <t>7310萬</t>
  </si>
  <si>
    <t>8639萬</t>
  </si>
  <si>
    <t>8477萬</t>
  </si>
  <si>
    <t>5943萬</t>
  </si>
  <si>
    <t>1171萬</t>
  </si>
  <si>
    <t>334萬</t>
  </si>
  <si>
    <t>5405萬</t>
  </si>
  <si>
    <t>449萬</t>
  </si>
  <si>
    <t>2099萬</t>
  </si>
  <si>
    <t>309萬</t>
  </si>
  <si>
    <t>1175萬</t>
  </si>
  <si>
    <t>5068萬</t>
  </si>
  <si>
    <t>957萬</t>
  </si>
  <si>
    <t>7195萬</t>
  </si>
  <si>
    <t>1041萬</t>
  </si>
  <si>
    <t>2520萬</t>
  </si>
  <si>
    <t>5269萬</t>
  </si>
  <si>
    <t>802萬</t>
  </si>
  <si>
    <t>319萬</t>
  </si>
  <si>
    <t>582萬</t>
  </si>
  <si>
    <t>86.8萬</t>
  </si>
  <si>
    <t>60.4萬</t>
  </si>
  <si>
    <t>99.2萬</t>
  </si>
  <si>
    <t>7.54億</t>
  </si>
  <si>
    <t>2.80萬</t>
  </si>
  <si>
    <t>288萬</t>
  </si>
  <si>
    <t>1358萬</t>
  </si>
  <si>
    <t>335萬</t>
  </si>
  <si>
    <t>358萬</t>
  </si>
  <si>
    <t>535萬</t>
  </si>
  <si>
    <t>3572萬</t>
  </si>
  <si>
    <t>383萬</t>
  </si>
  <si>
    <t>60.3萬</t>
  </si>
  <si>
    <t>3013萬</t>
  </si>
  <si>
    <t>14.9萬</t>
  </si>
  <si>
    <t>2407萬</t>
  </si>
  <si>
    <t>525萬</t>
  </si>
  <si>
    <t>4668萬</t>
  </si>
  <si>
    <t>5633萬</t>
  </si>
  <si>
    <t>11.8億</t>
  </si>
  <si>
    <t>9.67億</t>
  </si>
  <si>
    <t>3120萬</t>
  </si>
  <si>
    <t>2882萬</t>
  </si>
  <si>
    <t>151萬</t>
  </si>
  <si>
    <t>4669萬</t>
  </si>
  <si>
    <t>3.94億</t>
  </si>
  <si>
    <t>1.48億</t>
  </si>
  <si>
    <t>3264萬</t>
  </si>
  <si>
    <t>3694萬</t>
  </si>
  <si>
    <t>472萬</t>
  </si>
  <si>
    <t>5485萬</t>
  </si>
  <si>
    <t>1248萬</t>
  </si>
  <si>
    <t>164萬</t>
  </si>
  <si>
    <t>2464萬</t>
  </si>
  <si>
    <t>1716萬</t>
  </si>
  <si>
    <t>8218萬</t>
  </si>
  <si>
    <t>4955萬</t>
  </si>
  <si>
    <t>808萬</t>
  </si>
  <si>
    <t>890萬</t>
  </si>
  <si>
    <t>4834萬</t>
  </si>
  <si>
    <t>6028萬</t>
  </si>
  <si>
    <t>1082萬</t>
  </si>
  <si>
    <t>6.62億</t>
  </si>
  <si>
    <t>24.4億</t>
  </si>
  <si>
    <t>620萬</t>
  </si>
  <si>
    <t>3577萬</t>
  </si>
  <si>
    <t>1034萬</t>
  </si>
  <si>
    <t>6.55億</t>
  </si>
  <si>
    <t>1104萬</t>
  </si>
  <si>
    <t>7.61億</t>
  </si>
  <si>
    <t>3299萬</t>
  </si>
  <si>
    <t>8382萬</t>
  </si>
  <si>
    <t>6748萬</t>
  </si>
  <si>
    <t>1226萬</t>
  </si>
  <si>
    <t>3990萬</t>
  </si>
  <si>
    <t>3763萬</t>
  </si>
  <si>
    <t>3964萬</t>
  </si>
  <si>
    <t>3015萬</t>
  </si>
  <si>
    <t>1.86億</t>
  </si>
  <si>
    <t>1438萬</t>
  </si>
  <si>
    <t>3068萬</t>
  </si>
  <si>
    <t>3294萬</t>
  </si>
  <si>
    <t>1754萬</t>
  </si>
  <si>
    <t>3.93億</t>
  </si>
  <si>
    <t>3972萬</t>
  </si>
  <si>
    <t>4395萬</t>
  </si>
  <si>
    <t>317萬</t>
  </si>
  <si>
    <t>1199萬</t>
  </si>
  <si>
    <t>2.25億</t>
  </si>
  <si>
    <t>1364萬</t>
  </si>
  <si>
    <t>1354萬</t>
  </si>
  <si>
    <t>1569萬</t>
  </si>
  <si>
    <t>2173萬</t>
  </si>
  <si>
    <t>850萬</t>
  </si>
  <si>
    <t>1142萬</t>
  </si>
  <si>
    <t>435萬</t>
  </si>
  <si>
    <t>7050萬</t>
  </si>
  <si>
    <t>2719萬</t>
  </si>
  <si>
    <t>1404萬</t>
  </si>
  <si>
    <t>60.1萬</t>
  </si>
  <si>
    <t>2.03億</t>
  </si>
  <si>
    <t>1735萬</t>
  </si>
  <si>
    <t>1106萬</t>
  </si>
  <si>
    <t>1230萬</t>
  </si>
  <si>
    <t>2221萬</t>
  </si>
  <si>
    <t>702萬</t>
  </si>
  <si>
    <t>4129萬</t>
  </si>
  <si>
    <t>67.8億</t>
  </si>
  <si>
    <t>7963萬</t>
  </si>
  <si>
    <t>4307萬</t>
  </si>
  <si>
    <t>3518萬</t>
  </si>
  <si>
    <t>6288萬</t>
  </si>
  <si>
    <t>2.58億</t>
  </si>
  <si>
    <t>大華韓國KOSPI50</t>
  </si>
  <si>
    <t>3.69億</t>
  </si>
  <si>
    <t>3.76億</t>
  </si>
  <si>
    <t>4683萬</t>
  </si>
  <si>
    <t>4.04億</t>
  </si>
  <si>
    <t>8223萬</t>
  </si>
  <si>
    <t>825萬</t>
  </si>
  <si>
    <t>663萬</t>
  </si>
  <si>
    <t>480萬</t>
  </si>
  <si>
    <t>5561萬</t>
  </si>
  <si>
    <t>00987D</t>
  </si>
  <si>
    <t>主動統一美債量化</t>
  </si>
  <si>
    <t>1671萬</t>
  </si>
  <si>
    <t>5.17億</t>
  </si>
  <si>
    <t>2502萬</t>
  </si>
  <si>
    <t>3242萬</t>
  </si>
  <si>
    <t>1.98億</t>
  </si>
  <si>
    <t>1185萬</t>
  </si>
  <si>
    <t>22.6億</t>
  </si>
  <si>
    <t>10.1億</t>
  </si>
  <si>
    <t>6569萬</t>
  </si>
  <si>
    <t>7629萬</t>
  </si>
  <si>
    <t>5292萬</t>
  </si>
  <si>
    <t>4428萬</t>
  </si>
  <si>
    <t>9290萬</t>
  </si>
  <si>
    <t>1.24億</t>
  </si>
  <si>
    <t>3.09萬</t>
  </si>
  <si>
    <t>5325萬</t>
  </si>
  <si>
    <t>12.5萬</t>
  </si>
  <si>
    <t>31.5萬</t>
  </si>
  <si>
    <t>4.08萬</t>
  </si>
  <si>
    <t>5.43萬</t>
  </si>
  <si>
    <t>51.8萬</t>
  </si>
  <si>
    <t>2.86萬</t>
  </si>
  <si>
    <t>32.9萬</t>
  </si>
  <si>
    <t>450萬</t>
  </si>
  <si>
    <t>158萬</t>
  </si>
  <si>
    <t>483萬</t>
  </si>
  <si>
    <t>88.7萬</t>
  </si>
  <si>
    <t>310萬</t>
  </si>
  <si>
    <t>197萬</t>
  </si>
  <si>
    <t>4280萬</t>
  </si>
  <si>
    <t>6218萬</t>
  </si>
  <si>
    <t>1539萬</t>
  </si>
  <si>
    <t>1554萬</t>
  </si>
  <si>
    <t>5215萬</t>
  </si>
  <si>
    <t>40.9億</t>
  </si>
  <si>
    <t>398億</t>
  </si>
  <si>
    <t>6396萬</t>
  </si>
  <si>
    <t>3190萬</t>
  </si>
  <si>
    <t>4300萬</t>
  </si>
  <si>
    <t>4171萬</t>
  </si>
  <si>
    <t>3331萬</t>
  </si>
  <si>
    <t>16.5億</t>
  </si>
  <si>
    <t>4495萬</t>
  </si>
  <si>
    <t>1.90億</t>
  </si>
  <si>
    <t>49.0萬</t>
  </si>
  <si>
    <t>13.2萬</t>
  </si>
  <si>
    <t>263萬</t>
  </si>
  <si>
    <t>46.7億</t>
  </si>
  <si>
    <t>633萬</t>
  </si>
  <si>
    <t>52.7萬</t>
  </si>
  <si>
    <t>995萬</t>
  </si>
  <si>
    <t>4.19億</t>
  </si>
  <si>
    <t>2.80億</t>
  </si>
  <si>
    <t>341萬</t>
  </si>
  <si>
    <t>11.9萬</t>
  </si>
  <si>
    <t>149萬</t>
  </si>
  <si>
    <t>343萬</t>
  </si>
  <si>
    <t>99.4萬</t>
  </si>
  <si>
    <t>3257萬</t>
  </si>
  <si>
    <t>569萬</t>
  </si>
  <si>
    <t>64.5萬</t>
  </si>
  <si>
    <t>49.3萬</t>
  </si>
  <si>
    <t>4213萬</t>
  </si>
  <si>
    <t>7.16萬</t>
  </si>
  <si>
    <t>32.8萬</t>
  </si>
  <si>
    <t>128萬</t>
  </si>
  <si>
    <t>265萬</t>
  </si>
  <si>
    <t>218萬</t>
  </si>
  <si>
    <t>54.4萬</t>
  </si>
  <si>
    <t>840萬</t>
  </si>
  <si>
    <t>87.1萬</t>
  </si>
  <si>
    <t>261萬</t>
  </si>
  <si>
    <t>213萬</t>
  </si>
  <si>
    <t>90.7萬</t>
  </si>
  <si>
    <t>5.55億</t>
  </si>
  <si>
    <t>6125萬</t>
  </si>
  <si>
    <t>16.6億</t>
  </si>
  <si>
    <t>498萬</t>
  </si>
  <si>
    <t>384萬</t>
  </si>
  <si>
    <t>1196萬</t>
  </si>
  <si>
    <t>716萬</t>
  </si>
  <si>
    <t>63.6萬</t>
  </si>
  <si>
    <t>1098萬</t>
  </si>
  <si>
    <t>4209萬</t>
  </si>
  <si>
    <t>1377萬</t>
  </si>
  <si>
    <t>895萬</t>
  </si>
  <si>
    <t>952萬</t>
  </si>
  <si>
    <t>89.3萬</t>
  </si>
  <si>
    <t>5003萬</t>
  </si>
  <si>
    <t>8.56億</t>
  </si>
  <si>
    <t>879萬</t>
  </si>
  <si>
    <t>1772萬</t>
  </si>
  <si>
    <t>5.96億</t>
  </si>
  <si>
    <t>236萬</t>
  </si>
  <si>
    <t>608萬</t>
  </si>
  <si>
    <t>8.61億</t>
  </si>
  <si>
    <t>1309萬</t>
  </si>
  <si>
    <t>627萬</t>
  </si>
  <si>
    <t>1333萬</t>
  </si>
  <si>
    <t>987萬</t>
  </si>
  <si>
    <t>9974萬</t>
  </si>
  <si>
    <t>3.66億</t>
  </si>
  <si>
    <t>43.1億</t>
  </si>
  <si>
    <t>1.46億</t>
  </si>
  <si>
    <t>978萬</t>
  </si>
  <si>
    <t>1258萬</t>
  </si>
  <si>
    <t>2679萬</t>
  </si>
  <si>
    <t>62.6萬</t>
  </si>
  <si>
    <t>10.2億</t>
  </si>
  <si>
    <t>504萬</t>
  </si>
  <si>
    <t>3182萬</t>
  </si>
  <si>
    <t>95.0萬</t>
  </si>
  <si>
    <t>655萬</t>
  </si>
  <si>
    <t>413萬</t>
  </si>
  <si>
    <t>619萬</t>
  </si>
  <si>
    <t>4.26億</t>
  </si>
  <si>
    <t>1769萬</t>
  </si>
  <si>
    <t>17.3億</t>
  </si>
  <si>
    <t>156萬</t>
  </si>
  <si>
    <t>8663萬</t>
  </si>
  <si>
    <t>3533萬</t>
  </si>
  <si>
    <t>7040萬</t>
  </si>
  <si>
    <t>3.48萬</t>
  </si>
  <si>
    <t>100億</t>
  </si>
  <si>
    <t>516萬</t>
  </si>
  <si>
    <t>6000萬</t>
  </si>
  <si>
    <t>2697萬</t>
  </si>
  <si>
    <t>27.2萬</t>
  </si>
  <si>
    <t>3293萬</t>
  </si>
  <si>
    <t>4874萬</t>
  </si>
  <si>
    <t>6.39億</t>
  </si>
  <si>
    <t>24.4萬</t>
  </si>
  <si>
    <t>6055萬</t>
  </si>
  <si>
    <t>1179萬</t>
  </si>
  <si>
    <t>2830萬</t>
  </si>
  <si>
    <t>1088萬</t>
  </si>
  <si>
    <t>579萬</t>
  </si>
  <si>
    <t>3110萬</t>
  </si>
  <si>
    <t>917萬</t>
  </si>
  <si>
    <t>7.92億</t>
  </si>
  <si>
    <t>3180萬</t>
  </si>
  <si>
    <t>392萬</t>
  </si>
  <si>
    <t>8.59億</t>
  </si>
  <si>
    <t>8621萬</t>
  </si>
  <si>
    <t>67.4萬</t>
  </si>
  <si>
    <t>1073萬</t>
  </si>
  <si>
    <t>2388萬</t>
  </si>
  <si>
    <t>3381萬</t>
  </si>
  <si>
    <t>2.64萬</t>
  </si>
  <si>
    <t>6267萬</t>
  </si>
  <si>
    <t>8181萬</t>
  </si>
  <si>
    <t>2319萬</t>
  </si>
  <si>
    <t>121萬</t>
  </si>
  <si>
    <t>267萬</t>
  </si>
  <si>
    <t>57.3萬</t>
  </si>
  <si>
    <t>2929萬</t>
  </si>
  <si>
    <t>5030萬</t>
  </si>
  <si>
    <t>3256萬</t>
  </si>
  <si>
    <t>2720萬</t>
  </si>
  <si>
    <t>180萬</t>
  </si>
  <si>
    <t>249萬</t>
  </si>
  <si>
    <t>7401萬</t>
  </si>
  <si>
    <t>2653萬</t>
  </si>
  <si>
    <t>93.1萬</t>
  </si>
  <si>
    <t>946萬</t>
  </si>
  <si>
    <t>757萬</t>
  </si>
  <si>
    <t>78.8億</t>
  </si>
  <si>
    <t>272億</t>
  </si>
  <si>
    <t>從事數位掃描器及光通訊檢測設備製造</t>
  </si>
  <si>
    <t>150億</t>
  </si>
  <si>
    <t>3.27億</t>
  </si>
  <si>
    <t>165億</t>
  </si>
  <si>
    <t>85.7億</t>
  </si>
  <si>
    <t>59.2萬</t>
  </si>
  <si>
    <t>2743萬</t>
  </si>
  <si>
    <t>375億</t>
  </si>
  <si>
    <t>6244萬</t>
  </si>
  <si>
    <t>9837萬</t>
  </si>
  <si>
    <t>648億</t>
  </si>
  <si>
    <t>1626萬</t>
  </si>
  <si>
    <t>2.44億</t>
  </si>
  <si>
    <t>44.2億</t>
  </si>
  <si>
    <t>6603萬</t>
  </si>
  <si>
    <t>9376萬</t>
  </si>
  <si>
    <t>4609萬</t>
  </si>
  <si>
    <t>619億</t>
  </si>
  <si>
    <t>82.0億</t>
  </si>
  <si>
    <t>2.65億</t>
  </si>
  <si>
    <t>1721萬</t>
  </si>
  <si>
    <t>1558萬</t>
  </si>
  <si>
    <t>3.43億</t>
  </si>
  <si>
    <t>8.97億</t>
  </si>
  <si>
    <t>7436萬</t>
  </si>
  <si>
    <t>48.9億</t>
  </si>
  <si>
    <t>44.1億</t>
  </si>
  <si>
    <t>3832萬</t>
  </si>
  <si>
    <t>1.59億</t>
  </si>
  <si>
    <t>3127萬</t>
  </si>
  <si>
    <t>234億</t>
  </si>
  <si>
    <t>1.58億</t>
  </si>
  <si>
    <t>2.41億</t>
  </si>
  <si>
    <t>6.69億</t>
  </si>
  <si>
    <t>22.2億</t>
  </si>
  <si>
    <t>26.2億</t>
  </si>
  <si>
    <t>20.6億</t>
  </si>
  <si>
    <t>80.6萬</t>
  </si>
  <si>
    <t>53.4億</t>
  </si>
  <si>
    <t>103億</t>
  </si>
  <si>
    <t>2.30億</t>
  </si>
  <si>
    <t>568萬</t>
  </si>
  <si>
    <t>410萬</t>
  </si>
  <si>
    <t>6.38億</t>
  </si>
  <si>
    <t>21.9億</t>
  </si>
  <si>
    <t>1119萬</t>
  </si>
  <si>
    <t>4.23億</t>
  </si>
  <si>
    <t>14.6億</t>
  </si>
  <si>
    <t>8728萬</t>
  </si>
  <si>
    <t>853億</t>
  </si>
  <si>
    <t>20.9億</t>
  </si>
  <si>
    <t>1498萬</t>
  </si>
  <si>
    <t>602萬</t>
  </si>
  <si>
    <t>1461萬</t>
  </si>
  <si>
    <t>788萬</t>
  </si>
  <si>
    <t>1609萬</t>
  </si>
  <si>
    <t>36.2億</t>
  </si>
  <si>
    <t>493萬</t>
  </si>
  <si>
    <t>2894萬</t>
  </si>
  <si>
    <t>82.6億</t>
  </si>
  <si>
    <t>5.78億</t>
  </si>
  <si>
    <t>74.7萬</t>
  </si>
  <si>
    <t>45.3萬</t>
  </si>
  <si>
    <t>8037萬</t>
  </si>
  <si>
    <t>328萬</t>
  </si>
  <si>
    <t>5.05億</t>
  </si>
  <si>
    <t>2959萬</t>
  </si>
  <si>
    <t>99.1萬</t>
  </si>
  <si>
    <t>92.3億</t>
  </si>
  <si>
    <t>260億</t>
  </si>
  <si>
    <t>147億</t>
  </si>
  <si>
    <t>2895萬</t>
  </si>
  <si>
    <t>1139萬</t>
  </si>
  <si>
    <t>700萬</t>
  </si>
  <si>
    <t>27.6億</t>
  </si>
  <si>
    <t>2.24億</t>
  </si>
  <si>
    <t>7.65億</t>
  </si>
  <si>
    <t>6.95億</t>
  </si>
  <si>
    <t>7.67億</t>
  </si>
  <si>
    <t>2699萬</t>
  </si>
  <si>
    <t>5.28億</t>
  </si>
  <si>
    <t>1667萬</t>
  </si>
  <si>
    <t>33.0億</t>
  </si>
  <si>
    <t>100萬</t>
  </si>
  <si>
    <t>4292萬</t>
  </si>
  <si>
    <t>4.86億</t>
  </si>
  <si>
    <t>6.11億</t>
  </si>
  <si>
    <t>38.4億</t>
  </si>
  <si>
    <t>3165萬</t>
  </si>
  <si>
    <t>170億</t>
  </si>
  <si>
    <t>3053萬</t>
  </si>
  <si>
    <t>3270萬</t>
  </si>
  <si>
    <t>5541萬</t>
  </si>
  <si>
    <t>584萬</t>
  </si>
  <si>
    <t>772萬</t>
  </si>
  <si>
    <t>83.4萬</t>
  </si>
  <si>
    <t>7085萬</t>
  </si>
  <si>
    <t>77.5萬</t>
  </si>
  <si>
    <t>7489萬</t>
  </si>
  <si>
    <t>1941萬</t>
  </si>
  <si>
    <t>606萬</t>
  </si>
  <si>
    <t>4127萬</t>
  </si>
  <si>
    <t>630萬</t>
  </si>
  <si>
    <t>7889萬</t>
  </si>
  <si>
    <t>5204萬</t>
  </si>
  <si>
    <t>771萬</t>
  </si>
  <si>
    <t>1620萬</t>
  </si>
  <si>
    <t>2039萬</t>
  </si>
  <si>
    <t>1.45億</t>
  </si>
  <si>
    <t>2831萬</t>
  </si>
  <si>
    <t>1274萬</t>
  </si>
  <si>
    <t>24.8億</t>
  </si>
  <si>
    <t>5617萬</t>
  </si>
  <si>
    <t>459萬</t>
  </si>
  <si>
    <t>129億</t>
  </si>
  <si>
    <t>4.49億</t>
  </si>
  <si>
    <t>1347萬</t>
  </si>
  <si>
    <t>9000萬</t>
  </si>
  <si>
    <t>2040萬</t>
  </si>
  <si>
    <t>1015萬</t>
  </si>
  <si>
    <t>45.3億</t>
  </si>
  <si>
    <t>68.4萬</t>
  </si>
  <si>
    <t>3234萬</t>
  </si>
  <si>
    <t>8.76億</t>
  </si>
  <si>
    <t>6098萬</t>
  </si>
  <si>
    <t>5187萬</t>
  </si>
  <si>
    <t>4205萬</t>
  </si>
  <si>
    <t>49.9萬</t>
  </si>
  <si>
    <t>2.95億</t>
  </si>
  <si>
    <t>5883萬</t>
  </si>
  <si>
    <t>76.3萬</t>
  </si>
  <si>
    <t>58.7萬</t>
  </si>
  <si>
    <t>95.6萬</t>
  </si>
  <si>
    <t>126萬</t>
  </si>
  <si>
    <t>6798萬</t>
  </si>
  <si>
    <t>2.85萬</t>
  </si>
  <si>
    <t>10.2萬</t>
  </si>
  <si>
    <t>67.0萬</t>
  </si>
  <si>
    <t>1.08萬</t>
  </si>
  <si>
    <t>2775萬</t>
  </si>
  <si>
    <t>64.9萬</t>
  </si>
  <si>
    <t>6.14萬</t>
  </si>
  <si>
    <t>347萬</t>
  </si>
  <si>
    <t>2540萬</t>
  </si>
  <si>
    <t>1089萬</t>
  </si>
  <si>
    <t>6.97億</t>
  </si>
  <si>
    <t>3485萬</t>
  </si>
  <si>
    <t>4773萬</t>
  </si>
  <si>
    <t>3530萬</t>
  </si>
  <si>
    <t>119億</t>
  </si>
  <si>
    <t>3268萬</t>
  </si>
  <si>
    <t>5911萬</t>
  </si>
  <si>
    <t>5239萬</t>
  </si>
  <si>
    <t>1454萬</t>
  </si>
  <si>
    <t>47.6億</t>
  </si>
  <si>
    <t>65.3億</t>
  </si>
  <si>
    <t>34.0億</t>
  </si>
  <si>
    <t>29.3億</t>
  </si>
  <si>
    <t>36.3億</t>
  </si>
  <si>
    <t>16.3億</t>
  </si>
  <si>
    <t>68.1億</t>
  </si>
  <si>
    <t>25.5億</t>
  </si>
  <si>
    <t>30.8億</t>
  </si>
  <si>
    <t>2671萬</t>
  </si>
  <si>
    <t>28.1萬</t>
  </si>
  <si>
    <t>43.9萬</t>
  </si>
  <si>
    <t>2750萬</t>
  </si>
  <si>
    <t>545萬</t>
  </si>
  <si>
    <t>38.8萬</t>
  </si>
  <si>
    <t>5.64億</t>
  </si>
  <si>
    <t>933萬</t>
  </si>
  <si>
    <t>503萬</t>
  </si>
  <si>
    <t>22.3萬</t>
  </si>
  <si>
    <t>15.8萬</t>
  </si>
  <si>
    <t>6.11萬</t>
  </si>
  <si>
    <t>8886萬</t>
  </si>
  <si>
    <t>2972萬</t>
  </si>
  <si>
    <t>64.7億</t>
  </si>
  <si>
    <t>254億</t>
  </si>
  <si>
    <t>6303萬</t>
  </si>
  <si>
    <t>3.84億</t>
  </si>
  <si>
    <t>144億</t>
  </si>
  <si>
    <t>38.5萬</t>
  </si>
  <si>
    <t>8.21億</t>
  </si>
  <si>
    <t>7290萬</t>
  </si>
  <si>
    <t>1.70億</t>
  </si>
  <si>
    <t>3488萬</t>
  </si>
  <si>
    <t>859萬</t>
  </si>
  <si>
    <t>4997萬</t>
  </si>
  <si>
    <t>973萬</t>
  </si>
  <si>
    <t>3184萬</t>
  </si>
  <si>
    <t>3.79億</t>
  </si>
  <si>
    <t>8.35億</t>
  </si>
  <si>
    <t>38.1億</t>
  </si>
  <si>
    <t>24.2億</t>
  </si>
  <si>
    <t>23.2億</t>
  </si>
  <si>
    <t>2208萬</t>
  </si>
  <si>
    <t>7628萬</t>
  </si>
  <si>
    <t>4.31億</t>
  </si>
  <si>
    <t>439萬</t>
  </si>
  <si>
    <t>2.94億</t>
  </si>
  <si>
    <t>856萬</t>
  </si>
  <si>
    <t>3817萬</t>
  </si>
  <si>
    <t>2332萬</t>
  </si>
  <si>
    <t>1.83萬</t>
  </si>
  <si>
    <t>135億</t>
  </si>
  <si>
    <t>860萬</t>
  </si>
  <si>
    <t>5863萬</t>
  </si>
  <si>
    <t>1559萬</t>
  </si>
  <si>
    <t>228億</t>
  </si>
  <si>
    <t>683萬</t>
  </si>
  <si>
    <t>48.8萬</t>
  </si>
  <si>
    <t>923萬</t>
  </si>
  <si>
    <t>17.0億</t>
  </si>
  <si>
    <t>2.63億</t>
  </si>
  <si>
    <t>1668萬</t>
  </si>
  <si>
    <t>4788萬</t>
  </si>
  <si>
    <t>3353萬</t>
  </si>
  <si>
    <t>6856萬</t>
  </si>
  <si>
    <t>6.99億</t>
  </si>
  <si>
    <t>453萬</t>
  </si>
  <si>
    <t>62.9萬</t>
  </si>
  <si>
    <t>50.8萬</t>
  </si>
  <si>
    <t>1.87億</t>
  </si>
  <si>
    <t>1761萬</t>
  </si>
  <si>
    <t>5999萬</t>
  </si>
  <si>
    <t>8897萬</t>
  </si>
  <si>
    <t>1.80億</t>
  </si>
  <si>
    <t>7919萬</t>
  </si>
  <si>
    <t>6011萬</t>
  </si>
  <si>
    <t>2209萬</t>
  </si>
  <si>
    <t>68.5億</t>
  </si>
  <si>
    <t>5.77億</t>
  </si>
  <si>
    <t>3.99億</t>
  </si>
  <si>
    <t>80.3萬</t>
  </si>
  <si>
    <t>305萬</t>
  </si>
  <si>
    <t>46.2萬</t>
  </si>
  <si>
    <t>6668萬</t>
  </si>
  <si>
    <t>167億</t>
  </si>
  <si>
    <t>94.6萬</t>
  </si>
  <si>
    <t>1050萬</t>
  </si>
  <si>
    <t>243萬</t>
  </si>
  <si>
    <t>68.5萬</t>
  </si>
  <si>
    <t>2476萬</t>
  </si>
  <si>
    <t>191萬</t>
  </si>
  <si>
    <t>5831萬</t>
  </si>
  <si>
    <t>662萬</t>
  </si>
  <si>
    <t>839萬</t>
  </si>
  <si>
    <t>106億</t>
  </si>
  <si>
    <t>1165萬</t>
  </si>
  <si>
    <t>4.29億</t>
  </si>
  <si>
    <t>643萬</t>
  </si>
  <si>
    <t>1512萬</t>
  </si>
  <si>
    <t>1878萬</t>
  </si>
  <si>
    <t>48.1億</t>
  </si>
  <si>
    <t>15.9億</t>
  </si>
  <si>
    <t>431萬</t>
  </si>
  <si>
    <t>1.89億</t>
  </si>
  <si>
    <t>5.50億</t>
  </si>
  <si>
    <t>3669萬</t>
  </si>
  <si>
    <t>63.4萬</t>
  </si>
  <si>
    <t>1933萬</t>
  </si>
  <si>
    <t>49.1萬</t>
  </si>
  <si>
    <t>1997萬</t>
  </si>
  <si>
    <t>6.08億</t>
  </si>
  <si>
    <t>1638萬</t>
  </si>
  <si>
    <t>32.2萬</t>
  </si>
  <si>
    <t>6049萬</t>
  </si>
  <si>
    <t>5079萬</t>
  </si>
  <si>
    <t>22.0萬</t>
  </si>
  <si>
    <t>2.93億</t>
  </si>
  <si>
    <t>6.02億</t>
  </si>
  <si>
    <t>21.4萬</t>
  </si>
  <si>
    <t>54.2萬</t>
  </si>
  <si>
    <t>819萬</t>
  </si>
  <si>
    <t>25.2萬</t>
  </si>
  <si>
    <t>17.6萬</t>
  </si>
  <si>
    <t>4796萬</t>
  </si>
  <si>
    <t>533萬</t>
  </si>
  <si>
    <t>883萬</t>
  </si>
  <si>
    <t>168億</t>
  </si>
  <si>
    <t>16.1億</t>
  </si>
  <si>
    <t>1905萬</t>
  </si>
  <si>
    <t>4744萬</t>
  </si>
  <si>
    <t>94.9萬</t>
  </si>
  <si>
    <t>5.60億</t>
  </si>
  <si>
    <t>2819萬</t>
  </si>
  <si>
    <t>901萬</t>
  </si>
  <si>
    <t>4981萬</t>
  </si>
  <si>
    <t>7355萬</t>
  </si>
  <si>
    <t>1027萬</t>
  </si>
  <si>
    <t>83.1萬</t>
  </si>
  <si>
    <t>1009萬</t>
  </si>
  <si>
    <t>2.48億</t>
  </si>
  <si>
    <t>6.79億</t>
  </si>
  <si>
    <t>7732萬</t>
  </si>
  <si>
    <t>1383萬</t>
  </si>
  <si>
    <t>2154萬</t>
  </si>
  <si>
    <t>6842萬</t>
  </si>
  <si>
    <t>2908萬</t>
  </si>
  <si>
    <t>49.2億</t>
  </si>
  <si>
    <t>994萬</t>
  </si>
  <si>
    <t>1223萬</t>
  </si>
  <si>
    <t>1.84億</t>
  </si>
  <si>
    <t>1652萬</t>
  </si>
  <si>
    <t>4.67億</t>
  </si>
  <si>
    <t>49.4萬</t>
  </si>
  <si>
    <t>1187萬</t>
  </si>
  <si>
    <t>4208萬</t>
  </si>
  <si>
    <t>7.42億</t>
  </si>
  <si>
    <t>45.0萬</t>
  </si>
  <si>
    <t>250萬</t>
  </si>
  <si>
    <t>97.4億</t>
  </si>
  <si>
    <t>75.8億</t>
  </si>
  <si>
    <t>1814萬</t>
  </si>
  <si>
    <t>66.2萬</t>
  </si>
  <si>
    <t>18.1萬</t>
  </si>
  <si>
    <t>3.75億</t>
  </si>
  <si>
    <t>6.51億</t>
  </si>
  <si>
    <t>134萬</t>
  </si>
  <si>
    <t>4928萬</t>
  </si>
  <si>
    <t>67.8萬</t>
  </si>
  <si>
    <t>1.88億</t>
  </si>
  <si>
    <t>3249萬</t>
  </si>
  <si>
    <t>9.29億</t>
  </si>
  <si>
    <t>1577萬</t>
  </si>
  <si>
    <t>1892萬</t>
  </si>
  <si>
    <t>8960萬</t>
  </si>
  <si>
    <t>8.72億</t>
  </si>
  <si>
    <t>3907萬</t>
  </si>
  <si>
    <t>1835萬</t>
  </si>
  <si>
    <t>178億</t>
  </si>
  <si>
    <t>1161萬</t>
  </si>
  <si>
    <t>60.0萬</t>
  </si>
  <si>
    <t>3.55億</t>
  </si>
  <si>
    <t>14.3億</t>
  </si>
  <si>
    <t>864萬</t>
  </si>
  <si>
    <t>2800萬</t>
  </si>
  <si>
    <t>733萬</t>
  </si>
  <si>
    <t>2989萬</t>
  </si>
  <si>
    <t>87.4萬</t>
  </si>
  <si>
    <t>1247萬</t>
  </si>
  <si>
    <t>80.5萬</t>
  </si>
  <si>
    <t>42.5萬</t>
  </si>
  <si>
    <t>17.0萬</t>
  </si>
  <si>
    <t>4979萬</t>
  </si>
  <si>
    <t>390萬</t>
  </si>
  <si>
    <t>3543萬</t>
  </si>
  <si>
    <t>2090萬</t>
  </si>
  <si>
    <t>57.5萬</t>
  </si>
  <si>
    <t>2579萬</t>
  </si>
  <si>
    <t>6254萬</t>
  </si>
  <si>
    <t>71.7萬</t>
  </si>
  <si>
    <t>163萬</t>
  </si>
  <si>
    <t>63.2萬</t>
  </si>
  <si>
    <t>4.58萬</t>
  </si>
  <si>
    <t>1173萬</t>
  </si>
  <si>
    <t>330萬</t>
  </si>
  <si>
    <t>1918萬</t>
  </si>
  <si>
    <t>1270萬</t>
  </si>
  <si>
    <t>47.8萬</t>
  </si>
  <si>
    <t>98.4萬</t>
  </si>
  <si>
    <t>1153萬</t>
  </si>
  <si>
    <t>201萬</t>
  </si>
  <si>
    <t>966萬</t>
  </si>
  <si>
    <t>54.3萬</t>
  </si>
  <si>
    <t>5.71萬</t>
  </si>
  <si>
    <t>34.5萬</t>
  </si>
  <si>
    <t>97.6萬</t>
  </si>
  <si>
    <t>84.7萬</t>
  </si>
  <si>
    <t>5787萬</t>
  </si>
  <si>
    <t>251萬</t>
  </si>
  <si>
    <t>4.39萬</t>
  </si>
  <si>
    <t>1109萬</t>
  </si>
  <si>
    <t>43.0萬</t>
  </si>
  <si>
    <t>2.96萬</t>
  </si>
  <si>
    <t>87.9萬</t>
  </si>
  <si>
    <t>81.8萬</t>
  </si>
  <si>
    <t>3073萬</t>
  </si>
  <si>
    <t>33.0萬</t>
  </si>
  <si>
    <t>1.78萬</t>
  </si>
  <si>
    <t>56.1萬</t>
  </si>
  <si>
    <t>1717萬</t>
  </si>
  <si>
    <t>29.7萬</t>
  </si>
  <si>
    <t>4833萬</t>
  </si>
  <si>
    <t>393萬</t>
  </si>
  <si>
    <t>2519萬</t>
  </si>
  <si>
    <t>9.09萬</t>
  </si>
  <si>
    <t>80.0萬</t>
  </si>
  <si>
    <t>天意能創</t>
  </si>
  <si>
    <t>2.90萬</t>
  </si>
  <si>
    <t>863萬</t>
  </si>
  <si>
    <t>1110萬</t>
  </si>
  <si>
    <t>1403萬</t>
  </si>
  <si>
    <t>9607萬</t>
  </si>
  <si>
    <t>209萬</t>
  </si>
  <si>
    <t>1093萬</t>
  </si>
  <si>
    <t>585萬</t>
  </si>
  <si>
    <t>127萬</t>
  </si>
  <si>
    <t>528萬</t>
  </si>
  <si>
    <t>1268萬</t>
  </si>
  <si>
    <t>240萬</t>
  </si>
  <si>
    <t>1234萬</t>
  </si>
  <si>
    <t>4254萬</t>
  </si>
  <si>
    <t>2336萬</t>
  </si>
  <si>
    <t>896萬</t>
  </si>
  <si>
    <t>2.59億</t>
  </si>
  <si>
    <t>520萬</t>
  </si>
  <si>
    <t>47.6萬</t>
  </si>
  <si>
    <t>6308萬</t>
  </si>
  <si>
    <t>2.69萬</t>
  </si>
  <si>
    <t>1516萬</t>
  </si>
  <si>
    <t>1017萬</t>
  </si>
  <si>
    <t>2021萬</t>
  </si>
  <si>
    <t>9559萬</t>
  </si>
  <si>
    <t>460萬</t>
  </si>
  <si>
    <t>9139萬</t>
  </si>
  <si>
    <t>9251萬</t>
  </si>
  <si>
    <t>5695萬</t>
  </si>
  <si>
    <t>8.33萬</t>
  </si>
  <si>
    <t>3427萬</t>
  </si>
  <si>
    <t>強生*</t>
  </si>
  <si>
    <t>377萬</t>
  </si>
  <si>
    <t>5.81億</t>
  </si>
  <si>
    <t>1778萬</t>
  </si>
  <si>
    <t>8188萬</t>
  </si>
  <si>
    <t>52.8萬</t>
  </si>
  <si>
    <t>5467萬</t>
  </si>
  <si>
    <t>1480萬</t>
  </si>
  <si>
    <t>9.16億</t>
  </si>
  <si>
    <t>7058萬</t>
  </si>
  <si>
    <t>2.31億</t>
  </si>
  <si>
    <t>1385萬</t>
  </si>
  <si>
    <t>9.97萬</t>
  </si>
  <si>
    <t>30.4萬</t>
  </si>
  <si>
    <t>33.6億</t>
  </si>
  <si>
    <t>278萬</t>
  </si>
  <si>
    <t>18.7億</t>
  </si>
  <si>
    <t>27.5億</t>
  </si>
  <si>
    <t>65.1萬</t>
  </si>
  <si>
    <t>9844萬</t>
  </si>
  <si>
    <t>1370萬</t>
  </si>
  <si>
    <t>1662萬</t>
  </si>
  <si>
    <t>9612萬</t>
  </si>
  <si>
    <t>236億</t>
  </si>
  <si>
    <t>7.06億</t>
  </si>
  <si>
    <t>2648萬</t>
  </si>
  <si>
    <t>31.7萬</t>
  </si>
  <si>
    <t>1.33億</t>
  </si>
  <si>
    <t>6212萬</t>
  </si>
  <si>
    <t>5.09億</t>
  </si>
  <si>
    <t>12.0億</t>
  </si>
  <si>
    <t>5841萬</t>
  </si>
  <si>
    <t>783萬</t>
  </si>
  <si>
    <t>59.0萬</t>
  </si>
  <si>
    <t>42.0萬</t>
  </si>
  <si>
    <t>640萬</t>
  </si>
  <si>
    <t>7.63萬</t>
  </si>
  <si>
    <t>9.37萬</t>
  </si>
  <si>
    <t>246萬</t>
  </si>
  <si>
    <t>40.8萬</t>
  </si>
  <si>
    <t>1708萬</t>
  </si>
  <si>
    <t>6.96萬</t>
  </si>
  <si>
    <t>735萬</t>
  </si>
  <si>
    <t>8430萬</t>
  </si>
  <si>
    <t>1537萬</t>
  </si>
  <si>
    <t>7709萬</t>
  </si>
  <si>
    <t>1747萬</t>
  </si>
  <si>
    <t>3966萬</t>
  </si>
  <si>
    <t>4.93億</t>
  </si>
  <si>
    <t>672萬</t>
  </si>
  <si>
    <t>7469萬</t>
  </si>
  <si>
    <t>5885萬</t>
  </si>
  <si>
    <t>925萬</t>
  </si>
  <si>
    <t>1880萬</t>
  </si>
  <si>
    <t>3386萬</t>
  </si>
  <si>
    <t>2261萬</t>
  </si>
  <si>
    <t>7.48萬</t>
  </si>
  <si>
    <t>主營珠寶精品銷售零售業務</t>
  </si>
  <si>
    <t>646萬</t>
  </si>
  <si>
    <t>3.33億</t>
  </si>
  <si>
    <t>13.7萬</t>
  </si>
  <si>
    <t>20.2萬</t>
  </si>
  <si>
    <t>6.59萬</t>
  </si>
  <si>
    <t>50.4萬</t>
  </si>
  <si>
    <t>99.0萬</t>
  </si>
  <si>
    <t>85.9萬</t>
  </si>
  <si>
    <t>61.8萬</t>
  </si>
  <si>
    <t>9.49億</t>
  </si>
  <si>
    <t>4389萬</t>
  </si>
  <si>
    <t>4.52億</t>
  </si>
  <si>
    <t>91.2萬</t>
  </si>
  <si>
    <t>711萬</t>
  </si>
  <si>
    <t>70.0萬</t>
  </si>
  <si>
    <t>708萬</t>
  </si>
  <si>
    <t>7793萬</t>
  </si>
  <si>
    <t>208萬</t>
  </si>
  <si>
    <t>536萬</t>
  </si>
  <si>
    <t>1586萬</t>
  </si>
  <si>
    <t>3315萬</t>
  </si>
  <si>
    <t>868萬</t>
  </si>
  <si>
    <t>2081萬</t>
  </si>
  <si>
    <t>2225萬</t>
  </si>
  <si>
    <t>6920萬</t>
  </si>
  <si>
    <t>12.1萬</t>
  </si>
  <si>
    <t>297萬</t>
  </si>
  <si>
    <t>1440萬</t>
  </si>
  <si>
    <t>34.7萬</t>
  </si>
  <si>
    <t>3927萬</t>
  </si>
  <si>
    <t>6.61億</t>
  </si>
  <si>
    <t>92.3萬</t>
  </si>
  <si>
    <t>71.0萬</t>
  </si>
  <si>
    <t>74.2萬</t>
  </si>
  <si>
    <t>5.58萬</t>
  </si>
  <si>
    <t>9396萬</t>
  </si>
  <si>
    <t>寶雅*</t>
  </si>
  <si>
    <t>台灣美妝及生活用品百貨龍頭</t>
  </si>
  <si>
    <t>7.50萬</t>
  </si>
  <si>
    <t>2.51億</t>
  </si>
  <si>
    <t>2552萬</t>
  </si>
  <si>
    <t>7607萬</t>
  </si>
  <si>
    <t>20.8萬</t>
  </si>
  <si>
    <t>3500萬</t>
  </si>
  <si>
    <t>6177萬</t>
  </si>
  <si>
    <t>1213萬</t>
  </si>
  <si>
    <t>20.3萬</t>
  </si>
  <si>
    <t>1606萬</t>
  </si>
  <si>
    <t>53.5萬</t>
  </si>
  <si>
    <t>43.5萬</t>
  </si>
  <si>
    <t>4610萬</t>
  </si>
  <si>
    <t>991萬</t>
  </si>
  <si>
    <t>1112萬</t>
  </si>
  <si>
    <t>21.0億</t>
  </si>
  <si>
    <t>2.98億</t>
  </si>
  <si>
    <t>394萬</t>
  </si>
  <si>
    <t>2651萬</t>
  </si>
  <si>
    <t>36.4億</t>
  </si>
  <si>
    <t>1297萬</t>
  </si>
  <si>
    <t>7444萬</t>
  </si>
  <si>
    <t>1084萬</t>
  </si>
  <si>
    <t>61.2萬</t>
  </si>
  <si>
    <t>7277萬</t>
  </si>
  <si>
    <t>1.49億</t>
  </si>
  <si>
    <t>6153萬</t>
  </si>
  <si>
    <t>387萬</t>
  </si>
  <si>
    <t>69.7億</t>
  </si>
  <si>
    <t>1877萬</t>
  </si>
  <si>
    <t>7777萬</t>
  </si>
  <si>
    <t>2802萬</t>
  </si>
  <si>
    <t>30.2億</t>
  </si>
  <si>
    <t>401萬</t>
  </si>
  <si>
    <t>2560萬</t>
  </si>
  <si>
    <t>36.0億</t>
  </si>
  <si>
    <t>5229萬</t>
  </si>
  <si>
    <t>92.2萬</t>
  </si>
  <si>
    <t>3.36億</t>
  </si>
  <si>
    <t>3.00億</t>
  </si>
  <si>
    <t>3820萬</t>
  </si>
  <si>
    <t>1913萬</t>
  </si>
  <si>
    <t>9092萬</t>
  </si>
  <si>
    <t>1273萬</t>
  </si>
  <si>
    <t>3.10萬</t>
  </si>
  <si>
    <t>94.4億</t>
  </si>
  <si>
    <t>3670萬</t>
  </si>
  <si>
    <t>5.49億</t>
  </si>
  <si>
    <t>5735萬</t>
  </si>
  <si>
    <t>228萬</t>
  </si>
  <si>
    <t>57.3億</t>
  </si>
  <si>
    <t>21.7億</t>
  </si>
  <si>
    <t>7943萬</t>
  </si>
  <si>
    <t>42.9萬</t>
  </si>
  <si>
    <t>461萬</t>
  </si>
  <si>
    <t>3716萬</t>
  </si>
  <si>
    <t>473萬</t>
  </si>
  <si>
    <t>878萬</t>
  </si>
  <si>
    <t>42.0億</t>
  </si>
  <si>
    <t>255萬</t>
  </si>
  <si>
    <t>2402萬</t>
  </si>
  <si>
    <t>3464萬</t>
  </si>
  <si>
    <t>7762萬</t>
  </si>
  <si>
    <t>56.2萬</t>
  </si>
  <si>
    <t>24.6億</t>
  </si>
  <si>
    <t>1276萬</t>
  </si>
  <si>
    <t>1280萬</t>
  </si>
  <si>
    <t>3.62萬</t>
  </si>
  <si>
    <t>10.6億</t>
  </si>
  <si>
    <t>2504萬</t>
  </si>
  <si>
    <t>99.6億</t>
  </si>
  <si>
    <t>2084萬</t>
  </si>
  <si>
    <t>6167萬</t>
  </si>
  <si>
    <t>15.4億</t>
  </si>
  <si>
    <t>13.7億</t>
  </si>
  <si>
    <t>656萬</t>
  </si>
  <si>
    <t>5.75萬</t>
  </si>
  <si>
    <t>1675萬</t>
  </si>
  <si>
    <t>5.15億</t>
  </si>
  <si>
    <t>3424萬</t>
  </si>
  <si>
    <t>1666萬</t>
  </si>
  <si>
    <t>2684萬</t>
  </si>
  <si>
    <t>96.3萬</t>
  </si>
  <si>
    <t>7937萬</t>
  </si>
  <si>
    <t>3511萬</t>
  </si>
  <si>
    <t>79.4萬</t>
  </si>
  <si>
    <t>54.8億</t>
  </si>
  <si>
    <t>9932萬</t>
  </si>
  <si>
    <t>140億</t>
  </si>
  <si>
    <t>3.58億</t>
  </si>
  <si>
    <t>2357萬</t>
  </si>
  <si>
    <t>722萬</t>
  </si>
  <si>
    <t>2765萬</t>
  </si>
  <si>
    <t>3.21億</t>
  </si>
  <si>
    <t>2536萬</t>
  </si>
  <si>
    <t>1442萬</t>
  </si>
  <si>
    <t>98.8億</t>
  </si>
  <si>
    <t>4.95億</t>
  </si>
  <si>
    <t>351萬</t>
  </si>
  <si>
    <t>506萬</t>
  </si>
  <si>
    <t>8664萬</t>
  </si>
  <si>
    <t>12.4億</t>
  </si>
  <si>
    <t>46.3萬</t>
  </si>
  <si>
    <t>3700萬</t>
  </si>
  <si>
    <t>25.4億</t>
  </si>
  <si>
    <t>6.09萬</t>
  </si>
  <si>
    <t>4328萬</t>
  </si>
  <si>
    <t>6.17億</t>
  </si>
  <si>
    <t>3989萬</t>
  </si>
  <si>
    <t>2329萬</t>
  </si>
  <si>
    <t>66.8萬</t>
  </si>
  <si>
    <t>36.7萬</t>
  </si>
  <si>
    <t>1026萬</t>
  </si>
  <si>
    <t>737萬</t>
  </si>
  <si>
    <t>910萬</t>
  </si>
  <si>
    <t>759萬</t>
  </si>
  <si>
    <t>4781萬</t>
  </si>
  <si>
    <t>26.5億</t>
  </si>
  <si>
    <t>928萬</t>
  </si>
  <si>
    <t>3899萬</t>
  </si>
  <si>
    <t>4276萬</t>
  </si>
  <si>
    <t>78.5萬</t>
  </si>
  <si>
    <t>474萬</t>
  </si>
  <si>
    <t>2624萬</t>
  </si>
  <si>
    <t>2964萬</t>
  </si>
  <si>
    <t>71.6萬</t>
  </si>
  <si>
    <t>13.8萬</t>
  </si>
  <si>
    <t>43.2萬</t>
  </si>
  <si>
    <t>8905萬</t>
  </si>
  <si>
    <t>6039萬</t>
  </si>
  <si>
    <t>53.8萬</t>
  </si>
  <si>
    <t>6.80億</t>
  </si>
  <si>
    <t>33.1萬</t>
  </si>
  <si>
    <t>1290萬</t>
  </si>
  <si>
    <t>5.03億</t>
  </si>
  <si>
    <t>69.7萬</t>
  </si>
  <si>
    <t>1974萬</t>
  </si>
  <si>
    <t>2019萬</t>
  </si>
  <si>
    <t>6957萬</t>
  </si>
  <si>
    <t>6.68萬</t>
  </si>
  <si>
    <t>14.6萬</t>
  </si>
  <si>
    <t>75.3萬</t>
  </si>
  <si>
    <t>4358萬</t>
  </si>
  <si>
    <t>1.65億</t>
  </si>
  <si>
    <t>11.5萬</t>
  </si>
  <si>
    <t>9.66億</t>
  </si>
  <si>
    <t>45.7萬</t>
  </si>
  <si>
    <t>4048萬</t>
  </si>
  <si>
    <t>596萬</t>
  </si>
  <si>
    <t>16.8萬</t>
  </si>
  <si>
    <t>1855萬</t>
  </si>
  <si>
    <t>85.3萬</t>
  </si>
  <si>
    <t>5291萬</t>
  </si>
  <si>
    <t>5572萬</t>
  </si>
  <si>
    <t>3.27萬</t>
  </si>
  <si>
    <t>1872萬</t>
  </si>
  <si>
    <t>1703萬</t>
  </si>
  <si>
    <t>3.10億</t>
  </si>
  <si>
    <t>1323萬</t>
  </si>
  <si>
    <t>1150萬</t>
  </si>
  <si>
    <t>713萬</t>
  </si>
  <si>
    <t>805萬</t>
  </si>
  <si>
    <t>7870萬</t>
  </si>
  <si>
    <t>5343萬</t>
  </si>
  <si>
    <t>2.55萬</t>
  </si>
  <si>
    <t>9541萬</t>
  </si>
  <si>
    <t>149億</t>
  </si>
  <si>
    <t>6.34億</t>
  </si>
  <si>
    <t>3.97億</t>
  </si>
  <si>
    <t>6.43億</t>
  </si>
  <si>
    <t>1071萬</t>
  </si>
  <si>
    <t>1054萬</t>
  </si>
  <si>
    <t>75.9萬</t>
  </si>
  <si>
    <t>64.1億</t>
  </si>
  <si>
    <t>3.37億</t>
  </si>
  <si>
    <t>7.97億</t>
  </si>
  <si>
    <t>7.27億</t>
  </si>
  <si>
    <t>52.1萬</t>
  </si>
  <si>
    <t>3788萬</t>
  </si>
  <si>
    <t>92.5萬</t>
  </si>
  <si>
    <t>4427萬</t>
  </si>
  <si>
    <t>2514萬</t>
  </si>
  <si>
    <t>637萬</t>
  </si>
  <si>
    <t>12.9萬</t>
  </si>
  <si>
    <t>1550萬</t>
  </si>
  <si>
    <t>507萬</t>
  </si>
  <si>
    <t>51.9萬</t>
  </si>
  <si>
    <t>4028萬</t>
  </si>
  <si>
    <t>86.9萬</t>
  </si>
  <si>
    <t>15.1萬</t>
  </si>
  <si>
    <t>7065萬</t>
  </si>
  <si>
    <t>5350萬</t>
  </si>
  <si>
    <t>2865萬</t>
  </si>
  <si>
    <t>5279萬</t>
  </si>
  <si>
    <t>1061萬</t>
  </si>
  <si>
    <t>706萬</t>
  </si>
  <si>
    <t>3.89億</t>
  </si>
  <si>
    <t>193萬</t>
  </si>
  <si>
    <t>72.2億</t>
  </si>
  <si>
    <t>3501萬</t>
  </si>
  <si>
    <t>8514萬</t>
  </si>
  <si>
    <t>2178萬</t>
  </si>
  <si>
    <t>3830萬</t>
  </si>
  <si>
    <t>56.5萬</t>
  </si>
  <si>
    <t>94.1萬</t>
  </si>
  <si>
    <t>2300萬</t>
  </si>
  <si>
    <t>1395萬</t>
  </si>
  <si>
    <t>551萬</t>
  </si>
  <si>
    <t>4881萬</t>
  </si>
  <si>
    <t>963萬</t>
  </si>
  <si>
    <t>5.22萬</t>
  </si>
  <si>
    <t>38.9萬</t>
  </si>
  <si>
    <t>699萬</t>
  </si>
  <si>
    <t>18.4萬</t>
  </si>
  <si>
    <t>5739萬</t>
  </si>
  <si>
    <t>1094萬</t>
  </si>
  <si>
    <t>1205萬</t>
  </si>
  <si>
    <t>75.8萬</t>
  </si>
  <si>
    <t>8.91億</t>
  </si>
  <si>
    <t>62.4萬</t>
  </si>
  <si>
    <t>84.3萬</t>
  </si>
  <si>
    <t>5622萬</t>
  </si>
  <si>
    <t>3.32億</t>
  </si>
  <si>
    <t>4.03億</t>
  </si>
  <si>
    <t>21.5億</t>
  </si>
  <si>
    <t>628萬</t>
  </si>
  <si>
    <t>75.0億</t>
  </si>
  <si>
    <t>93.0萬</t>
  </si>
  <si>
    <t>20.6萬</t>
  </si>
  <si>
    <t>2747萬</t>
  </si>
  <si>
    <t>17.7億</t>
  </si>
  <si>
    <t>28.2萬</t>
  </si>
  <si>
    <t>9342萬</t>
  </si>
  <si>
    <t>7.46億</t>
  </si>
  <si>
    <t>8919萬</t>
  </si>
  <si>
    <t>2498萬</t>
  </si>
  <si>
    <t>5684萬</t>
  </si>
  <si>
    <t>7.25萬</t>
  </si>
  <si>
    <t>475萬</t>
  </si>
  <si>
    <t>8.28億</t>
  </si>
  <si>
    <t>69.8萬</t>
  </si>
  <si>
    <t>和運租車</t>
  </si>
  <si>
    <t>4415萬</t>
  </si>
  <si>
    <t>和泰集團旗下車輛租賃公司</t>
  </si>
  <si>
    <t>38.8億</t>
  </si>
  <si>
    <t>4.00億</t>
  </si>
  <si>
    <t>9.07億</t>
  </si>
  <si>
    <t>8.69億</t>
  </si>
  <si>
    <t>3283萬</t>
  </si>
  <si>
    <t>6.68億</t>
  </si>
  <si>
    <t>245億</t>
  </si>
  <si>
    <t>4475萬</t>
  </si>
  <si>
    <t>8.77萬</t>
  </si>
  <si>
    <t>811萬</t>
  </si>
  <si>
    <t>3038萬</t>
  </si>
  <si>
    <t>1146萬</t>
  </si>
  <si>
    <t>17.7萬</t>
  </si>
  <si>
    <t>1092萬</t>
  </si>
  <si>
    <t>803萬</t>
  </si>
  <si>
    <t>1293萬</t>
  </si>
  <si>
    <t>7.26億</t>
  </si>
  <si>
    <t>6828萬</t>
  </si>
  <si>
    <t>47.1萬</t>
  </si>
  <si>
    <t>1.62億</t>
  </si>
  <si>
    <t>625萬</t>
  </si>
  <si>
    <t>1766萬</t>
  </si>
  <si>
    <t>1.24萬</t>
  </si>
  <si>
    <t>4.12億</t>
  </si>
  <si>
    <t>2318萬</t>
  </si>
  <si>
    <t>9012萬</t>
  </si>
  <si>
    <t>1938萬</t>
  </si>
  <si>
    <t>7812萬</t>
  </si>
  <si>
    <t>4065萬</t>
  </si>
  <si>
    <t>3.64億</t>
  </si>
  <si>
    <t>1455萬</t>
  </si>
  <si>
    <t>1928萬</t>
  </si>
  <si>
    <t>1180萬</t>
  </si>
  <si>
    <t>2404萬</t>
  </si>
  <si>
    <t>2147萬</t>
  </si>
  <si>
    <t>6525萬</t>
  </si>
  <si>
    <t>2197萬</t>
  </si>
  <si>
    <t>4067萬</t>
  </si>
  <si>
    <t>4443萬</t>
  </si>
  <si>
    <t>50.0萬</t>
  </si>
  <si>
    <t>1031萬</t>
  </si>
  <si>
    <t>364億</t>
  </si>
  <si>
    <t>1779萬</t>
  </si>
  <si>
    <t>8.70萬</t>
  </si>
  <si>
    <t>261億</t>
  </si>
  <si>
    <t>44.4萬</t>
  </si>
  <si>
    <t>1472萬</t>
  </si>
  <si>
    <t>6477萬</t>
  </si>
  <si>
    <t>3064萬</t>
  </si>
  <si>
    <t>59.3萬</t>
  </si>
  <si>
    <t>482萬</t>
  </si>
  <si>
    <t>7.14萬</t>
  </si>
  <si>
    <t>3558萬</t>
  </si>
  <si>
    <t>53.3萬</t>
  </si>
  <si>
    <t>27.5萬</t>
  </si>
  <si>
    <t>8.39萬</t>
  </si>
  <si>
    <t>6465萬</t>
  </si>
  <si>
    <t>35.4萬</t>
  </si>
  <si>
    <t>33.3萬</t>
  </si>
  <si>
    <t>1507萬</t>
  </si>
  <si>
    <t>7.90萬</t>
  </si>
  <si>
    <t>3.74萬</t>
  </si>
  <si>
    <t>6417萬</t>
  </si>
  <si>
    <t>16.0萬</t>
  </si>
  <si>
    <t>2797萬</t>
  </si>
  <si>
    <t>92.0萬</t>
  </si>
  <si>
    <t>527萬</t>
  </si>
  <si>
    <t>16.9萬</t>
  </si>
  <si>
    <t>1780萬</t>
  </si>
  <si>
    <t>1.98萬</t>
  </si>
  <si>
    <t>33.4萬</t>
  </si>
  <si>
    <t>6.91萬</t>
  </si>
  <si>
    <t>70.3萬</t>
  </si>
  <si>
    <t>26.2萬</t>
  </si>
  <si>
    <t>8.23萬</t>
  </si>
  <si>
    <t>2.13億</t>
  </si>
  <si>
    <t>7.29萬</t>
  </si>
  <si>
    <t>7.97萬</t>
  </si>
  <si>
    <t>3532萬</t>
  </si>
  <si>
    <t>1219萬</t>
  </si>
  <si>
    <t>1269萬</t>
  </si>
  <si>
    <t>4.40萬</t>
  </si>
  <si>
    <t>38.5億</t>
  </si>
  <si>
    <t>1218萬</t>
  </si>
  <si>
    <t>4281萬</t>
  </si>
  <si>
    <t>9343萬</t>
  </si>
  <si>
    <t>1576萬</t>
  </si>
  <si>
    <t>8677萬</t>
  </si>
  <si>
    <t>1.10萬</t>
  </si>
  <si>
    <t>477萬</t>
  </si>
  <si>
    <t>736萬</t>
  </si>
  <si>
    <t>2880萬</t>
  </si>
  <si>
    <t>900萬</t>
  </si>
  <si>
    <t>912萬</t>
  </si>
  <si>
    <t>35.6萬</t>
  </si>
  <si>
    <t>626萬</t>
  </si>
  <si>
    <t>29.5萬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</si>
</sst>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1048382.89144525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1585319.5214452501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Family!$D$350:$D$354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Family!$O$350:$O$354</c:f>
              <c:numCache>
                <c:formatCode>#,##0</c:formatCode>
                <c:ptCount val="5"/>
                <c:pt idx="0">
                  <c:v>1030644</c:v>
                </c:pt>
                <c:pt idx="1">
                  <c:v>2999500</c:v>
                </c:pt>
                <c:pt idx="2">
                  <c:v>1083801.3999999999</c:v>
                </c:pt>
                <c:pt idx="3">
                  <c:v>522603.74400000001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Richard!$D$122:$D$126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Richard!$O$122:$O$126</c:f>
              <c:numCache>
                <c:formatCode>#,##0</c:formatCode>
                <c:ptCount val="5"/>
                <c:pt idx="0">
                  <c:v>207007</c:v>
                </c:pt>
                <c:pt idx="1">
                  <c:v>706900</c:v>
                </c:pt>
                <c:pt idx="2">
                  <c:v>519328.57999999996</c:v>
                </c:pt>
                <c:pt idx="3">
                  <c:v>478706.7836366886</c:v>
                </c:pt>
                <c:pt idx="4">
                  <c:v>1439799.6334200001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'Richard-帳戶紀錄'!$A$1:$A$311</c:f>
              <c:strCache>
                <c:ptCount val="309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</c:strCache>
            </c:strRef>
          </c:cat>
          <c:val>
            <c:numRef>
              <c:f>'Richard-帳戶紀錄'!$D$2:$D$311</c:f>
              <c:numCache>
                <c:formatCode>0_ ;[Red]\-0\ </c:formatCode>
                <c:ptCount val="310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356</xdr:row>
      <xdr:rowOff>12325</xdr:rowOff>
    </xdr:from>
    <xdr:to>
      <xdr:col>20</xdr:col>
      <xdr:colOff>22412</xdr:colOff>
      <xdr:row>375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129</xdr:row>
      <xdr:rowOff>-1</xdr:rowOff>
    </xdr:from>
    <xdr:to>
      <xdr:col>16</xdr:col>
      <xdr:colOff>801221</xdr:colOff>
      <xdr:row>148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151</xdr:row>
      <xdr:rowOff>0</xdr:rowOff>
    </xdr:from>
    <xdr:to>
      <xdr:col>23</xdr:col>
      <xdr:colOff>972811</xdr:colOff>
      <xdr:row>164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0"/>
    <tableColumn id="1" xr3:uid="{1E6AC501-2A00-46B8-A11A-48684E26FCC8}" name="名稱" dataDxfId="2259"/>
    <tableColumn id="3" xr3:uid="{FFEB4B70-51DA-4876-B82B-57E335BD1498}" name="最新" dataDxfId="2258"/>
    <tableColumn id="4" xr3:uid="{490069CD-EC85-46F1-9417-97C4A1751F1D}" name="開市" dataDxfId="2257"/>
    <tableColumn id="5" xr3:uid="{58D2DCBD-6498-459F-AEF9-B1E5C836EA99}" name="高" dataDxfId="2256"/>
    <tableColumn id="6" xr3:uid="{50665E54-AD95-484B-8E3F-8DAC39A91CEC}" name="低" dataDxfId="2255"/>
    <tableColumn id="7" xr3:uid="{A9673AD6-3D01-4721-A11D-200877839215}" name="升跌" dataDxfId="2254"/>
    <tableColumn id="8" xr3:uid="{B2FA0785-CF11-40CE-A591-B90FDE194568}" name="升跌率%" dataDxfId="2253"/>
    <tableColumn id="9" xr3:uid="{5C419725-48AF-4B40-B256-03C8EC5EC7A1}" name="成交量" dataDxfId="2252"/>
    <tableColumn id="10" xr3:uid="{F51660D9-9DA5-44D3-B8E0-893DB4B62A9B}" name="時間" dataDxfId="225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0">
  <autoFilter ref="A2:G26" xr:uid="{6F523898-E823-4288-B879-425F07570945}"/>
  <tableColumns count="7">
    <tableColumn id="1" xr3:uid="{4AF3EFC2-F9D7-47F4-B1AE-B56B16023A40}" uniqueName="1" name="日期" queryTableFieldId="1" dataDxfId="2249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8"/>
    <tableColumn id="7" xr3:uid="{20D580EA-ACCF-4096-BD30-78EDCDD79157}" uniqueName="7" name="涨跌幅" queryTableFieldId="7" dataDxfId="2247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4268</v>
      </c>
      <c r="J1" s="131" t="s">
        <v>4269</v>
      </c>
      <c r="K1" s="131" t="s">
        <v>4270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820502.17330538086</v>
      </c>
      <c r="F2" s="92">
        <f>SUM('19'!H31,'19'!L31:M31)</f>
        <v>8416</v>
      </c>
      <c r="G2" s="93">
        <f>C2/D2</f>
        <v>2.3200912458836445E-2</v>
      </c>
      <c r="H2" s="93">
        <f ca="1">C2/E2</f>
        <v>4.1215795765373903E-2</v>
      </c>
      <c r="I2" s="92">
        <f>C2</f>
        <v>33817.65</v>
      </c>
      <c r="J2" s="93">
        <f>$I2/SUM(D$2:D2)</f>
        <v>2.3200912458836445E-2</v>
      </c>
      <c r="K2" s="93">
        <f ca="1">$I2/SUM(E$2:E2)</f>
        <v>4.1215795765373903E-2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920097.48227535037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8.2890130088603131E-2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6.3245244043939275E-2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3941072.6346899224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1.8125372613341916E-2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3.1947998885967631E-2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1819774.1967020023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0.1497505572360994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6.0525694716144288E-2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1214099.4688672167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1.4239854676924174E-2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5.4077950180985698E-2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2713820.8173374613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1.6057714540915893E-2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4.505031907877606E-2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2713820.8173374613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8.1213946990146297E-3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3.7964329226609389E-2</v>
      </c>
    </row>
    <row r="9" spans="1:11">
      <c r="A9" s="91">
        <v>2026</v>
      </c>
      <c r="B9" s="91" t="s">
        <v>39</v>
      </c>
      <c r="C9" s="92">
        <f>'2026'!P82+'2026'!Q82</f>
        <v>1048382.89144525</v>
      </c>
      <c r="D9" s="92">
        <f>'2026'!G82</f>
        <v>3008492.88</v>
      </c>
      <c r="E9" s="379">
        <f ca="1">'Family-帳戶紀錄_old'!O644</f>
        <v>2713820.8173374613</v>
      </c>
      <c r="F9" s="92">
        <f>SUM('2026'!H82,'2026'!L82:M82)</f>
        <v>5398</v>
      </c>
      <c r="G9" s="93">
        <f t="shared" ref="G9" si="8">C9/D9</f>
        <v>0.34847444659574867</v>
      </c>
      <c r="H9" s="93">
        <f t="shared" ref="H9" ca="1" si="9">C9/E9</f>
        <v>0.38631249519038696</v>
      </c>
      <c r="I9" s="92">
        <f>I8+C9</f>
        <v>1585319.5214452501</v>
      </c>
      <c r="J9" s="93">
        <f>$I9/SUM(D$2:D9)</f>
        <v>6.4526999846855185E-2</v>
      </c>
      <c r="K9" s="93">
        <f ca="1">$I9/SUM(E$2:E9)</f>
        <v>9.4045128476461098E-2</v>
      </c>
    </row>
    <row r="10" spans="1:11">
      <c r="A10" s="96" t="s">
        <v>4584</v>
      </c>
      <c r="B10" s="96"/>
      <c r="C10" s="97">
        <f>SUM(C2:C9)</f>
        <v>1585319.5214452501</v>
      </c>
      <c r="D10" s="97">
        <f>SUM(D2:D9)</f>
        <v>24568312.879999999</v>
      </c>
      <c r="E10" s="97">
        <f ca="1">SUM(E2:E9)</f>
        <v>16857008.407852255</v>
      </c>
      <c r="F10" s="97">
        <f>SUM(F2:F9)</f>
        <v>93222</v>
      </c>
      <c r="G10" s="98">
        <f>C10/D10</f>
        <v>6.4526999846855185E-2</v>
      </c>
      <c r="H10" s="98">
        <f ca="1">C10/E10</f>
        <v>9.4045128476461098E-2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6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31.96</v>
      </c>
      <c r="Z2" s="38">
        <f>VLOOKUP(C2,台股行情!A:E,5,FALSE)</f>
        <v>0.52</v>
      </c>
      <c r="AA2" s="90">
        <f t="shared" ref="AA2:AA23" ca="1" si="6">IF(I2="",((TODAY()-A2)*G2)/365.24,((I2-A2)*G2)/365.24)</f>
        <v>1195.4331398532472</v>
      </c>
      <c r="AB2" s="103" t="s">
        <v>3031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34.61</v>
      </c>
      <c r="Z3" s="38">
        <f>VLOOKUP(C3,台股行情!A:E,5,FALSE)</f>
        <v>0.35</v>
      </c>
      <c r="AA3" s="90">
        <f t="shared" ca="1" si="6"/>
        <v>1181.3875807688096</v>
      </c>
      <c r="AB3" s="103" t="s">
        <v>3031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67.7</v>
      </c>
      <c r="Z4" s="38">
        <f>VLOOKUP(C4,台股行情!A:E,5,FALSE)</f>
        <v>-0.6</v>
      </c>
      <c r="AA4" s="90">
        <f t="shared" ca="1" si="6"/>
        <v>1720.0635198773409</v>
      </c>
      <c r="AB4" s="103" t="s">
        <v>3031</v>
      </c>
      <c r="AC4" s="310" t="s">
        <v>4922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67.7</v>
      </c>
      <c r="Z5" s="38">
        <f>VLOOKUP(C5,台股行情!A:E,5,FALSE)</f>
        <v>-0.6</v>
      </c>
      <c r="AA5" s="90">
        <f t="shared" ca="1" si="6"/>
        <v>1450.0848756981711</v>
      </c>
      <c r="AB5" s="103" t="s">
        <v>3031</v>
      </c>
      <c r="AC5" s="310" t="s">
        <v>4922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67.7</v>
      </c>
      <c r="Z6" s="38">
        <f>VLOOKUP(C6,台股行情!A:E,5,FALSE)</f>
        <v>-0.6</v>
      </c>
      <c r="AA6" s="90">
        <f t="shared" ca="1" si="6"/>
        <v>1119.96769247618</v>
      </c>
      <c r="AB6" s="103" t="s">
        <v>3031</v>
      </c>
      <c r="AC6" s="310" t="s">
        <v>4922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67.7</v>
      </c>
      <c r="Z7" s="38">
        <f>VLOOKUP(C7,台股行情!A:E,5,FALSE)</f>
        <v>-0.6</v>
      </c>
      <c r="AA7" s="90">
        <f t="shared" ca="1" si="6"/>
        <v>875.34771656992655</v>
      </c>
      <c r="AB7" s="103" t="s">
        <v>3031</v>
      </c>
      <c r="AC7" s="350" t="s">
        <v>4923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67.7</v>
      </c>
      <c r="Z8" s="38">
        <f>VLOOKUP(C8,台股行情!A:E,5,FALSE)</f>
        <v>-0.6</v>
      </c>
      <c r="AA8" s="90">
        <f t="shared" ca="1" si="6"/>
        <v>382.08301390866279</v>
      </c>
      <c r="AB8" s="103" t="s">
        <v>3031</v>
      </c>
      <c r="AC8" s="350" t="s">
        <v>4923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67.7</v>
      </c>
      <c r="Z9" s="38">
        <f>VLOOKUP(C9,台股行情!A:E,5,FALSE)</f>
        <v>-0.6</v>
      </c>
      <c r="AA9" s="90">
        <f t="shared" ca="1" si="6"/>
        <v>327.49972620742523</v>
      </c>
      <c r="AB9" s="103" t="s">
        <v>3031</v>
      </c>
      <c r="AC9" s="350" t="s">
        <v>4923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31.96</v>
      </c>
      <c r="Z10" s="38">
        <f>VLOOKUP(C10,台股行情!A:E,5,FALSE)</f>
        <v>0.52</v>
      </c>
      <c r="AA10" s="90">
        <f t="shared" ca="1" si="6"/>
        <v>1066.7232504654473</v>
      </c>
      <c r="AB10" s="103" t="s">
        <v>3031</v>
      </c>
      <c r="AC10" s="310" t="s">
        <v>5026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31.96</v>
      </c>
      <c r="Z11" s="38">
        <f>VLOOKUP(C11,台股行情!A:E,5,FALSE)</f>
        <v>0.52</v>
      </c>
      <c r="AA11" s="90">
        <f t="shared" ca="1" si="6"/>
        <v>1094.9512649216954</v>
      </c>
      <c r="AB11" s="103" t="s">
        <v>3031</v>
      </c>
      <c r="AC11" s="310" t="s">
        <v>5026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19.29</v>
      </c>
      <c r="Z12" s="38">
        <f>VLOOKUP(C12,台股行情!A:E,5,FALSE)</f>
        <v>0.26</v>
      </c>
      <c r="AA12" s="90">
        <f t="shared" ca="1" si="6"/>
        <v>120.90680100755667</v>
      </c>
      <c r="AB12" s="103" t="s">
        <v>4096</v>
      </c>
      <c r="AC12" s="311" t="s">
        <v>5025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29.8</v>
      </c>
      <c r="Z13" s="38">
        <f>VLOOKUP(C13,台股行情!A:E,5,FALSE)</f>
        <v>0.19</v>
      </c>
      <c r="AA13" s="90">
        <f t="shared" ca="1" si="6"/>
        <v>183.82433468404335</v>
      </c>
      <c r="AB13" s="103" t="s">
        <v>4096</v>
      </c>
      <c r="AC13" s="311" t="s">
        <v>5025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21.38</v>
      </c>
      <c r="Z14" s="38">
        <f>VLOOKUP(C14,台股行情!A:E,5,FALSE)</f>
        <v>0.03</v>
      </c>
      <c r="AA14" s="90">
        <f t="shared" ca="1" si="6"/>
        <v>98.839119483079614</v>
      </c>
      <c r="AB14" s="103" t="s">
        <v>4096</v>
      </c>
      <c r="AC14" s="311" t="s">
        <v>5025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20.88</v>
      </c>
      <c r="Z15" s="38">
        <f>VLOOKUP(C15,台股行情!A:E,5,FALSE)</f>
        <v>-0.12</v>
      </c>
      <c r="AA15" s="90">
        <f t="shared" ca="1" si="6"/>
        <v>134.70594677472346</v>
      </c>
      <c r="AB15" s="103" t="s">
        <v>4096</v>
      </c>
      <c r="AC15" s="311" t="s">
        <v>5025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54.6</v>
      </c>
      <c r="Z16" s="38">
        <f>VLOOKUP(C16,台股行情!A:E,5,FALSE)</f>
        <v>0.75</v>
      </c>
      <c r="AA16" s="90">
        <f t="shared" ca="1" si="6"/>
        <v>875.26010294600803</v>
      </c>
      <c r="AB16" s="103" t="s">
        <v>4096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233.5</v>
      </c>
      <c r="Z17" s="38">
        <f>VLOOKUP(C17,台股行情!A:E,5,FALSE)</f>
        <v>2</v>
      </c>
      <c r="AA17" s="90">
        <f t="shared" ca="1" si="6"/>
        <v>26700.251889168765</v>
      </c>
      <c r="AB17" s="143" t="s">
        <v>5047</v>
      </c>
      <c r="AC17" s="310" t="s">
        <v>5046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138</v>
      </c>
      <c r="Z18" s="38">
        <f>VLOOKUP(C18,台股行情!A:E,5,FALSE)</f>
        <v>-2.5</v>
      </c>
      <c r="AA18" s="90">
        <f t="shared" ca="1" si="6"/>
        <v>13559.577264264593</v>
      </c>
      <c r="AB18" s="311" t="s">
        <v>4940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91.1</v>
      </c>
      <c r="Z19" s="38">
        <f>VLOOKUP(C19,台股行情!A:E,5,FALSE)</f>
        <v>2.6</v>
      </c>
      <c r="AA19" s="90">
        <f t="shared" ca="1" si="6"/>
        <v>1615.6499835724455</v>
      </c>
      <c r="AB19" s="103" t="s">
        <v>5095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151.5</v>
      </c>
      <c r="Z20" s="38">
        <f>VLOOKUP(C20,台股行情!A:E,5,FALSE)</f>
        <v>-1.5</v>
      </c>
      <c r="AA20" s="90">
        <f t="shared" ca="1" si="6"/>
        <v>11967.47344212025</v>
      </c>
      <c r="AB20" s="103" t="s">
        <v>3364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31.96</v>
      </c>
      <c r="Z21" s="38">
        <f>VLOOKUP(C21,台股行情!A:E,5,FALSE)</f>
        <v>0.52</v>
      </c>
      <c r="AA21" s="90">
        <f t="shared" ca="1" si="6"/>
        <v>2051.5962107107653</v>
      </c>
      <c r="AB21" s="103" t="s">
        <v>3031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31.96</v>
      </c>
      <c r="Z22" s="38">
        <f>VLOOKUP(C22,台股行情!A:E,5,FALSE)</f>
        <v>0.52</v>
      </c>
      <c r="AA22" s="90">
        <f t="shared" ca="1" si="6"/>
        <v>1721.6159237761472</v>
      </c>
      <c r="AB22" s="103" t="s">
        <v>3031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91.1</v>
      </c>
      <c r="Z23" s="38">
        <f>VLOOKUP(C23,台股行情!A:E,5,FALSE)</f>
        <v>-0.6</v>
      </c>
      <c r="AA23" s="90">
        <f t="shared" ca="1" si="6"/>
        <v>190.38988062643742</v>
      </c>
      <c r="AB23" s="103" t="s">
        <v>3031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MIN(A78:A78)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1511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146000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-4823.2325000000001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3.2440662450066576E-2</v>
      </c>
      <c r="Y28" s="16">
        <f>VLOOKUP(C28,台股行情!A:D,4,FALSE)</f>
        <v>73</v>
      </c>
      <c r="Z28" s="38">
        <f>VLOOKUP(C28,台股行情!A:E,5,FALSE)</f>
        <v>3</v>
      </c>
      <c r="AA28" s="90">
        <f ca="1">IF(I28="",((TODAY()-A28)*G28)/365.24,((I28-A28)*G28)/365.24)</f>
        <v>816304.34782608692</v>
      </c>
      <c r="AB28" s="103" t="s">
        <v>209</v>
      </c>
      <c r="AD28" s="338" t="s">
        <v>4822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540000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-84452.175000000003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9.8085339256865911E-2</v>
      </c>
      <c r="Y29" s="16">
        <f>VLOOKUP(C29,台股行情!A:D,4,FALSE)</f>
        <v>540</v>
      </c>
      <c r="Z29" s="38">
        <f>VLOOKUP(C29,台股行情!A:E,5,FALSE)</f>
        <v>-5</v>
      </c>
      <c r="AA29" s="90">
        <f ca="1">IF(I29="",((TODAY()-A29)*G29)/365.24,((I29-A29)*G29)/365.24)</f>
        <v>3340403.5702551748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135500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-70510.006875000006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-0.1465505470660147</v>
      </c>
      <c r="Y30" s="16">
        <f>VLOOKUP(C30,台股行情!A:D,4,FALSE)</f>
        <v>135.5</v>
      </c>
      <c r="Z30" s="38">
        <f>VLOOKUP(C30,台股行情!A:E,5,FALSE)</f>
        <v>-3</v>
      </c>
      <c r="AA30" s="90">
        <f ca="1">IF(I30="",((TODAY()-A30)*G30)/365.24,((I30-A30)*G30)/365.24)</f>
        <v>1100214.9271711751</v>
      </c>
      <c r="AB30" s="103" t="s">
        <v>209</v>
      </c>
      <c r="AD30" s="338" t="s">
        <v>4822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49850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14569.276437500001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0.47011283152716382</v>
      </c>
      <c r="Y31" s="16">
        <f>VLOOKUP(C31,台股行情!A:D,4,FALSE)</f>
        <v>49.85</v>
      </c>
      <c r="Z31" s="38">
        <f>VLOOKUP(C31,台股行情!A:E,5,FALSE)</f>
        <v>1.25</v>
      </c>
      <c r="AA31" s="90">
        <f ca="1">IF(I31="",((TODAY()-A31)*G31)/365.24,((I31-A31)*G31)/365.24)</f>
        <v>187882.501916548</v>
      </c>
      <c r="AB31" s="103" t="s">
        <v>5097</v>
      </c>
      <c r="AD31" s="320" t="s">
        <v>4795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485000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321065.76874999999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2.0812959182098765</v>
      </c>
      <c r="Y32" s="16">
        <f>VLOOKUP(C32,台股行情!A:D,4,FALSE)</f>
        <v>485</v>
      </c>
      <c r="Z32" s="38">
        <f>VLOOKUP(C32,台股行情!A:E,5,FALSE)</f>
        <v>-7.5</v>
      </c>
      <c r="AA32" s="90">
        <f ca="1">IF(I32="",((TODAY()-A32)*G32)/365.24,((I32-A32)*G32)/365.24)</f>
        <v>411165.26119811629</v>
      </c>
      <c r="AB32" s="103" t="s">
        <v>3364</v>
      </c>
    </row>
    <row r="34" spans="1:28">
      <c r="A34" s="99">
        <v>46050</v>
      </c>
      <c r="B34" s="11"/>
      <c r="C34" s="341" t="s">
        <v>4859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58800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21759.136499999997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0.60969936141304337</v>
      </c>
      <c r="Y34" s="16">
        <f>VLOOKUP(C34,台股行情!A:D,4,FALSE)</f>
        <v>29.4</v>
      </c>
      <c r="Z34" s="38">
        <f>VLOOKUP(C34,台股行情!A:E,5,FALSE)</f>
        <v>-0.69</v>
      </c>
      <c r="AA34" s="90">
        <f ca="1">IF(I34="",((TODAY()-A34)*G34)/365.24,((I34-A34)*G34)/365.24)</f>
        <v>21662.468513853903</v>
      </c>
      <c r="AB34" s="103" t="s">
        <v>3031</v>
      </c>
    </row>
    <row r="35" spans="1:28" outlineLevel="1">
      <c r="A35" s="99">
        <v>46051</v>
      </c>
      <c r="B35" s="11"/>
      <c r="C35" s="341" t="s">
        <v>4859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29400</v>
      </c>
      <c r="P35" s="14">
        <f t="shared" si="11"/>
        <v>339.9</v>
      </c>
      <c r="Q35" s="14">
        <f t="shared" ref="Q35" si="16">IF(I35="",(O35-G35-(O35*0.1425%*0.65)-(O35*0.3%)-S35-T35),0)</f>
        <v>11064.568249999998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0.6262750274574409</v>
      </c>
      <c r="Y35" s="16">
        <f>VLOOKUP(C35,台股行情!A:D,4,FALSE)</f>
        <v>29.4</v>
      </c>
      <c r="Z35" s="38">
        <f>VLOOKUP(C35,台股行情!A:E,5,FALSE)</f>
        <v>-0.69</v>
      </c>
      <c r="AA35" s="90">
        <f t="shared" ref="AA35:AA75" ca="1" si="19">IF(I35="",((TODAY()-A35)*G35)/365.24,((I35-A35)*G35)/365.24)</f>
        <v>10669.532362282334</v>
      </c>
      <c r="AB35" s="103" t="s">
        <v>3031</v>
      </c>
    </row>
    <row r="36" spans="1:28" outlineLevel="1">
      <c r="A36" s="99">
        <v>46076</v>
      </c>
      <c r="B36" s="11"/>
      <c r="C36" s="341" t="s">
        <v>4859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15376.199999999999</v>
      </c>
      <c r="P36" s="14">
        <f t="shared" si="11"/>
        <v>189.46</v>
      </c>
      <c r="Q36" s="14">
        <f>IF(I36="",(O36-G36-(O36*0.1425%*0.65)-(O36*0.3%)-S36-T36),0)</f>
        <v>5311.8291947499993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0.55045919499199514</v>
      </c>
      <c r="Y36" s="16">
        <f>VLOOKUP(C36,台股行情!A:D,4,FALSE)</f>
        <v>29.4</v>
      </c>
      <c r="Z36" s="38">
        <f>VLOOKUP(C36,台股行情!A:E,5,FALSE)</f>
        <v>-0.69</v>
      </c>
      <c r="AA36" s="90">
        <f t="shared" ca="1" si="19"/>
        <v>5171.5748548899355</v>
      </c>
      <c r="AB36" s="103" t="s">
        <v>3031</v>
      </c>
    </row>
    <row r="37" spans="1:28" outlineLevel="1">
      <c r="A37" s="99">
        <v>46079</v>
      </c>
      <c r="B37" s="11"/>
      <c r="C37" s="341" t="s">
        <v>4859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14553</v>
      </c>
      <c r="P37" s="14">
        <f t="shared" si="11"/>
        <v>179.67</v>
      </c>
      <c r="Q37" s="14">
        <f>IF(I37="",(O37-G37-(O37*0.1425%*0.65)-(O37*0.3%)-S37-T37),0)</f>
        <v>4491.8612837500004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0.46743358852811689</v>
      </c>
      <c r="Y37" s="16">
        <f>VLOOKUP(C37,台股行情!A:D,4,FALSE)</f>
        <v>29.4</v>
      </c>
      <c r="Z37" s="38">
        <f>VLOOKUP(C37,台股行情!A:E,5,FALSE)</f>
        <v>-0.69</v>
      </c>
      <c r="AA37" s="90">
        <f t="shared" ca="1" si="19"/>
        <v>5089.4863651297774</v>
      </c>
      <c r="AB37" s="103" t="s">
        <v>3031</v>
      </c>
    </row>
    <row r="38" spans="1:28" outlineLevel="1">
      <c r="A38" s="99">
        <v>46133</v>
      </c>
      <c r="B38" s="11"/>
      <c r="C38" s="341" t="s">
        <v>4859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28870.799999999999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2881.5660214999984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0.24007557529455784</v>
      </c>
      <c r="Y38" s="16">
        <f>VLOOKUP(C38,台股行情!A:D,4,FALSE)</f>
        <v>29.4</v>
      </c>
      <c r="Z38" s="38">
        <f>VLOOKUP(C38,台股行情!A:E,5,FALSE)</f>
        <v>-0.69</v>
      </c>
      <c r="AA38" s="90">
        <f t="shared" ca="1" si="19"/>
        <v>9348.0893658963978</v>
      </c>
      <c r="AB38" s="103" t="s">
        <v>3031</v>
      </c>
    </row>
    <row r="39" spans="1:28" outlineLevel="1">
      <c r="A39" s="99">
        <v>46148</v>
      </c>
      <c r="B39" s="11"/>
      <c r="C39" s="11" t="s">
        <v>4475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29400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4.5682499999999919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-1.2442537568306013E-3</v>
      </c>
      <c r="Y39" s="16">
        <f>VLOOKUP(C39,台股行情!A:D,4,FALSE)</f>
        <v>29.4</v>
      </c>
      <c r="Z39" s="38">
        <f>VLOOKUP(C39,台股行情!A:E,5,FALSE)</f>
        <v>-0.69</v>
      </c>
      <c r="AA39" s="90">
        <f t="shared" ca="1" si="19"/>
        <v>9379.4765085970866</v>
      </c>
      <c r="AB39" s="103" t="s">
        <v>3031</v>
      </c>
    </row>
    <row r="40" spans="1:28">
      <c r="A40" s="99">
        <v>46087</v>
      </c>
      <c r="B40" s="11"/>
      <c r="C40" s="348" t="s">
        <v>4919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14808.75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4760.6071453124996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0.47643715168293288</v>
      </c>
      <c r="Y40" s="16">
        <f>VLOOKUP(C40,台股行情!A:D,4,FALSE)</f>
        <v>17.95</v>
      </c>
      <c r="Z40" s="38">
        <f>VLOOKUP(C40,台股行情!A:E,5,FALSE)</f>
        <v>-0.35</v>
      </c>
      <c r="AA40" s="90">
        <f t="shared" ca="1" si="19"/>
        <v>4868.63432263717</v>
      </c>
      <c r="AB40" s="103" t="s">
        <v>3031</v>
      </c>
    </row>
    <row r="41" spans="1:28" outlineLevel="1">
      <c r="A41" s="99">
        <v>46097</v>
      </c>
      <c r="B41" s="11"/>
      <c r="C41" s="348" t="s">
        <v>4919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14324.099999999999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4269.8600023749977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0.42697139451640304</v>
      </c>
      <c r="Y41" s="16">
        <f>VLOOKUP(C41,台股行情!A:D,4,FALSE)</f>
        <v>17.95</v>
      </c>
      <c r="Z41" s="38">
        <f>VLOOKUP(C41,台股行情!A:E,5,FALSE)</f>
        <v>-0.35</v>
      </c>
      <c r="AA41" s="90">
        <f t="shared" ca="1" si="19"/>
        <v>4598.79531267112</v>
      </c>
      <c r="AB41" s="103" t="s">
        <v>3031</v>
      </c>
    </row>
    <row r="42" spans="1:28" outlineLevel="1">
      <c r="A42" s="99">
        <v>46119</v>
      </c>
      <c r="B42" s="11"/>
      <c r="C42" s="348" t="s">
        <v>4919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14180.5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4131.8238118749996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0.41337174140648447</v>
      </c>
      <c r="Y42" s="16">
        <f>VLOOKUP(C42,台股行情!A:D,4,FALSE)</f>
        <v>17.95</v>
      </c>
      <c r="Z42" s="38">
        <f>VLOOKUP(C42,台股行情!A:E,5,FALSE)</f>
        <v>-0.35</v>
      </c>
      <c r="AA42" s="90">
        <f t="shared" ca="1" si="19"/>
        <v>3994.5734311685464</v>
      </c>
      <c r="AB42" s="103" t="s">
        <v>3031</v>
      </c>
    </row>
    <row r="43" spans="1:28" outlineLevel="1">
      <c r="A43" s="99">
        <v>46128</v>
      </c>
      <c r="B43" s="11"/>
      <c r="C43" s="348" t="s">
        <v>4919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12403.449999999999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2356.7509544374989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0.23562221988772744</v>
      </c>
      <c r="Y43" s="16">
        <f>VLOOKUP(C43,台股行情!A:D,4,FALSE)</f>
        <v>17.95</v>
      </c>
      <c r="Z43" s="38">
        <f>VLOOKUP(C43,台股行情!A:E,5,FALSE)</f>
        <v>-0.35</v>
      </c>
      <c r="AA43" s="90">
        <f t="shared" ca="1" si="19"/>
        <v>3750.2080823568062</v>
      </c>
      <c r="AB43" s="103" t="s">
        <v>3031</v>
      </c>
    </row>
    <row r="44" spans="1:28" outlineLevel="1">
      <c r="A44" s="99">
        <v>46148</v>
      </c>
      <c r="B44" s="11"/>
      <c r="C44" s="348" t="s">
        <v>4919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10177.65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141.69000168749963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1.4074630020758266E-2</v>
      </c>
      <c r="Y44" s="16">
        <f>VLOOKUP(C44,台股行情!A:D,4,FALSE)</f>
        <v>17.95</v>
      </c>
      <c r="Z44" s="38">
        <f>VLOOKUP(C44,台股行情!A:E,5,FALSE)</f>
        <v>-0.35</v>
      </c>
      <c r="AA44" s="90">
        <f t="shared" ca="1" si="19"/>
        <v>3202.0917752710548</v>
      </c>
      <c r="AB44" s="103" t="s">
        <v>3031</v>
      </c>
    </row>
    <row r="45" spans="1:28" outlineLevel="1">
      <c r="A45" s="99">
        <v>46160</v>
      </c>
      <c r="B45" s="11"/>
      <c r="C45" s="348" t="s">
        <v>4919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10303.299999999999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266.8466683749993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2.6595304959483722E-2</v>
      </c>
      <c r="Y45" s="16">
        <f>VLOOKUP(C45,台股行情!A:D,4,FALSE)</f>
        <v>17.95</v>
      </c>
      <c r="Z45" s="38">
        <f>VLOOKUP(C45,台股行情!A:E,5,FALSE)</f>
        <v>-0.35</v>
      </c>
      <c r="AA45" s="90">
        <f t="shared" ca="1" si="19"/>
        <v>2873.6721060124851</v>
      </c>
      <c r="AB45" s="103" t="s">
        <v>3031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15552</v>
      </c>
      <c r="P46" s="14">
        <f t="shared" si="35"/>
        <v>-1</v>
      </c>
      <c r="Q46" s="14">
        <f t="shared" si="36"/>
        <v>5500.9389600000004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0.55054444044044049</v>
      </c>
      <c r="Y46" s="16">
        <f>VLOOKUP(C46,台股行情!A:D,4,FALSE)</f>
        <v>81</v>
      </c>
      <c r="Z46" s="38">
        <f>VLOOKUP(C46,台股行情!A:E,5,FALSE)</f>
        <v>-1.85</v>
      </c>
      <c r="AA46" s="90">
        <f t="shared" ca="1" si="19"/>
        <v>4786.5786879859816</v>
      </c>
      <c r="AB46" s="103" t="s">
        <v>3031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14661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4630.4372487499995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0.46419705692870744</v>
      </c>
      <c r="Y47" s="16">
        <f>VLOOKUP(C47,台股行情!A:D,4,FALSE)</f>
        <v>81</v>
      </c>
      <c r="Z47" s="38">
        <f>VLOOKUP(C47,台股行情!A:E,5,FALSE)</f>
        <v>-1.85</v>
      </c>
      <c r="AA47" s="90">
        <f t="shared" ca="1" si="19"/>
        <v>4559.9906910524587</v>
      </c>
      <c r="AB47" s="103" t="s">
        <v>3031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14499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4479.0733012499995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0.44947037049583455</v>
      </c>
      <c r="Y48" s="16">
        <f>VLOOKUP(C48,台股行情!A:D,4,FALSE)</f>
        <v>81</v>
      </c>
      <c r="Z48" s="38">
        <f>VLOOKUP(C48,台股行情!A:E,5,FALSE)</f>
        <v>-1.85</v>
      </c>
      <c r="AA48" s="90">
        <f t="shared" ca="1" si="19"/>
        <v>3982.5813163946991</v>
      </c>
      <c r="AB48" s="103" t="s">
        <v>3031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12393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2361.3419837500001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0.23643613981268155</v>
      </c>
      <c r="Y49" s="16">
        <f>VLOOKUP(C49,台股行情!A:D,4,FALSE)</f>
        <v>81</v>
      </c>
      <c r="Z49" s="38">
        <f>VLOOKUP(C49,台股行情!A:E,5,FALSE)</f>
        <v>-1.85</v>
      </c>
      <c r="AA49" s="90">
        <f t="shared" ca="1" si="19"/>
        <v>3717.2489322089582</v>
      </c>
      <c r="AB49" s="103" t="s">
        <v>3031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10125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152.24671875000001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1.1199709931541329E-2</v>
      </c>
      <c r="Y50" s="16">
        <f>VLOOKUP(C50,台股行情!A:D,4,FALSE)</f>
        <v>81</v>
      </c>
      <c r="Z50" s="38">
        <f>VLOOKUP(C50,台股行情!A:E,5,FALSE)</f>
        <v>-1.85</v>
      </c>
      <c r="AA50" s="90">
        <f t="shared" ca="1" si="19"/>
        <v>3154.7147081371154</v>
      </c>
      <c r="AB50" s="103" t="s">
        <v>3031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9963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-9.1172287499999989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-1.0185471408436524E-3</v>
      </c>
      <c r="Y51" s="16">
        <f>VLOOKUP(C51,台股行情!A:D,4,FALSE)</f>
        <v>81</v>
      </c>
      <c r="Z51" s="38">
        <f>VLOOKUP(C51,台股行情!A:E,5,FALSE)</f>
        <v>-1.85</v>
      </c>
      <c r="AA51" s="90">
        <f t="shared" ca="1" si="19"/>
        <v>2855.5607271930785</v>
      </c>
      <c r="AB51" s="103" t="s">
        <v>3031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118000</v>
      </c>
      <c r="P52" s="14">
        <f t="shared" si="52"/>
        <v>-183</v>
      </c>
      <c r="Q52" s="14">
        <f t="shared" si="53"/>
        <v>-11463.297500000001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-9.0281375968992258E-2</v>
      </c>
      <c r="Y52" s="16">
        <f>VLOOKUP(C52,台股行情!A:D,4,FALSE)</f>
        <v>118</v>
      </c>
      <c r="Z52" s="38">
        <f>VLOOKUP(C52,台股行情!A:E,5,FALSE)</f>
        <v>0.5</v>
      </c>
      <c r="AA52" s="90">
        <f t="shared" ca="1" si="19"/>
        <v>58983.134377395683</v>
      </c>
      <c r="AB52" s="103" t="s">
        <v>209</v>
      </c>
      <c r="AD52" s="311" t="s">
        <v>4937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5631.25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694.14030468750002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0.14102549434130213</v>
      </c>
      <c r="Y53" s="16">
        <f>VLOOKUP(C53,台股行情!A:D,4,FALSE)</f>
        <v>106.25</v>
      </c>
      <c r="Z53" s="38">
        <f>VLOOKUP(C53,台股行情!A:E,5,FALSE)</f>
        <v>-0.7</v>
      </c>
      <c r="AA53" s="90">
        <f t="shared" ca="1" si="19"/>
        <v>1682.1131310918847</v>
      </c>
      <c r="AB53" s="103" t="s">
        <v>3031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5418.75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449.47463281249998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9.0637557156932086E-2</v>
      </c>
      <c r="Y54" s="16">
        <f>VLOOKUP(C54,台股行情!A:D,4,FALSE)</f>
        <v>106.25</v>
      </c>
      <c r="Z54" s="38">
        <f>VLOOKUP(C54,台股行情!A:E,5,FALSE)</f>
        <v>-0.7</v>
      </c>
      <c r="AA54" s="90">
        <f t="shared" ca="1" si="19"/>
        <v>1557.9345088161208</v>
      </c>
      <c r="AB54" s="103" t="s">
        <v>3031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5525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555.30746875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0.11202657007881972</v>
      </c>
      <c r="Y55" s="16">
        <f>VLOOKUP(C55,台股行情!A:D,4,FALSE)</f>
        <v>106.25</v>
      </c>
      <c r="Z55" s="38">
        <f>VLOOKUP(C55,台股行情!A:E,5,FALSE)</f>
        <v>-0.7</v>
      </c>
      <c r="AA55" s="90">
        <f t="shared" ca="1" si="19"/>
        <v>1422.4619428321103</v>
      </c>
      <c r="AB55" s="103" t="s">
        <v>3031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106250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12132.8359375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0.12806655216115262</v>
      </c>
      <c r="Y56" s="16">
        <f>VLOOKUP(C56,台股行情!A:D,4,FALSE)</f>
        <v>106.25</v>
      </c>
      <c r="Z56" s="38">
        <f>VLOOKUP(C56,台股行情!A:E,5,FALSE)</f>
        <v>-0.7</v>
      </c>
      <c r="AA56" s="90">
        <f t="shared" ca="1" si="19"/>
        <v>26680.538823787097</v>
      </c>
      <c r="AB56" s="103" t="s">
        <v>3031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10200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236.95225000000002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2.3778318048977128E-2</v>
      </c>
      <c r="Y57" s="16">
        <f>VLOOKUP(C57,台股行情!A:D,4,FALSE)</f>
        <v>106.25</v>
      </c>
      <c r="Z57" s="38">
        <f>VLOOKUP(C57,台股行情!A:E,5,FALSE)</f>
        <v>-0.7</v>
      </c>
      <c r="AA57" s="90">
        <f t="shared" ca="1" si="19"/>
        <v>2581.0015332384187</v>
      </c>
      <c r="AB57" s="103" t="s">
        <v>3031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106250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5282.8359375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5.1117214694181998E-2</v>
      </c>
      <c r="Y58" s="16">
        <f>VLOOKUP(C58,台股行情!A:D,4,FALSE)</f>
        <v>106.25</v>
      </c>
      <c r="Z58" s="38">
        <f>VLOOKUP(C58,台股行情!A:E,5,FALSE)</f>
        <v>-0.7</v>
      </c>
      <c r="AA58" s="90">
        <f t="shared" ca="1" si="19"/>
        <v>26153.351221114881</v>
      </c>
      <c r="AB58" s="103" t="s">
        <v>3031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10518.75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522.4507578125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5.2380789333249626E-2</v>
      </c>
      <c r="Y59" s="16">
        <f>VLOOKUP(C59,台股行情!A:D,4,FALSE)</f>
        <v>106.25</v>
      </c>
      <c r="Z59" s="38">
        <f>VLOOKUP(C59,台股行情!A:E,5,FALSE)</f>
        <v>-0.7</v>
      </c>
      <c r="AA59" s="90">
        <f t="shared" ca="1" si="19"/>
        <v>2289.5082685357575</v>
      </c>
      <c r="AB59" s="103" t="s">
        <v>3031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106250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5182.8359375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5.0072885618479883E-2</v>
      </c>
      <c r="Y60" s="16">
        <f>VLOOKUP(C60,台股行情!A:D,4,FALSE)</f>
        <v>106.25</v>
      </c>
      <c r="Z60" s="38">
        <f>VLOOKUP(C60,台股行情!A:E,5,FALSE)</f>
        <v>-0.7</v>
      </c>
      <c r="AA60" s="90">
        <f t="shared" ca="1" si="19"/>
        <v>22596.922571459862</v>
      </c>
      <c r="AB60" s="103" t="s">
        <v>3031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9881.25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-120.5462578125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-1.2199764911422262E-2</v>
      </c>
      <c r="Y61" s="16">
        <f>VLOOKUP(C61,台股行情!A:D,4,FALSE)</f>
        <v>106.25</v>
      </c>
      <c r="Z61" s="38">
        <f>VLOOKUP(C61,台股行情!A:E,5,FALSE)</f>
        <v>-0.7</v>
      </c>
      <c r="AA61" s="90">
        <f t="shared" ca="1" si="19"/>
        <v>2018.5686124192312</v>
      </c>
      <c r="AB61" s="103" t="s">
        <v>3031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99100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19700.908625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0.29550264082278482</v>
      </c>
      <c r="Y62" s="16">
        <f>VLOOKUP(C62,台股行情!A:D,4,FALSE)</f>
        <v>49.55</v>
      </c>
      <c r="Z62" s="38">
        <f>VLOOKUP(C62,台股行情!A:E,5,FALSE)</f>
        <v>1</v>
      </c>
      <c r="AA62" s="90">
        <f t="shared" ca="1" si="19"/>
        <v>25306.647683714818</v>
      </c>
      <c r="AB62" s="103" t="s">
        <v>5096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999000</v>
      </c>
      <c r="P63" s="14">
        <f t="shared" si="89"/>
        <v>36470</v>
      </c>
      <c r="Q63" s="14">
        <f t="shared" ref="Q63" si="97">IF(I63="",(O63-G63-(O63*0.1425%*0.65)-(O63*0.3%)-S63-T63),0)</f>
        <v>355237.67625000002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0.6130010582942097</v>
      </c>
      <c r="Y63" s="16">
        <f>VLOOKUP(C63,台股行情!A:D,4,FALSE)</f>
        <v>999</v>
      </c>
      <c r="Z63" s="38">
        <f>VLOOKUP(C63,台股行情!A:E,5,FALSE)</f>
        <v>34</v>
      </c>
      <c r="AA63" s="90">
        <f t="shared" ca="1" si="19"/>
        <v>202946.0081042602</v>
      </c>
      <c r="AB63" s="103" t="s">
        <v>3364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152500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16391.246875000001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0.12282839022140223</v>
      </c>
      <c r="Y64" s="16">
        <f>VLOOKUP(C64,台股行情!A:D,4,FALSE)</f>
        <v>6100</v>
      </c>
      <c r="Z64" s="38">
        <f>VLOOKUP(C64,台股行情!A:E,5,FALSE)</f>
        <v>85</v>
      </c>
      <c r="AA64" s="90">
        <f t="shared" ca="1" si="19"/>
        <v>42663.727959697731</v>
      </c>
      <c r="AB64" s="103" t="s">
        <v>5094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125000</v>
      </c>
      <c r="P65" s="14">
        <f t="shared" si="106"/>
        <v>906.1</v>
      </c>
      <c r="Q65" s="14">
        <f t="shared" si="107"/>
        <v>16999.21875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0.16656110465116278</v>
      </c>
      <c r="Y65" s="16">
        <f>VLOOKUP(C65,台股行情!A:D,4,FALSE)</f>
        <v>1250</v>
      </c>
      <c r="Z65" s="38">
        <f>VLOOKUP(C65,台股行情!A:E,5,FALSE)</f>
        <v>110</v>
      </c>
      <c r="AA65" s="90">
        <f t="shared" ca="1" si="19"/>
        <v>33847.607052896725</v>
      </c>
      <c r="AB65" s="103" t="s">
        <v>5094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149550</v>
      </c>
      <c r="P66" s="14">
        <f t="shared" si="106"/>
        <v>3411</v>
      </c>
      <c r="Q66" s="14">
        <f t="shared" si="107"/>
        <v>43952.829312499998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0.45108408869047617</v>
      </c>
      <c r="Y66" s="16">
        <f>VLOOKUP(C66,台股行情!A:D,4,FALSE)</f>
        <v>49.85</v>
      </c>
      <c r="Z66" s="38">
        <f>VLOOKUP(C66,台股行情!A:E,5,FALSE)</f>
        <v>1.25</v>
      </c>
      <c r="AA66" s="90">
        <f t="shared" ca="1" si="19"/>
        <v>31910.52458657321</v>
      </c>
      <c r="AB66" s="103" t="s">
        <v>5094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9153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-835.93696624999995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-8.4088914523259312E-2</v>
      </c>
      <c r="Y67" s="16">
        <f>VLOOKUP(C67,台股行情!A:D,4,FALSE)</f>
        <v>81</v>
      </c>
      <c r="Z67" s="38">
        <f>VLOOKUP(C67,台股行情!A:E,5,FALSE)</f>
        <v>-1.85</v>
      </c>
      <c r="AA67" s="90">
        <f t="shared" ca="1" si="19"/>
        <v>2289.0482970101853</v>
      </c>
      <c r="AB67" s="103" t="s">
        <v>3031</v>
      </c>
    </row>
    <row r="68" spans="1:30">
      <c r="A68" s="99">
        <v>46181</v>
      </c>
      <c r="B68" s="11"/>
      <c r="C68" s="348" t="s">
        <v>4919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9728.9</v>
      </c>
      <c r="P68" s="14">
        <f>IF(I68="",R68-H68,(K68-H68-SUM(L68:N68)+R68-S68-T68)-G68)+(ROUND(R68*V68,0)-ROUND(R68*(1+V68),0)*W68)</f>
        <v>3278.65</v>
      </c>
      <c r="Q68" s="14">
        <f t="shared" si="117"/>
        <v>-303.29809362500032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0.29771381892885729</v>
      </c>
      <c r="Y68" s="16">
        <f>VLOOKUP(C68,台股行情!A:D,4,FALSE)</f>
        <v>17.95</v>
      </c>
      <c r="Z68" s="38">
        <f>VLOOKUP(C68,台股行情!A:E,5,FALSE)</f>
        <v>-0.35</v>
      </c>
      <c r="AA68" s="90">
        <f t="shared" ca="1" si="19"/>
        <v>2298.4777132844156</v>
      </c>
      <c r="AB68" s="103" t="s">
        <v>3031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10093.75</v>
      </c>
      <c r="P69" s="14">
        <f t="shared" si="116"/>
        <v>-1</v>
      </c>
      <c r="Q69" s="14">
        <f>IF(I69="",(O69-G69-(O69*0.1425%*0.65)-(O69*0.3%)-S69-T69),0)</f>
        <v>118.1194140625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1.1787380642361111E-2</v>
      </c>
      <c r="Y69" s="16">
        <f>VLOOKUP(C69,台股行情!A:D,4,FALSE)</f>
        <v>106.25</v>
      </c>
      <c r="Z69" s="38">
        <f>VLOOKUP(C69,台股行情!A:E,5,FALSE)</f>
        <v>-0.7</v>
      </c>
      <c r="AA69" s="90">
        <f t="shared" ca="1" si="19"/>
        <v>1713.8539042821158</v>
      </c>
      <c r="AB69" s="103" t="s">
        <v>3031</v>
      </c>
    </row>
    <row r="70" spans="1:30">
      <c r="A70" s="99">
        <v>46209</v>
      </c>
      <c r="B70" s="11"/>
      <c r="C70" s="11" t="s">
        <v>4475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9290.4</v>
      </c>
      <c r="P70" s="14">
        <f t="shared" si="116"/>
        <v>-1</v>
      </c>
      <c r="Q70" s="14">
        <f>IF(I70="",(O70-G70-(O70*0.1425%*0.65)-(O70*0.3%)-S70-T70),0)</f>
        <v>-715.07643300000041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-7.1830317283579137E-2</v>
      </c>
      <c r="Y70" s="16">
        <f>VLOOKUP(C70,台股行情!A:D,4,FALSE)</f>
        <v>29.4</v>
      </c>
      <c r="Z70" s="38">
        <f>VLOOKUP(C70,台股行情!A:E,5,FALSE)</f>
        <v>-0.69</v>
      </c>
      <c r="AA70" s="90">
        <f t="shared" ca="1" si="19"/>
        <v>1528.4853794765086</v>
      </c>
      <c r="AB70" s="103" t="s">
        <v>3031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106250</v>
      </c>
      <c r="P71" s="14">
        <f t="shared" si="116"/>
        <v>-151</v>
      </c>
      <c r="Q71" s="14">
        <f t="shared" ref="Q71" si="127">IF(I71="",(O71-G71-(O71*0.1425%*0.65)-(O71*0.3%)-S71-T71),0)</f>
        <v>-217.1640625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-3.4716083215464402E-3</v>
      </c>
      <c r="Y71" s="16">
        <f>VLOOKUP(C71,台股行情!A:D,4,FALSE)</f>
        <v>106.25</v>
      </c>
      <c r="Z71" s="38">
        <f>VLOOKUP(C71,台股行情!A:E,5,FALSE)</f>
        <v>-0.7</v>
      </c>
      <c r="AA71" s="90">
        <f t="shared" ca="1" si="19"/>
        <v>15969.636403460738</v>
      </c>
      <c r="AB71" s="103" t="s">
        <v>4280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8910</v>
      </c>
      <c r="P72" s="14">
        <f t="shared" si="116"/>
        <v>-1</v>
      </c>
      <c r="Q72" s="14">
        <f>IF(I72="",(O72-G72-(O72*0.1425%*0.65)-(O72*0.3%)-S72-T72),0)</f>
        <v>-1107.9828875000001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-0.1110871368827006</v>
      </c>
      <c r="Y72" s="16">
        <f>VLOOKUP(C72,台股行情!A:D,4,FALSE)</f>
        <v>81</v>
      </c>
      <c r="Z72" s="38">
        <f>VLOOKUP(C72,台股行情!A:E,5,FALSE)</f>
        <v>-1.85</v>
      </c>
      <c r="AA72" s="90">
        <f t="shared" ca="1" si="19"/>
        <v>1503.2992005256817</v>
      </c>
      <c r="AB72" s="103" t="s">
        <v>4280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9987.5</v>
      </c>
      <c r="P73" s="14">
        <f t="shared" si="116"/>
        <v>3059.71</v>
      </c>
      <c r="Q73" s="14">
        <f>IF(I73="",(O73-G73-(O73*0.1425%*0.65)-(O73*0.3%)-S73-T73),0)</f>
        <v>-2.7134218750000016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0.30720496212692189</v>
      </c>
      <c r="Y73" s="16">
        <f>VLOOKUP(C73,台股行情!A:D,4,FALSE)</f>
        <v>106.25</v>
      </c>
      <c r="Z73" s="38">
        <f>VLOOKUP(C73,台股行情!A:E,5,FALSE)</f>
        <v>-0.7</v>
      </c>
      <c r="AA73" s="90">
        <f t="shared" ca="1" si="19"/>
        <v>1471.2353520972511</v>
      </c>
      <c r="AB73" s="103" t="s">
        <v>4280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106250</v>
      </c>
      <c r="P74" s="14">
        <f t="shared" si="116"/>
        <v>-142</v>
      </c>
      <c r="Q74" s="14">
        <f t="shared" ref="Q74" si="135">IF(I74="",(O74-G74-(O74*0.1425%*0.65)-(O74*0.3%)-S74-T74),0)</f>
        <v>5482.8359375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5.3222082087693072E-2</v>
      </c>
      <c r="Y74" s="16">
        <f>VLOOKUP(C74,台股行情!A:D,4,FALSE)</f>
        <v>106.25</v>
      </c>
      <c r="Z74" s="38">
        <f>VLOOKUP(C74,台股行情!A:E,5,FALSE)</f>
        <v>-0.7</v>
      </c>
      <c r="AA74" s="90">
        <f t="shared" ca="1" si="19"/>
        <v>12363.788194064176</v>
      </c>
      <c r="AB74" s="103" t="s">
        <v>4280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10625</v>
      </c>
      <c r="P75" s="14">
        <f t="shared" si="116"/>
        <v>-1</v>
      </c>
      <c r="Q75" s="14">
        <f>IF(I75="",(O75-G75-(O75*0.1425%*0.65)-(O75*0.3%)-S75-T75),0)</f>
        <v>632.28359375000002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6.3439211511405885E-2</v>
      </c>
      <c r="Y75" s="16">
        <f>VLOOKUP(C75,台股行情!A:D,4,FALSE)</f>
        <v>106.25</v>
      </c>
      <c r="Z75" s="38">
        <f>VLOOKUP(C75,台股行情!A:E,5,FALSE)</f>
        <v>-0.7</v>
      </c>
      <c r="AA75" s="90">
        <f t="shared" ca="1" si="19"/>
        <v>1144.2941627423063</v>
      </c>
      <c r="AB75" s="103" t="s">
        <v>4280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10837.5</v>
      </c>
      <c r="P76" s="14">
        <f t="shared" ref="P76:P77" si="139">IF(I76="",R76-H76,(K76-H76-SUM(L76:N76)+R76-S76-T76)-G76)+(ROUND(R76*V76,0)-ROUND(R76*(1+V76),0)*W76)</f>
        <v>-1</v>
      </c>
      <c r="Q76" s="14">
        <f>IF(I76="",(O76-G76-(O76*0.1425%*0.65)-(O76*0.3%)-S76-T76),0)</f>
        <v>843.94926562499995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8.4710005589890461E-2</v>
      </c>
      <c r="Y76" s="16">
        <f>VLOOKUP(C76,台股行情!A:D,4,FALSE)</f>
        <v>106.25</v>
      </c>
      <c r="Z76" s="38">
        <f>VLOOKUP(C76,台股行情!A:E,5,FALSE)</f>
        <v>-0.7</v>
      </c>
      <c r="AA76" s="90">
        <f t="shared" ref="AA76:AA77" ca="1" si="140">IF(I76="",((TODAY()-A76)*G76)/365.24,((I76-A76)*G76)/365.24)</f>
        <v>926.33336983900995</v>
      </c>
      <c r="AB76" s="103" t="s">
        <v>4280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106250</v>
      </c>
      <c r="P77" s="14">
        <f t="shared" si="139"/>
        <v>-131</v>
      </c>
      <c r="Q77" s="14">
        <f t="shared" ref="Q77" si="146">IF(I77="",(O77-G77-(O77*0.1425%*0.65)-(O77*0.3%)-S77-T77),0)</f>
        <v>13632.8359375</v>
      </c>
      <c r="R77" s="14"/>
      <c r="S77" s="14"/>
      <c r="T77" s="14">
        <f t="shared" ref="T77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0.14644073684924078</v>
      </c>
      <c r="Y77" s="16">
        <f>VLOOKUP(C77,台股行情!A:D,4,FALSE)</f>
        <v>106.25</v>
      </c>
      <c r="Z77" s="38">
        <f>VLOOKUP(C77,台股行情!A:E,5,FALSE)</f>
        <v>-0.7</v>
      </c>
      <c r="AA77" s="90">
        <f t="shared" ca="1" si="140"/>
        <v>8330.412879202715</v>
      </c>
      <c r="AB77" s="103" t="s">
        <v>4280</v>
      </c>
      <c r="AC77" s="9"/>
    </row>
    <row r="78" spans="1:30" ht="17.25" thickBot="1">
      <c r="A78" s="48"/>
      <c r="B78" s="49"/>
      <c r="C78" s="49"/>
      <c r="D78" s="193"/>
      <c r="E78" s="49"/>
      <c r="F78" s="49"/>
      <c r="G78" s="49"/>
      <c r="H78" s="49"/>
      <c r="I78" s="50"/>
      <c r="J78" s="51"/>
      <c r="K78" s="49"/>
      <c r="L78" s="52"/>
      <c r="M78" s="49"/>
      <c r="N78" s="49"/>
      <c r="O78" s="53"/>
      <c r="P78" s="54"/>
      <c r="Q78" s="54"/>
      <c r="R78" s="54"/>
      <c r="S78" s="54"/>
      <c r="T78" s="60"/>
      <c r="U78" s="54"/>
      <c r="V78" s="54"/>
      <c r="W78" s="78"/>
      <c r="X78" s="55"/>
      <c r="Y78" s="51"/>
      <c r="Z78" s="56"/>
      <c r="AA78" s="90"/>
    </row>
    <row r="79" spans="1:30" ht="17.25" thickBot="1">
      <c r="A79" s="29"/>
      <c r="D79" s="28"/>
      <c r="I79" s="30"/>
      <c r="J79" s="31"/>
      <c r="L79" s="32"/>
      <c r="O79" s="33"/>
      <c r="P79" s="34"/>
      <c r="Q79" s="34"/>
      <c r="R79" s="34"/>
      <c r="S79" s="34"/>
      <c r="T79" s="34"/>
      <c r="U79" s="34"/>
      <c r="V79" s="34"/>
      <c r="W79" s="34"/>
      <c r="X79" s="35" t="s">
        <v>4611</v>
      </c>
      <c r="Y79" s="31"/>
      <c r="Z79" s="31"/>
      <c r="AA79" s="90"/>
    </row>
    <row r="80" spans="1:30" ht="17.25" thickBot="1">
      <c r="A80" s="414"/>
      <c r="B80" s="415"/>
      <c r="C80" s="415"/>
      <c r="D80" s="238" t="s">
        <v>21</v>
      </c>
      <c r="E80" s="414"/>
      <c r="F80" s="420"/>
      <c r="G80" s="62">
        <f>SUM(G27:G78)</f>
        <v>3333494.88</v>
      </c>
      <c r="H80" s="62">
        <f>SUM(H27:H78)</f>
        <v>4345</v>
      </c>
      <c r="I80" s="423"/>
      <c r="J80" s="423"/>
      <c r="K80" s="426"/>
      <c r="L80" s="427"/>
      <c r="M80" s="427"/>
      <c r="N80" s="428"/>
      <c r="O80" s="62">
        <f>SUM(O27:O78)</f>
        <v>4092591.8</v>
      </c>
      <c r="P80" s="101">
        <f>SUM(P27:P78)</f>
        <v>268027.93000000005</v>
      </c>
      <c r="Q80" s="101">
        <f>SUM(Q27:Q78)</f>
        <v>737688.38144524989</v>
      </c>
      <c r="R80" s="62">
        <f>SUM(R27:R78)</f>
        <v>306037</v>
      </c>
      <c r="S80" s="71"/>
      <c r="T80" s="71"/>
      <c r="U80" s="71"/>
      <c r="V80" s="71"/>
      <c r="W80" s="71"/>
      <c r="X80" s="67">
        <f>(P80+Q80)/G80</f>
        <v>0.30170027183160092</v>
      </c>
      <c r="Y80" s="409" t="s">
        <v>23</v>
      </c>
      <c r="Z80" s="84">
        <f ca="1">IF(AA80=0,0,(P80+Q80)/(AA80))</f>
        <v>0.15482527475806709</v>
      </c>
      <c r="AA80" s="90">
        <f ca="1">SUM(AA27:AA78)</f>
        <v>6495814.8016646588</v>
      </c>
    </row>
    <row r="81" spans="1:29" s="36" customFormat="1" ht="17.25" thickBot="1">
      <c r="A81" s="416"/>
      <c r="B81" s="417"/>
      <c r="C81" s="417"/>
      <c r="D81" s="238" t="s">
        <v>4784</v>
      </c>
      <c r="E81" s="416"/>
      <c r="F81" s="421"/>
      <c r="G81" s="63">
        <f>SUM(G2:G24,G34:G78)</f>
        <v>3008492.88</v>
      </c>
      <c r="H81" s="63">
        <f>SUM(H4:H78)</f>
        <v>5334</v>
      </c>
      <c r="I81" s="424"/>
      <c r="J81" s="424"/>
      <c r="K81" s="63">
        <f>SUM(K25:K78)</f>
        <v>0</v>
      </c>
      <c r="L81" s="63">
        <f>SUM(L25:L78)</f>
        <v>0</v>
      </c>
      <c r="M81" s="63">
        <f>SUM(M25:M78)</f>
        <v>0</v>
      </c>
      <c r="N81" s="63">
        <f>SUM(N25:N78)</f>
        <v>0</v>
      </c>
      <c r="O81" s="63">
        <f>SUM(O4:O78)</f>
        <v>4092591.8</v>
      </c>
      <c r="P81" s="63">
        <f>SUM(P4:P78)</f>
        <v>308542.51000000007</v>
      </c>
      <c r="Q81" s="101">
        <f>SUM(Q4:Q78)</f>
        <v>737688.38144524989</v>
      </c>
      <c r="R81" s="63">
        <f>SUM(R4:R78)</f>
        <v>312618</v>
      </c>
      <c r="S81" s="72"/>
      <c r="T81" s="72"/>
      <c r="U81" s="72"/>
      <c r="V81" s="72"/>
      <c r="W81" s="72"/>
      <c r="X81" s="67">
        <f>(P81+Q81)/G81</f>
        <v>0.34775913827166843</v>
      </c>
      <c r="Y81" s="410"/>
      <c r="Z81" s="84">
        <f ca="1">IF(AA81=0,0,(P81+Q81)/(AA81))</f>
        <v>0.1576816806298289</v>
      </c>
      <c r="AA81" s="90">
        <f ca="1">SUM(AA2:AA25,AA2:AA78)</f>
        <v>6635082.0670244228</v>
      </c>
      <c r="AB81" s="87"/>
      <c r="AC81" s="88"/>
    </row>
    <row r="82" spans="1:29" s="36" customFormat="1" ht="17.25" thickBot="1">
      <c r="A82" s="418"/>
      <c r="B82" s="419"/>
      <c r="C82" s="419"/>
      <c r="D82" s="238" t="s">
        <v>20</v>
      </c>
      <c r="E82" s="418"/>
      <c r="F82" s="422"/>
      <c r="G82" s="63">
        <f>SUM(G2:G24,G34:G78)</f>
        <v>3008492.88</v>
      </c>
      <c r="H82" s="63">
        <f>SUM(H2:H78)</f>
        <v>5398</v>
      </c>
      <c r="I82" s="425"/>
      <c r="J82" s="425"/>
      <c r="K82" s="63">
        <f>SUM(K25:K78)</f>
        <v>0</v>
      </c>
      <c r="L82" s="63">
        <f>SUM(L25:L78)</f>
        <v>0</v>
      </c>
      <c r="M82" s="63">
        <f>SUM(M25:M78)</f>
        <v>0</v>
      </c>
      <c r="N82" s="63">
        <f>SUM(N25:N78)</f>
        <v>0</v>
      </c>
      <c r="O82" s="63">
        <f>SUM(O2:O78)</f>
        <v>4092591.8</v>
      </c>
      <c r="P82" s="102">
        <f>SUM(P2:P78)</f>
        <v>310694.51000000007</v>
      </c>
      <c r="Q82" s="101">
        <f>SUM(Q2:Q78)</f>
        <v>737688.38144524989</v>
      </c>
      <c r="R82" s="63">
        <f>SUM(R2:R78)</f>
        <v>312618</v>
      </c>
      <c r="S82" s="72"/>
      <c r="T82" s="72"/>
      <c r="U82" s="72"/>
      <c r="V82" s="72"/>
      <c r="W82" s="72"/>
      <c r="X82" s="67">
        <f>(P82+Q82)/G82</f>
        <v>0.34847444659574867</v>
      </c>
      <c r="Y82" s="410"/>
      <c r="Z82" s="84">
        <f ca="1">IF(AA82=0,0,(P82+Q82)/(AA82))</f>
        <v>0.16139359317580679</v>
      </c>
      <c r="AA82" s="90">
        <f ca="1">AA80</f>
        <v>6495814.8016646588</v>
      </c>
      <c r="AB82" s="87"/>
      <c r="AC82" s="87"/>
    </row>
    <row r="83" spans="1:29" ht="17.25" thickBot="1">
      <c r="B83" s="37"/>
      <c r="C83" s="37"/>
      <c r="D83" s="28"/>
    </row>
    <row r="84" spans="1:29" s="8" customFormat="1" ht="17.25" thickBot="1">
      <c r="A84" s="402" t="s">
        <v>4095</v>
      </c>
      <c r="B84" s="403"/>
      <c r="C84" s="403"/>
      <c r="D84" s="251" t="s">
        <v>4093</v>
      </c>
      <c r="E84" s="402"/>
      <c r="F84" s="403"/>
      <c r="G84" s="251" t="s">
        <v>4087</v>
      </c>
      <c r="H84" s="251" t="s">
        <v>25</v>
      </c>
      <c r="I84" s="402"/>
      <c r="J84" s="246"/>
      <c r="K84" s="246"/>
      <c r="L84" s="246"/>
      <c r="M84" s="246"/>
      <c r="N84" s="246"/>
      <c r="O84" s="251" t="s">
        <v>4088</v>
      </c>
      <c r="P84" s="251" t="s">
        <v>4089</v>
      </c>
      <c r="Q84" s="251" t="s">
        <v>4090</v>
      </c>
      <c r="R84" s="251" t="s">
        <v>4091</v>
      </c>
      <c r="S84" s="246" t="s">
        <v>25</v>
      </c>
      <c r="T84" s="246" t="s">
        <v>26</v>
      </c>
      <c r="U84" s="402"/>
      <c r="V84" s="246" t="s">
        <v>28</v>
      </c>
      <c r="W84" s="246" t="s">
        <v>27</v>
      </c>
      <c r="X84" s="251" t="s">
        <v>4092</v>
      </c>
      <c r="Y84" s="251" t="s">
        <v>23</v>
      </c>
      <c r="Z84" s="251" t="s">
        <v>168</v>
      </c>
      <c r="AA84" s="89"/>
      <c r="AB84" s="86"/>
      <c r="AC84" s="309"/>
    </row>
    <row r="85" spans="1:29" outlineLevel="1">
      <c r="A85" s="404"/>
      <c r="B85" s="405"/>
      <c r="C85" s="405"/>
      <c r="D85" s="247" t="s">
        <v>5094</v>
      </c>
      <c r="E85" s="404"/>
      <c r="F85" s="405"/>
      <c r="G85" s="265">
        <f>SUMIF(AB$2:AB$79,D85,G$2:G$79)</f>
        <v>348000</v>
      </c>
      <c r="H85" s="265">
        <f>SUMIF(AB$2:AB$79,D85,H$2:H$79)</f>
        <v>495</v>
      </c>
      <c r="I85" s="404"/>
      <c r="J85" s="249"/>
      <c r="K85" s="257"/>
      <c r="L85" s="257"/>
      <c r="M85" s="257"/>
      <c r="N85" s="257"/>
      <c r="O85" s="265">
        <f>SUMIF(AB$2:AB$79,D85,O$2:O$79)</f>
        <v>427050</v>
      </c>
      <c r="P85" s="266">
        <f>SUMIF(AB$2:AB$79,D85,P$2:P$79)</f>
        <v>4569.1000000000004</v>
      </c>
      <c r="Q85" s="266">
        <f>SUMIF(AB$2:AB$79,"*"&amp;D85&amp;"*",Q$2:Q$79)</f>
        <v>77343.294937500003</v>
      </c>
      <c r="R85" s="265">
        <f>SUMIF(AB$2:AB$79,D85,R$2:R$79)</f>
        <v>5690</v>
      </c>
      <c r="S85" s="257"/>
      <c r="T85" s="257"/>
      <c r="U85" s="404"/>
      <c r="V85" s="257"/>
      <c r="W85" s="257"/>
      <c r="X85" s="267">
        <f>(SUMIF(AB$2:AB$79,D85,P$2:P$79)+SUMIF(AB$2:AB$79,"*"&amp;D85&amp;"*",Q$2:Q$79))/SUMIF(AB$2:AB$79,D85,G$2:G$79)</f>
        <v>0.23538044522270118</v>
      </c>
      <c r="Y85" s="267">
        <f t="shared" ref="Y85:Y89" ca="1" si="150">(P85+Q85)/(AA85)</f>
        <v>0.75549704866092182</v>
      </c>
      <c r="Z85" s="268">
        <f>COUNTIFS(X$2:X$79,"&gt;0",AB$2:AB$79,D85)/COUNTIF(AB$2:AB$79,D85)</f>
        <v>1</v>
      </c>
      <c r="AA85" s="9">
        <f ca="1">SUMIF(AB$2:AB$79,D85,AA$2:AA$79)</f>
        <v>108421.85959916767</v>
      </c>
    </row>
    <row r="86" spans="1:29" ht="17.25" outlineLevel="1" thickBot="1">
      <c r="A86" s="404"/>
      <c r="B86" s="405"/>
      <c r="C86" s="405"/>
      <c r="D86" s="247" t="s">
        <v>209</v>
      </c>
      <c r="E86" s="404"/>
      <c r="F86" s="405"/>
      <c r="G86" s="265">
        <f>SUMIF(AB$2:AB$79,D86,G$2:G$79)</f>
        <v>2044700</v>
      </c>
      <c r="H86" s="265">
        <f>SUMIF(AB$2:AB$79,D86,H$2:H$79)</f>
        <v>2824</v>
      </c>
      <c r="I86" s="404"/>
      <c r="J86" s="249"/>
      <c r="K86" s="257"/>
      <c r="L86" s="257"/>
      <c r="M86" s="257"/>
      <c r="N86" s="257"/>
      <c r="O86" s="265">
        <f>SUMIF(AB$2:AB$79,D86,O$2:O$79)</f>
        <v>2423500</v>
      </c>
      <c r="P86" s="266">
        <f>SUMIF(AB$2:AB$79,D86,P$2:P$79)</f>
        <v>266882.41000000003</v>
      </c>
      <c r="Q86" s="266">
        <f>SUMIF(AB$2:AB$79,"*"&amp;D86&amp;"*",Q$2:Q$79)</f>
        <v>505054.73312500003</v>
      </c>
      <c r="R86" s="265">
        <f>SUMIF(AB$2:AB$79,D86,R$2:R$79)</f>
        <v>281369</v>
      </c>
      <c r="S86" s="261"/>
      <c r="T86" s="261"/>
      <c r="U86" s="404"/>
      <c r="V86" s="261"/>
      <c r="W86" s="261"/>
      <c r="X86" s="267">
        <f>(SUMIF(AB$2:AB$79,D86,P$2:P$79)+SUMIF(AB$2:AB$79,"*"&amp;D86&amp;"*",Q$2:Q$79))/SUMIF(AB$2:AB$79,D86,G$2:G$79)</f>
        <v>0.37753075909668904</v>
      </c>
      <c r="Y86" s="267">
        <f t="shared" ca="1" si="150"/>
        <v>0.12991234060537021</v>
      </c>
      <c r="Z86" s="268">
        <f>COUNTIFS(X$2:X$79,"&gt;0",AB$2:AB$79,D86)/COUNTIF(AB$2:AB$79,D86)</f>
        <v>0.7142857142857143</v>
      </c>
      <c r="AA86" s="9">
        <f ca="1">SUMIF(AB$2:AB$79,D86,AA$2:AA$79)</f>
        <v>5941984.7223743293</v>
      </c>
    </row>
    <row r="87" spans="1:29" outlineLevel="1">
      <c r="A87" s="406"/>
      <c r="B87" s="406"/>
      <c r="C87" s="406"/>
      <c r="D87" s="247" t="s">
        <v>4973</v>
      </c>
      <c r="E87" s="406"/>
      <c r="F87" s="406"/>
      <c r="G87" s="265">
        <f>SUMIF(AB$2:AB$79,D87,G$2:G$79)</f>
        <v>111510</v>
      </c>
      <c r="H87" s="265">
        <f>SUMIF(AB$2:AB$79,D87,H$2:H$79)</f>
        <v>155</v>
      </c>
      <c r="I87" s="406"/>
      <c r="J87" s="249"/>
      <c r="K87" s="257"/>
      <c r="L87" s="257"/>
      <c r="M87" s="257"/>
      <c r="N87" s="257"/>
      <c r="O87" s="265">
        <f>SUMIF(AB$2:AB$79,D87,O$2:O$79)</f>
        <v>0</v>
      </c>
      <c r="P87" s="266">
        <f>SUMIF(AB$2:AB$79,D87,P$2:P$79)</f>
        <v>3659</v>
      </c>
      <c r="Q87" s="266">
        <f>SUMIF(AB$2:AB$79,"*"&amp;D87&amp;"*",Q$2:Q$79)</f>
        <v>0</v>
      </c>
      <c r="R87" s="265">
        <f>SUMIF(AB$2:AB$79,D87,R$2:R$79)</f>
        <v>0</v>
      </c>
      <c r="S87" s="257"/>
      <c r="T87" s="257"/>
      <c r="U87" s="411"/>
      <c r="V87" s="257"/>
      <c r="W87" s="257"/>
      <c r="X87" s="267">
        <f>(SUMIF(AB$2:AB$79,D87,P$2:P$79)+SUMIF(AB$2:AB$79,"*"&amp;D87&amp;"*",Q$2:Q$79))/SUMIF(AB$2:AB$79,D87,G$2:G$79)</f>
        <v>3.2813200609810779E-2</v>
      </c>
      <c r="Y87" s="267">
        <f t="shared" ca="1" si="150"/>
        <v>2.5885433485705431</v>
      </c>
      <c r="Z87" s="268">
        <f>COUNTIFS(X$2:X$79,"&gt;0",AB$2:AB$79,D87)/COUNTIF(AB$2:AB$79,D87)</f>
        <v>1</v>
      </c>
      <c r="AA87" s="9">
        <f ca="1">SUMIF(AB$2:AB$79,D87,AA$2:AA$79)</f>
        <v>1413.5363048954111</v>
      </c>
    </row>
    <row r="88" spans="1:29" ht="17.25" outlineLevel="1" thickBot="1">
      <c r="A88" s="407"/>
      <c r="B88" s="407"/>
      <c r="C88" s="407"/>
      <c r="D88" s="247" t="s">
        <v>4099</v>
      </c>
      <c r="E88" s="407"/>
      <c r="F88" s="407"/>
      <c r="G88" s="265">
        <f>SUMIF(AB$2:AB$79,D88,G$2:G$79)</f>
        <v>784746.88</v>
      </c>
      <c r="H88" s="265">
        <f>SUMIF(AB$2:AB$79,D88,H$2:H$79)</f>
        <v>712</v>
      </c>
      <c r="I88" s="407"/>
      <c r="J88" s="249"/>
      <c r="K88" s="257"/>
      <c r="L88" s="257"/>
      <c r="M88" s="257"/>
      <c r="N88" s="257"/>
      <c r="O88" s="265">
        <f>SUMIF(AB$2:AB$79,D88,O$2:O$79)</f>
        <v>733981.8</v>
      </c>
      <c r="P88" s="266">
        <f>SUMIF(AB$2:AB$79,D88,P$2:P$79)</f>
        <v>16948.710000000003</v>
      </c>
      <c r="Q88" s="266">
        <f>SUMIF(AB$2:AB$79,"*"&amp;D88&amp;"*",Q$2:Q$79)</f>
        <v>101756.12395775002</v>
      </c>
      <c r="R88" s="265">
        <f>SUMIF(AB$2:AB$79,D88,R$2:R$79)</f>
        <v>14498</v>
      </c>
      <c r="S88" s="261"/>
      <c r="T88" s="261"/>
      <c r="U88" s="412"/>
      <c r="V88" s="261"/>
      <c r="W88" s="261"/>
      <c r="X88" s="267">
        <f>(SUMIF(AB$2:AB$79,D88,P$2:P$79)+SUMIF(AB$2:AB$79,"*"&amp;D88&amp;"*",Q$2:Q$79))/SUMIF(AB$2:AB$79,D88,G$2:G$79)</f>
        <v>0.15126512380367799</v>
      </c>
      <c r="Y88" s="267">
        <f t="shared" ca="1" si="150"/>
        <v>0.54739344203304141</v>
      </c>
      <c r="Z88" s="268">
        <f>COUNTIFS(X$2:X$79,"&gt;0",AB$2:AB$79,D88)/COUNTIF(AB$2:AB$79,D88)</f>
        <v>0.79545454545454541</v>
      </c>
      <c r="AA88" s="9">
        <f ca="1">SUMIF(AB$2:AB$79,D88,AA$2:AA$79)</f>
        <v>216854.68776694778</v>
      </c>
    </row>
    <row r="89" spans="1:29" ht="17.25" outlineLevel="1" thickBot="1">
      <c r="A89" s="408"/>
      <c r="B89" s="408"/>
      <c r="C89" s="408"/>
      <c r="D89" s="248" t="s">
        <v>4102</v>
      </c>
      <c r="E89" s="408"/>
      <c r="F89" s="408"/>
      <c r="G89" s="252">
        <f>SUMIF(AB$2:AB$79,D89,G$2:G$79)</f>
        <v>0</v>
      </c>
      <c r="H89" s="252">
        <f>SUMIF(AB$2:AB$79,D89,H$2:H$79)</f>
        <v>0</v>
      </c>
      <c r="I89" s="408"/>
      <c r="J89" s="250"/>
      <c r="K89" s="261"/>
      <c r="L89" s="261"/>
      <c r="M89" s="261"/>
      <c r="N89" s="261"/>
      <c r="O89" s="252">
        <f>SUMIF(AB$2:AB$79,D89,O$2:O$79)</f>
        <v>0</v>
      </c>
      <c r="P89" s="253">
        <f>SUMIF(AB$2:AB$79,D89,P$2:P$79)</f>
        <v>0</v>
      </c>
      <c r="Q89" s="253">
        <f>SUMIF(AB$2:AB$79,"*"&amp;D89&amp;"*",Q$2:Q$79)</f>
        <v>0</v>
      </c>
      <c r="R89" s="252">
        <f>SUMIF(AB$2:AB$79,D89,R$2:R$79)</f>
        <v>0</v>
      </c>
      <c r="S89" s="261"/>
      <c r="T89" s="261"/>
      <c r="U89" s="413"/>
      <c r="V89" s="261"/>
      <c r="W89" s="261"/>
      <c r="X89" s="254" t="e">
        <f>(SUMIF(AB$2:AB$79,D89,P$2:P$79)+SUMIF(AB$2:AB$79,"*"&amp;D89&amp;"*",Q$2:Q$79))/SUMIF(AB$2:AB$79,D89,G$2:G$79)</f>
        <v>#DIV/0!</v>
      </c>
      <c r="Y89" s="254" t="e">
        <f t="shared" si="150"/>
        <v>#DIV/0!</v>
      </c>
      <c r="Z89" s="255" t="e">
        <f>COUNTIFS(X$2:X$79,"&gt;0",AB$2:AB$79,D89)/COUNTIF(AB$2:AB$79,D89)</f>
        <v>#DIV/0!</v>
      </c>
      <c r="AA89" s="9">
        <f>SUMIF(AB$2:AB$79,D89,AA$2:AA$79)</f>
        <v>0</v>
      </c>
    </row>
    <row r="90" spans="1:29" ht="17.25" thickBot="1">
      <c r="B90" s="37"/>
      <c r="C90" s="37"/>
      <c r="D90" s="28"/>
    </row>
    <row r="91" spans="1:29" s="8" customFormat="1">
      <c r="A91" s="1" t="s">
        <v>0</v>
      </c>
      <c r="B91" s="2" t="s">
        <v>1</v>
      </c>
      <c r="C91" s="3" t="s">
        <v>2</v>
      </c>
      <c r="D91" s="4" t="s">
        <v>3</v>
      </c>
      <c r="E91" s="4" t="s">
        <v>4</v>
      </c>
      <c r="F91" s="4" t="s">
        <v>5</v>
      </c>
      <c r="G91" s="4" t="s">
        <v>6</v>
      </c>
      <c r="H91" s="5" t="s">
        <v>7</v>
      </c>
      <c r="I91" s="140" t="s">
        <v>8</v>
      </c>
      <c r="J91" s="4" t="s">
        <v>9</v>
      </c>
      <c r="K91" s="4" t="s">
        <v>6</v>
      </c>
      <c r="L91" s="5" t="s">
        <v>7</v>
      </c>
      <c r="M91" s="5" t="s">
        <v>10</v>
      </c>
      <c r="N91" s="3" t="s">
        <v>11</v>
      </c>
      <c r="O91" s="4" t="s">
        <v>12</v>
      </c>
      <c r="P91" s="6" t="s">
        <v>13</v>
      </c>
      <c r="Q91" s="4" t="s">
        <v>14</v>
      </c>
      <c r="R91" s="4" t="s">
        <v>15</v>
      </c>
      <c r="S91" s="68" t="s">
        <v>25</v>
      </c>
      <c r="T91" s="68" t="s">
        <v>26</v>
      </c>
      <c r="U91" s="68" t="s">
        <v>29</v>
      </c>
      <c r="V91" s="68" t="s">
        <v>28</v>
      </c>
      <c r="W91" s="68" t="s">
        <v>27</v>
      </c>
      <c r="X91" s="4" t="s">
        <v>16</v>
      </c>
      <c r="Y91" s="4" t="s">
        <v>17</v>
      </c>
      <c r="Z91" s="7" t="s">
        <v>18</v>
      </c>
      <c r="AA91" s="86"/>
      <c r="AC91" s="309"/>
    </row>
    <row r="92" spans="1:29">
      <c r="A92" s="18">
        <f>MIN(A95:A95)</f>
        <v>0</v>
      </c>
      <c r="B92" s="19"/>
      <c r="C92" s="20"/>
      <c r="D92" s="19"/>
      <c r="E92" s="19"/>
      <c r="F92" s="19"/>
      <c r="G92" s="19"/>
      <c r="H92" s="19"/>
      <c r="I92" s="21"/>
      <c r="J92" s="22"/>
      <c r="K92" s="19"/>
      <c r="L92" s="23"/>
      <c r="M92" s="19"/>
      <c r="N92" s="19"/>
      <c r="O92" s="24"/>
      <c r="P92" s="25"/>
      <c r="Q92" s="25"/>
      <c r="R92" s="25"/>
      <c r="S92" s="25"/>
      <c r="T92" s="25"/>
      <c r="U92" s="25"/>
      <c r="V92" s="74"/>
      <c r="W92" s="77"/>
      <c r="X92" s="26"/>
      <c r="Y92" s="22"/>
      <c r="Z92" s="27"/>
      <c r="AA92" s="28"/>
      <c r="AB92" s="9"/>
      <c r="AC92" s="312"/>
    </row>
    <row r="93" spans="1:29">
      <c r="A93" s="224">
        <v>45550</v>
      </c>
      <c r="B93" s="11" t="s">
        <v>19</v>
      </c>
      <c r="C93" s="313" t="s">
        <v>4606</v>
      </c>
      <c r="D93" s="189" t="str">
        <f>VLOOKUP(C93,美股行情!A:C,2,FALSE)</f>
        <v>Synopsys Inc</v>
      </c>
      <c r="E93" s="11">
        <v>1</v>
      </c>
      <c r="F93" s="11">
        <v>432.3</v>
      </c>
      <c r="G93" s="11">
        <f>E93*F93</f>
        <v>432.3</v>
      </c>
      <c r="H93" s="315">
        <f>G93*0.25%</f>
        <v>1.0807500000000001</v>
      </c>
      <c r="I93" s="104">
        <v>46087</v>
      </c>
      <c r="J93" s="16">
        <v>433.82</v>
      </c>
      <c r="K93" s="11">
        <f>E93*J93</f>
        <v>433.82</v>
      </c>
      <c r="L93" s="17">
        <v>1.08</v>
      </c>
      <c r="M93" s="11"/>
      <c r="N93" s="11">
        <v>0</v>
      </c>
      <c r="O93" s="13">
        <f>IF(I93="",E93*Y93,0)</f>
        <v>0</v>
      </c>
      <c r="P93" s="14">
        <f>IF(I93="",R93-H93,(K93-H93-SUM(L93:N93)+R93-S93-T93)-G93)+(ROUND(R93*V93,0)-ROUND(R93*(1+V93),0)*W93)</f>
        <v>-0.64075000000002547</v>
      </c>
      <c r="Q93" s="14">
        <f>IF(I93="",(O93-G93-(O93*0.1425%*0.65)-(O93*0.3%)-S93-T93),0)</f>
        <v>0</v>
      </c>
      <c r="R93" s="14"/>
      <c r="S93" s="14">
        <v>0</v>
      </c>
      <c r="T93" s="14">
        <f>IF(ROUND(R93*(1+V93),0)&gt;20000,ROUND(ROUND(R93*(1+V93),0)*2%,0),0)</f>
        <v>0</v>
      </c>
      <c r="U93" s="69">
        <f>(V93*50%)/(1+50%*V93)</f>
        <v>0</v>
      </c>
      <c r="V93" s="69"/>
      <c r="W93" s="70">
        <v>0.11</v>
      </c>
      <c r="X93" s="15">
        <f>(P93+Q93)/G93</f>
        <v>-1.4821882951654532E-3</v>
      </c>
      <c r="Y93" s="16">
        <f>VLOOKUP(C93,美股行情!A:C,3,FALSE)</f>
        <v>392.07</v>
      </c>
      <c r="Z93" s="38">
        <f>VLOOKUP(C93,美股行情!A:G,7,FALSE)</f>
        <v>3.31</v>
      </c>
      <c r="AA93" s="103"/>
      <c r="AB93" s="9"/>
      <c r="AC93" s="312"/>
    </row>
    <row r="94" spans="1:29">
      <c r="A94" s="224">
        <v>45442</v>
      </c>
      <c r="B94" s="11" t="s">
        <v>19</v>
      </c>
      <c r="C94" s="225" t="s">
        <v>3831</v>
      </c>
      <c r="D94" s="189" t="str">
        <f>VLOOKUP(C94,美股行情!A:C,2,FALSE)</f>
        <v>英偉達公司</v>
      </c>
      <c r="E94" s="11">
        <v>80</v>
      </c>
      <c r="F94" s="11">
        <v>114.6</v>
      </c>
      <c r="G94" s="11">
        <f>E94*F94</f>
        <v>9168</v>
      </c>
      <c r="H94" s="314">
        <f>G94*0.25%</f>
        <v>22.92</v>
      </c>
      <c r="I94" s="104"/>
      <c r="J94" s="16"/>
      <c r="K94" s="11">
        <f>E94*J94</f>
        <v>0</v>
      </c>
      <c r="L94" s="17"/>
      <c r="M94" s="11"/>
      <c r="N94" s="11">
        <v>0</v>
      </c>
      <c r="O94" s="13">
        <f>IF(I94="",E94*Y94,0)</f>
        <v>16536</v>
      </c>
      <c r="P94" s="14">
        <f>IF(I94="",R94-H94,(K94-H94-SUM(L94:N94)+R94-S94-T94)-G94)+(ROUND(R94*V94,0)-ROUND(R94*(1+V94),0)*W94)</f>
        <v>-21.46</v>
      </c>
      <c r="Q94" s="14">
        <f>IF(I94="",(O94-G94-(O94*0.1425%*0.65)-(O94*0.3%)-S94-T94),0)</f>
        <v>7303.0755300000001</v>
      </c>
      <c r="R94" s="14">
        <f>0.56+0.56+0.56</f>
        <v>1.6800000000000002</v>
      </c>
      <c r="S94" s="14">
        <v>0</v>
      </c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0.79424253163176262</v>
      </c>
      <c r="Y94" s="16">
        <f>VLOOKUP(C94,美股行情!A:C,3,FALSE)</f>
        <v>206.7</v>
      </c>
      <c r="Z94" s="38">
        <f>VLOOKUP(C94,美股行情!A:G,7,FALSE)</f>
        <v>5.95</v>
      </c>
      <c r="AA94" s="103"/>
      <c r="AB94" s="9"/>
      <c r="AC94" s="312"/>
    </row>
    <row r="95" spans="1:29" ht="17.25" thickBot="1">
      <c r="A95" s="48"/>
      <c r="B95" s="49"/>
      <c r="C95" s="49"/>
      <c r="D95" s="49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28"/>
      <c r="AB95" s="9"/>
      <c r="AC95" s="312"/>
    </row>
    <row r="96" spans="1:29" s="36" customFormat="1" ht="17.25" thickBot="1">
      <c r="A96" s="9"/>
      <c r="B96" s="9"/>
      <c r="C96" s="9"/>
      <c r="D96" s="179" t="s">
        <v>3916</v>
      </c>
      <c r="E96" s="400"/>
      <c r="F96" s="401"/>
      <c r="G96" s="63">
        <f>SUM(G92:G95)</f>
        <v>9600.2999999999993</v>
      </c>
      <c r="H96" s="63">
        <f>SUM(H92:H95)</f>
        <v>24.000750000000004</v>
      </c>
      <c r="I96" s="400"/>
      <c r="J96" s="401"/>
      <c r="K96" s="63">
        <f t="shared" ref="K96:R96" si="151">SUM(K92:K95)</f>
        <v>433.82</v>
      </c>
      <c r="L96" s="63">
        <f t="shared" si="151"/>
        <v>1.08</v>
      </c>
      <c r="M96" s="63">
        <f t="shared" si="151"/>
        <v>0</v>
      </c>
      <c r="N96" s="63">
        <f t="shared" si="151"/>
        <v>0</v>
      </c>
      <c r="O96" s="63">
        <f t="shared" si="151"/>
        <v>16536</v>
      </c>
      <c r="P96" s="102">
        <f t="shared" si="151"/>
        <v>-22.100750000000026</v>
      </c>
      <c r="Q96" s="101">
        <f t="shared" si="151"/>
        <v>7303.0755300000001</v>
      </c>
      <c r="R96" s="63">
        <f t="shared" si="151"/>
        <v>1.6800000000000002</v>
      </c>
      <c r="S96" s="72"/>
      <c r="T96" s="72"/>
      <c r="U96" s="72"/>
      <c r="V96" s="72"/>
      <c r="W96" s="72"/>
      <c r="X96" s="180">
        <f>(P96+Q96)/G96</f>
        <v>0.75841117256752399</v>
      </c>
      <c r="Y96" s="9"/>
      <c r="Z96" s="9"/>
      <c r="AA96" s="87"/>
    </row>
    <row r="97" spans="1:27" s="36" customFormat="1" ht="17.25" thickBot="1">
      <c r="A97" s="9"/>
      <c r="B97" s="9"/>
      <c r="C97" s="9"/>
      <c r="D97" s="179" t="s">
        <v>3938</v>
      </c>
      <c r="E97" s="400"/>
      <c r="F97" s="401"/>
      <c r="G97" s="63">
        <f>G96*匯率!B3</f>
        <v>304079.90219999995</v>
      </c>
      <c r="H97" s="63">
        <f>H96*匯率!B3</f>
        <v>760.19975550000015</v>
      </c>
      <c r="I97" s="400"/>
      <c r="J97" s="401"/>
      <c r="K97" s="63">
        <f>SUM(K92:K96)</f>
        <v>867.64</v>
      </c>
      <c r="L97" s="63">
        <f>SUM(L92:L96)</f>
        <v>2.16</v>
      </c>
      <c r="M97" s="63">
        <f>SUM(M92:M96)</f>
        <v>0</v>
      </c>
      <c r="N97" s="63">
        <f>SUM(N92:N96)</f>
        <v>0</v>
      </c>
      <c r="O97" s="63">
        <f>O96*匯率!B3</f>
        <v>523761.26399999997</v>
      </c>
      <c r="P97" s="102">
        <f>P96*匯率!B3</f>
        <v>-700.01915550000081</v>
      </c>
      <c r="Q97" s="63">
        <f>Q96*匯率!B3</f>
        <v>231317.61433722</v>
      </c>
      <c r="R97" s="63">
        <f>R96*匯率!B3</f>
        <v>53.212320000000005</v>
      </c>
      <c r="S97" s="72"/>
      <c r="T97" s="72"/>
      <c r="U97" s="72"/>
      <c r="V97" s="72"/>
      <c r="W97" s="72"/>
      <c r="X97" s="180">
        <f>(P97+Q97)/G97</f>
        <v>0.75841117256752411</v>
      </c>
      <c r="Y97" s="9"/>
      <c r="Z97" s="9"/>
      <c r="AA97" s="87"/>
    </row>
    <row r="98" spans="1:27">
      <c r="A98" s="37"/>
      <c r="B98" s="37"/>
      <c r="C98" s="37"/>
      <c r="D98" s="28"/>
    </row>
    <row r="106" spans="1:27">
      <c r="E106" s="9">
        <f>SUM(E4:E6,E7:E9)</f>
        <v>1107</v>
      </c>
      <c r="F106" s="9">
        <f>SUM('25'!E36:E45)</f>
        <v>1761</v>
      </c>
      <c r="G106" s="9">
        <f>E106+F106</f>
        <v>2868</v>
      </c>
    </row>
  </sheetData>
  <autoFilter ref="A1:AA100" xr:uid="{00000000-0009-0000-0000-000001000000}"/>
  <mergeCells count="14">
    <mergeCell ref="Y80:Y82"/>
    <mergeCell ref="U84:U89"/>
    <mergeCell ref="E96:F96"/>
    <mergeCell ref="I96:J96"/>
    <mergeCell ref="A80:C82"/>
    <mergeCell ref="E80:F82"/>
    <mergeCell ref="I80:I82"/>
    <mergeCell ref="J80:J82"/>
    <mergeCell ref="K80:N80"/>
    <mergeCell ref="E97:F97"/>
    <mergeCell ref="I97:J97"/>
    <mergeCell ref="A84:C89"/>
    <mergeCell ref="E84:F89"/>
    <mergeCell ref="I84:I89"/>
  </mergeCells>
  <phoneticPr fontId="71" type="noConversion"/>
  <conditionalFormatting sqref="I25:I27 I78:I79 I92">
    <cfRule type="expression" dxfId="2246" priority="302">
      <formula>$I25&gt;(TODAY()-30)</formula>
    </cfRule>
    <cfRule type="expression" dxfId="2245" priority="301">
      <formula>$I25&gt;(TODAY()-7)</formula>
    </cfRule>
  </conditionalFormatting>
  <conditionalFormatting sqref="I95">
    <cfRule type="expression" dxfId="2244" priority="290">
      <formula>$I95&gt;(TODAY()-30)</formula>
    </cfRule>
    <cfRule type="expression" dxfId="2243" priority="289">
      <formula>$I95&gt;(TODAY()-7)</formula>
    </cfRule>
  </conditionalFormatting>
  <conditionalFormatting sqref="Z2:Z27 Z32 Z92:Z95 Z34:Z70">
    <cfRule type="cellIs" dxfId="2242" priority="300" operator="greaterThan">
      <formula>0</formula>
    </cfRule>
    <cfRule type="cellIs" dxfId="2241" priority="299" operator="lessThan">
      <formula>0</formula>
    </cfRule>
  </conditionalFormatting>
  <conditionalFormatting sqref="Z4:Z23">
    <cfRule type="cellIs" dxfId="2240" priority="204" operator="greaterThan">
      <formula>0</formula>
    </cfRule>
    <cfRule type="cellIs" dxfId="2239" priority="203" operator="lessThan">
      <formula>0</formula>
    </cfRule>
  </conditionalFormatting>
  <conditionalFormatting sqref="Z7:Z23">
    <cfRule type="cellIs" dxfId="2238" priority="192" operator="greaterThan">
      <formula>0</formula>
    </cfRule>
    <cfRule type="cellIs" dxfId="2237" priority="191" operator="lessThan">
      <formula>0</formula>
    </cfRule>
  </conditionalFormatting>
  <conditionalFormatting sqref="Z14">
    <cfRule type="containsText" dxfId="2236" priority="159" operator="containsText" text="▲">
      <formula>NOT(ISERROR(SEARCH("▲",Z14)))</formula>
    </cfRule>
    <cfRule type="containsText" dxfId="2235" priority="160" operator="containsText" text="▼">
      <formula>NOT(ISERROR(SEARCH("▼",Z14)))</formula>
    </cfRule>
    <cfRule type="cellIs" dxfId="2234" priority="153" operator="lessThan">
      <formula>0</formula>
    </cfRule>
    <cfRule type="cellIs" dxfId="2233" priority="154" operator="greaterThan">
      <formula>0</formula>
    </cfRule>
  </conditionalFormatting>
  <conditionalFormatting sqref="Z21:Z23">
    <cfRule type="containsText" dxfId="2232" priority="51" operator="containsText" text="▲">
      <formula>NOT(ISERROR(SEARCH("▲",Z21)))</formula>
    </cfRule>
    <cfRule type="containsText" dxfId="2231" priority="52" operator="containsText" text="▼">
      <formula>NOT(ISERROR(SEARCH("▼",Z21)))</formula>
    </cfRule>
    <cfRule type="cellIs" dxfId="2230" priority="49" operator="lessThan">
      <formula>0</formula>
    </cfRule>
    <cfRule type="cellIs" dxfId="2229" priority="50" operator="greaterThan">
      <formula>0</formula>
    </cfRule>
  </conditionalFormatting>
  <conditionalFormatting sqref="Z23">
    <cfRule type="containsText" dxfId="2228" priority="43" operator="containsText" text="▲">
      <formula>NOT(ISERROR(SEARCH("▲",Z23)))</formula>
    </cfRule>
    <cfRule type="containsText" dxfId="2227" priority="41" operator="containsText" text="▲">
      <formula>NOT(ISERROR(SEARCH("▲",Z23)))</formula>
    </cfRule>
    <cfRule type="containsText" dxfId="2226" priority="42" operator="containsText" text="▼">
      <formula>NOT(ISERROR(SEARCH("▼",Z23)))</formula>
    </cfRule>
    <cfRule type="containsText" dxfId="2225" priority="44" operator="containsText" text="▼">
      <formula>NOT(ISERROR(SEARCH("▼",Z23)))</formula>
    </cfRule>
    <cfRule type="cellIs" dxfId="2224" priority="45" operator="lessThan">
      <formula>0</formula>
    </cfRule>
    <cfRule type="cellIs" dxfId="2223" priority="46" operator="greaterThan">
      <formula>0</formula>
    </cfRule>
  </conditionalFormatting>
  <conditionalFormatting sqref="Z28:Z31">
    <cfRule type="containsText" dxfId="2222" priority="278" operator="containsText" text="▼">
      <formula>NOT(ISERROR(SEARCH("▼",Z28)))</formula>
    </cfRule>
    <cfRule type="containsText" dxfId="2221" priority="277" operator="containsText" text="▲">
      <formula>NOT(ISERROR(SEARCH("▲",Z28)))</formula>
    </cfRule>
    <cfRule type="cellIs" dxfId="2220" priority="243" operator="lessThan">
      <formula>0</formula>
    </cfRule>
    <cfRule type="cellIs" dxfId="2219" priority="244" operator="greaterThan">
      <formula>0</formula>
    </cfRule>
  </conditionalFormatting>
  <conditionalFormatting sqref="Z37:Z51">
    <cfRule type="containsText" dxfId="2218" priority="176" operator="containsText" text="▼">
      <formula>NOT(ISERROR(SEARCH("▼",Z37)))</formula>
    </cfRule>
    <cfRule type="containsText" dxfId="2217" priority="175" operator="containsText" text="▲">
      <formula>NOT(ISERROR(SEARCH("▲",Z37)))</formula>
    </cfRule>
  </conditionalFormatting>
  <conditionalFormatting sqref="Z38:Z39">
    <cfRule type="containsText" dxfId="2216" priority="116" operator="containsText" text="▼">
      <formula>NOT(ISERROR(SEARCH("▼",Z38)))</formula>
    </cfRule>
    <cfRule type="containsText" dxfId="2215" priority="115" operator="containsText" text="▲">
      <formula>NOT(ISERROR(SEARCH("▲",Z38)))</formula>
    </cfRule>
  </conditionalFormatting>
  <conditionalFormatting sqref="Z39">
    <cfRule type="containsText" dxfId="2214" priority="107" operator="containsText" text="▲">
      <formula>NOT(ISERROR(SEARCH("▲",Z39)))</formula>
    </cfRule>
    <cfRule type="containsText" dxfId="2213" priority="108" operator="containsText" text="▼">
      <formula>NOT(ISERROR(SEARCH("▼",Z39)))</formula>
    </cfRule>
  </conditionalFormatting>
  <conditionalFormatting sqref="Z41:Z45">
    <cfRule type="containsText" dxfId="2212" priority="173" operator="containsText" text="▲">
      <formula>NOT(ISERROR(SEARCH("▲",Z41)))</formula>
    </cfRule>
    <cfRule type="containsText" dxfId="2211" priority="174" operator="containsText" text="▼">
      <formula>NOT(ISERROR(SEARCH("▼",Z41)))</formula>
    </cfRule>
  </conditionalFormatting>
  <conditionalFormatting sqref="Z42:Z45">
    <cfRule type="containsText" dxfId="2210" priority="146" operator="containsText" text="▼">
      <formula>NOT(ISERROR(SEARCH("▼",Z42)))</formula>
    </cfRule>
    <cfRule type="containsText" dxfId="2209" priority="145" operator="containsText" text="▲">
      <formula>NOT(ISERROR(SEARCH("▲",Z42)))</formula>
    </cfRule>
  </conditionalFormatting>
  <conditionalFormatting sqref="Z43:Z45">
    <cfRule type="containsText" dxfId="2208" priority="132" operator="containsText" text="▼">
      <formula>NOT(ISERROR(SEARCH("▼",Z43)))</formula>
    </cfRule>
    <cfRule type="containsText" dxfId="2207" priority="131" operator="containsText" text="▲">
      <formula>NOT(ISERROR(SEARCH("▲",Z43)))</formula>
    </cfRule>
  </conditionalFormatting>
  <conditionalFormatting sqref="Z44:Z45">
    <cfRule type="containsText" dxfId="2206" priority="113" operator="containsText" text="▲">
      <formula>NOT(ISERROR(SEARCH("▲",Z44)))</formula>
    </cfRule>
    <cfRule type="containsText" dxfId="2205" priority="114" operator="containsText" text="▼">
      <formula>NOT(ISERROR(SEARCH("▼",Z44)))</formula>
    </cfRule>
  </conditionalFormatting>
  <conditionalFormatting sqref="Z48:Z52 AA21">
    <cfRule type="containsText" dxfId="2204" priority="133" operator="containsText" text="▲">
      <formula>NOT(ISERROR(SEARCH("▲",Z21)))</formula>
    </cfRule>
  </conditionalFormatting>
  <conditionalFormatting sqref="Z49:Z51">
    <cfRule type="containsText" dxfId="2203" priority="129" operator="containsText" text="▲">
      <formula>NOT(ISERROR(SEARCH("▲",Z49)))</formula>
    </cfRule>
    <cfRule type="containsText" dxfId="2202" priority="130" operator="containsText" text="▼">
      <formula>NOT(ISERROR(SEARCH("▼",Z49)))</formula>
    </cfRule>
  </conditionalFormatting>
  <conditionalFormatting sqref="Z50:Z51">
    <cfRule type="containsText" dxfId="2201" priority="111" operator="containsText" text="▲">
      <formula>NOT(ISERROR(SEARCH("▲",Z50)))</formula>
    </cfRule>
    <cfRule type="containsText" dxfId="2200" priority="112" operator="containsText" text="▼">
      <formula>NOT(ISERROR(SEARCH("▼",Z50)))</formula>
    </cfRule>
  </conditionalFormatting>
  <conditionalFormatting sqref="Z54:Z61">
    <cfRule type="containsText" dxfId="2199" priority="101" operator="containsText" text="▲">
      <formula>NOT(ISERROR(SEARCH("▲",Z54)))</formula>
    </cfRule>
    <cfRule type="containsText" dxfId="2198" priority="102" operator="containsText" text="▼">
      <formula>NOT(ISERROR(SEARCH("▼",Z54)))</formula>
    </cfRule>
  </conditionalFormatting>
  <conditionalFormatting sqref="Z55:Z61">
    <cfRule type="containsText" dxfId="2197" priority="96" operator="containsText" text="▼">
      <formula>NOT(ISERROR(SEARCH("▼",Z55)))</formula>
    </cfRule>
    <cfRule type="containsText" dxfId="2196" priority="95" operator="containsText" text="▲">
      <formula>NOT(ISERROR(SEARCH("▲",Z55)))</formula>
    </cfRule>
  </conditionalFormatting>
  <conditionalFormatting sqref="Z57">
    <cfRule type="containsText" dxfId="2195" priority="85" operator="containsText" text="▲">
      <formula>NOT(ISERROR(SEARCH("▲",Z57)))</formula>
    </cfRule>
    <cfRule type="containsText" dxfId="2194" priority="86" operator="containsText" text="▼">
      <formula>NOT(ISERROR(SEARCH("▼",Z57)))</formula>
    </cfRule>
  </conditionalFormatting>
  <conditionalFormatting sqref="Z57:Z61">
    <cfRule type="containsText" dxfId="2193" priority="81" operator="containsText" text="▲">
      <formula>NOT(ISERROR(SEARCH("▲",Z57)))</formula>
    </cfRule>
    <cfRule type="containsText" dxfId="2192" priority="82" operator="containsText" text="▼">
      <formula>NOT(ISERROR(SEARCH("▼",Z57)))</formula>
    </cfRule>
  </conditionalFormatting>
  <conditionalFormatting sqref="Z59 Z61 Z69">
    <cfRule type="containsText" dxfId="2191" priority="73" operator="containsText" text="▲">
      <formula>NOT(ISERROR(SEARCH("▲",Z59)))</formula>
    </cfRule>
    <cfRule type="containsText" dxfId="2190" priority="74" operator="containsText" text="▼">
      <formula>NOT(ISERROR(SEARCH("▼",Z59)))</formula>
    </cfRule>
  </conditionalFormatting>
  <conditionalFormatting sqref="Z59:Z61">
    <cfRule type="containsText" dxfId="2189" priority="63" operator="containsText" text="▲">
      <formula>NOT(ISERROR(SEARCH("▲",Z59)))</formula>
    </cfRule>
    <cfRule type="containsText" dxfId="2188" priority="64" operator="containsText" text="▼">
      <formula>NOT(ISERROR(SEARCH("▼",Z59)))</formula>
    </cfRule>
  </conditionalFormatting>
  <conditionalFormatting sqref="Z60">
    <cfRule type="cellIs" dxfId="2187" priority="67" operator="lessThan">
      <formula>0</formula>
    </cfRule>
    <cfRule type="cellIs" dxfId="2186" priority="68" operator="greaterThan">
      <formula>0</formula>
    </cfRule>
    <cfRule type="containsText" dxfId="2185" priority="62" operator="containsText" text="▼">
      <formula>NOT(ISERROR(SEARCH("▼",Z60)))</formula>
    </cfRule>
    <cfRule type="containsText" dxfId="2184" priority="61" operator="containsText" text="▲">
      <formula>NOT(ISERROR(SEARCH("▲",Z60)))</formula>
    </cfRule>
    <cfRule type="containsText" dxfId="2183" priority="60" operator="containsText" text="▼">
      <formula>NOT(ISERROR(SEARCH("▼",Z60)))</formula>
    </cfRule>
    <cfRule type="containsText" dxfId="2182" priority="59" operator="containsText" text="▲">
      <formula>NOT(ISERROR(SEARCH("▲",Z60)))</formula>
    </cfRule>
  </conditionalFormatting>
  <conditionalFormatting sqref="Z69:Z70">
    <cfRule type="containsText" dxfId="2181" priority="36" operator="containsText" text="▼">
      <formula>NOT(ISERROR(SEARCH("▼",Z69)))</formula>
    </cfRule>
    <cfRule type="containsText" dxfId="2180" priority="35" operator="containsText" text="▲">
      <formula>NOT(ISERROR(SEARCH("▲",Z69)))</formula>
    </cfRule>
  </conditionalFormatting>
  <conditionalFormatting sqref="Z70">
    <cfRule type="containsText" dxfId="2179" priority="34" operator="containsText" text="▼">
      <formula>NOT(ISERROR(SEARCH("▼",Z70)))</formula>
    </cfRule>
    <cfRule type="containsText" dxfId="2178" priority="33" operator="containsText" text="▲">
      <formula>NOT(ISERROR(SEARCH("▲",Z70)))</formula>
    </cfRule>
  </conditionalFormatting>
  <conditionalFormatting sqref="Z70:Z73">
    <cfRule type="containsText" dxfId="2177" priority="18" operator="containsText" text="▼">
      <formula>NOT(ISERROR(SEARCH("▼",Z70)))</formula>
    </cfRule>
    <cfRule type="containsText" dxfId="2176" priority="17" operator="containsText" text="▲">
      <formula>NOT(ISERROR(SEARCH("▲",Z70)))</formula>
    </cfRule>
  </conditionalFormatting>
  <conditionalFormatting sqref="Z71:Z73">
    <cfRule type="cellIs" dxfId="2175" priority="15" operator="lessThan">
      <formula>0</formula>
    </cfRule>
    <cfRule type="cellIs" dxfId="2174" priority="16" operator="greaterThan">
      <formula>0</formula>
    </cfRule>
  </conditionalFormatting>
  <conditionalFormatting sqref="Z73:Z77">
    <cfRule type="containsText" dxfId="2173" priority="12" operator="containsText" text="▼">
      <formula>NOT(ISERROR(SEARCH("▼",Z73)))</formula>
    </cfRule>
    <cfRule type="containsText" dxfId="2172" priority="11" operator="containsText" text="▲">
      <formula>NOT(ISERROR(SEARCH("▲",Z73)))</formula>
    </cfRule>
  </conditionalFormatting>
  <conditionalFormatting sqref="Z74:Z78">
    <cfRule type="cellIs" dxfId="2171" priority="1" operator="lessThan">
      <formula>0</formula>
    </cfRule>
    <cfRule type="cellIs" dxfId="2170" priority="2" operator="greaterThan">
      <formula>0</formula>
    </cfRule>
  </conditionalFormatting>
  <conditionalFormatting sqref="Z75:Z76">
    <cfRule type="containsText" dxfId="2169" priority="3" operator="containsText" text="▲">
      <formula>NOT(ISERROR(SEARCH("▲",Z75)))</formula>
    </cfRule>
    <cfRule type="containsText" dxfId="2168" priority="4" operator="containsText" text="▼">
      <formula>NOT(ISERROR(SEARCH("▼",Z75)))</formula>
    </cfRule>
  </conditionalFormatting>
  <conditionalFormatting sqref="Z93:Z94 Z28:AA32 Z2:AA24">
    <cfRule type="containsText" dxfId="2167" priority="295" operator="containsText" text="▲">
      <formula>NOT(ISERROR(SEARCH("▲",Z2)))</formula>
    </cfRule>
  </conditionalFormatting>
  <conditionalFormatting sqref="Z95:Z97">
    <cfRule type="containsText" dxfId="2166" priority="285" operator="containsText" text="△">
      <formula>NOT(ISERROR(SEARCH("△",Z95)))</formula>
    </cfRule>
    <cfRule type="containsText" dxfId="2165" priority="286" operator="containsText" text="▽">
      <formula>NOT(ISERROR(SEARCH("▽",Z95)))</formula>
    </cfRule>
  </conditionalFormatting>
  <conditionalFormatting sqref="Z1:AA27 Z78:AA83 Z90:AA90 Z98:AA1048576">
    <cfRule type="containsText" dxfId="2164" priority="304" operator="containsText" text="▽">
      <formula>NOT(ISERROR(SEARCH("▽",Z1)))</formula>
    </cfRule>
    <cfRule type="containsText" dxfId="2163" priority="303" operator="containsText" text="△">
      <formula>NOT(ISERROR(SEARCH("△",Z1)))</formula>
    </cfRule>
  </conditionalFormatting>
  <conditionalFormatting sqref="Z2:AA24 Z28:AA32 Z93:Z94">
    <cfRule type="containsText" dxfId="2162" priority="296" operator="containsText" text="▼">
      <formula>NOT(ISERROR(SEARCH("▼",Z2)))</formula>
    </cfRule>
  </conditionalFormatting>
  <conditionalFormatting sqref="Z4:AA23 Z45 Z51 Z56:Z57 Z59:Z61">
    <cfRule type="containsText" dxfId="2161" priority="201" operator="containsText" text="▲">
      <formula>NOT(ISERROR(SEARCH("▲",Z4)))</formula>
    </cfRule>
    <cfRule type="containsText" dxfId="2160" priority="202" operator="containsText" text="▼">
      <formula>NOT(ISERROR(SEARCH("▼",Z4)))</formula>
    </cfRule>
  </conditionalFormatting>
  <conditionalFormatting sqref="Z7:AA8">
    <cfRule type="containsText" dxfId="2159" priority="179" operator="containsText" text="▲">
      <formula>NOT(ISERROR(SEARCH("▲",Z7)))</formula>
    </cfRule>
    <cfRule type="containsText" dxfId="2158" priority="180" operator="containsText" text="▼">
      <formula>NOT(ISERROR(SEARCH("▼",Z7)))</formula>
    </cfRule>
  </conditionalFormatting>
  <conditionalFormatting sqref="Z9:AA23">
    <cfRule type="containsText" dxfId="2157" priority="189" operator="containsText" text="▲">
      <formula>NOT(ISERROR(SEARCH("▲",Z9)))</formula>
    </cfRule>
    <cfRule type="containsText" dxfId="2156" priority="190" operator="containsText" text="▼">
      <formula>NOT(ISERROR(SEARCH("▼",Z9)))</formula>
    </cfRule>
  </conditionalFormatting>
  <conditionalFormatting sqref="Z11:AA23">
    <cfRule type="containsText" dxfId="2155" priority="170" operator="containsText" text="▼">
      <formula>NOT(ISERROR(SEARCH("▼",Z11)))</formula>
    </cfRule>
    <cfRule type="containsText" dxfId="2154" priority="169" operator="containsText" text="▲">
      <formula>NOT(ISERROR(SEARCH("▲",Z11)))</formula>
    </cfRule>
  </conditionalFormatting>
  <conditionalFormatting sqref="Z12:AA14">
    <cfRule type="containsText" dxfId="2153" priority="162" operator="containsText" text="▼">
      <formula>NOT(ISERROR(SEARCH("▼",Z12)))</formula>
    </cfRule>
    <cfRule type="containsText" dxfId="2152" priority="161" operator="containsText" text="▲">
      <formula>NOT(ISERROR(SEARCH("▲",Z12)))</formula>
    </cfRule>
  </conditionalFormatting>
  <conditionalFormatting sqref="Z15:AA23">
    <cfRule type="containsText" dxfId="2151" priority="151" operator="containsText" text="▲">
      <formula>NOT(ISERROR(SEARCH("▲",Z15)))</formula>
    </cfRule>
    <cfRule type="containsText" dxfId="2150" priority="152" operator="containsText" text="▼">
      <formula>NOT(ISERROR(SEARCH("▼",Z15)))</formula>
    </cfRule>
  </conditionalFormatting>
  <conditionalFormatting sqref="Z16:AA23">
    <cfRule type="containsText" dxfId="2149" priority="181" operator="containsText" text="▲">
      <formula>NOT(ISERROR(SEARCH("▲",Z16)))</formula>
    </cfRule>
    <cfRule type="containsText" dxfId="2148" priority="182" operator="containsText" text="▼">
      <formula>NOT(ISERROR(SEARCH("▼",Z16)))</formula>
    </cfRule>
  </conditionalFormatting>
  <conditionalFormatting sqref="Z17:AA23">
    <cfRule type="containsText" dxfId="2147" priority="177" operator="containsText" text="▲">
      <formula>NOT(ISERROR(SEARCH("▲",Z17)))</formula>
    </cfRule>
    <cfRule type="containsText" dxfId="2146" priority="178" operator="containsText" text="▼">
      <formula>NOT(ISERROR(SEARCH("▼",Z17)))</formula>
    </cfRule>
  </conditionalFormatting>
  <conditionalFormatting sqref="Z18:AA23">
    <cfRule type="containsText" dxfId="2145" priority="149" operator="containsText" text="▲">
      <formula>NOT(ISERROR(SEARCH("▲",Z18)))</formula>
    </cfRule>
    <cfRule type="containsText" dxfId="2144" priority="150" operator="containsText" text="▼">
      <formula>NOT(ISERROR(SEARCH("▼",Z18)))</formula>
    </cfRule>
  </conditionalFormatting>
  <conditionalFormatting sqref="Z19:AA23">
    <cfRule type="containsText" dxfId="2143" priority="104" operator="containsText" text="▼">
      <formula>NOT(ISERROR(SEARCH("▼",Z19)))</formula>
    </cfRule>
    <cfRule type="containsText" dxfId="2142" priority="103" operator="containsText" text="▲">
      <formula>NOT(ISERROR(SEARCH("▲",Z19)))</formula>
    </cfRule>
  </conditionalFormatting>
  <conditionalFormatting sqref="Z20:AA23">
    <cfRule type="containsText" dxfId="2141" priority="125" operator="containsText" text="▲">
      <formula>NOT(ISERROR(SEARCH("▲",Z20)))</formula>
    </cfRule>
    <cfRule type="containsText" dxfId="2140" priority="126" operator="containsText" text="▼">
      <formula>NOT(ISERROR(SEARCH("▼",Z20)))</formula>
    </cfRule>
  </conditionalFormatting>
  <conditionalFormatting sqref="Z23:AA23">
    <cfRule type="containsText" dxfId="2139" priority="48" operator="containsText" text="▼">
      <formula>NOT(ISERROR(SEARCH("▼",Z23)))</formula>
    </cfRule>
    <cfRule type="containsText" dxfId="2138" priority="47" operator="containsText" text="▲">
      <formula>NOT(ISERROR(SEARCH("▲",Z23)))</formula>
    </cfRule>
  </conditionalFormatting>
  <conditionalFormatting sqref="Z32:AA32">
    <cfRule type="containsText" dxfId="2137" priority="237" operator="containsText" text="▲">
      <formula>NOT(ISERROR(SEARCH("▲",Z32)))</formula>
    </cfRule>
    <cfRule type="containsText" dxfId="2136" priority="238" operator="containsText" text="▼">
      <formula>NOT(ISERROR(SEARCH("▼",Z32)))</formula>
    </cfRule>
  </conditionalFormatting>
  <conditionalFormatting sqref="Z34:AA34 Z35:Z36 AA35:AA77">
    <cfRule type="containsText" dxfId="2135" priority="167" operator="containsText" text="▲">
      <formula>NOT(ISERROR(SEARCH("▲",Z34)))</formula>
    </cfRule>
    <cfRule type="containsText" dxfId="2134" priority="168" operator="containsText" text="▼">
      <formula>NOT(ISERROR(SEARCH("▼",Z34)))</formula>
    </cfRule>
  </conditionalFormatting>
  <conditionalFormatting sqref="AA14">
    <cfRule type="containsText" dxfId="2133" priority="158" operator="containsText" text="▽">
      <formula>NOT(ISERROR(SEARCH("▽",AA14)))</formula>
    </cfRule>
    <cfRule type="containsText" dxfId="2132" priority="155" operator="containsText" text="△">
      <formula>NOT(ISERROR(SEARCH("△",AA14)))</formula>
    </cfRule>
    <cfRule type="containsText" dxfId="2131" priority="156" operator="containsText" text="▽">
      <formula>NOT(ISERROR(SEARCH("▽",AA14)))</formula>
    </cfRule>
    <cfRule type="containsText" dxfId="2130" priority="157" operator="containsText" text="△">
      <formula>NOT(ISERROR(SEARCH("△",AA14)))</formula>
    </cfRule>
  </conditionalFormatting>
  <conditionalFormatting sqref="AA21 Z48:Z52">
    <cfRule type="containsText" dxfId="2129" priority="134" operator="containsText" text="▼">
      <formula>NOT(ISERROR(SEARCH("▼",Z21)))</formula>
    </cfRule>
  </conditionalFormatting>
  <conditionalFormatting sqref="AA22:AA23 Z53:Z69">
    <cfRule type="containsText" dxfId="2128" priority="106" operator="containsText" text="▼">
      <formula>NOT(ISERROR(SEARCH("▼",Z22)))</formula>
    </cfRule>
    <cfRule type="containsText" dxfId="2127" priority="105" operator="containsText" text="▲">
      <formula>NOT(ISERROR(SEARCH("▲",Z22)))</formula>
    </cfRule>
  </conditionalFormatting>
  <conditionalFormatting sqref="AA28">
    <cfRule type="containsText" dxfId="2126" priority="275" operator="containsText" text="△">
      <formula>NOT(ISERROR(SEARCH("△",AA28)))</formula>
    </cfRule>
    <cfRule type="containsText" dxfId="2125" priority="276" operator="containsText" text="▽">
      <formula>NOT(ISERROR(SEARCH("▽",AA28)))</formula>
    </cfRule>
  </conditionalFormatting>
  <conditionalFormatting sqref="AA28:AA30">
    <cfRule type="containsText" dxfId="2124" priority="263" operator="containsText" text="△">
      <formula>NOT(ISERROR(SEARCH("△",AA28)))</formula>
    </cfRule>
    <cfRule type="containsText" dxfId="2123" priority="264" operator="containsText" text="▽">
      <formula>NOT(ISERROR(SEARCH("▽",AA28)))</formula>
    </cfRule>
  </conditionalFormatting>
  <conditionalFormatting sqref="AA29">
    <cfRule type="containsText" dxfId="2122" priority="261" operator="containsText" text="△">
      <formula>NOT(ISERROR(SEARCH("△",AA29)))</formula>
    </cfRule>
    <cfRule type="containsText" dxfId="2121" priority="262" operator="containsText" text="▽">
      <formula>NOT(ISERROR(SEARCH("▽",AA29)))</formula>
    </cfRule>
  </conditionalFormatting>
  <conditionalFormatting sqref="AA30">
    <cfRule type="containsText" dxfId="2120" priority="272" operator="containsText" text="▽">
      <formula>NOT(ISERROR(SEARCH("▽",AA30)))</formula>
    </cfRule>
    <cfRule type="containsText" dxfId="2119" priority="271" operator="containsText" text="△">
      <formula>NOT(ISERROR(SEARCH("△",AA30)))</formula>
    </cfRule>
  </conditionalFormatting>
  <conditionalFormatting sqref="AA31">
    <cfRule type="containsText" dxfId="2118" priority="251" operator="containsText" text="△">
      <formula>NOT(ISERROR(SEARCH("△",AA31)))</formula>
    </cfRule>
    <cfRule type="containsText" dxfId="2117" priority="250" operator="containsText" text="▽">
      <formula>NOT(ISERROR(SEARCH("▽",AA31)))</formula>
    </cfRule>
    <cfRule type="containsText" dxfId="2116" priority="249" operator="containsText" text="△">
      <formula>NOT(ISERROR(SEARCH("△",AA31)))</formula>
    </cfRule>
    <cfRule type="containsText" dxfId="2115" priority="252" operator="containsText" text="▽">
      <formula>NOT(ISERROR(SEARCH("▽",AA31)))</formula>
    </cfRule>
  </conditionalFormatting>
  <conditionalFormatting sqref="AA84:AA89 Z91:Z93">
    <cfRule type="containsText" dxfId="2114" priority="291" operator="containsText" text="△">
      <formula>NOT(ISERROR(SEARCH("△",Z84)))</formula>
    </cfRule>
    <cfRule type="containsText" dxfId="2113" priority="292" operator="containsText" text="▽">
      <formula>NOT(ISERROR(SEARCH("▽",Z84)))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148.5</v>
      </c>
      <c r="Z2" s="38">
        <f>VLOOKUP(C2,台股行情!A:E,5,FALSE)</f>
        <v>-2.5</v>
      </c>
      <c r="AA2" s="90">
        <f t="shared" ref="AA2:AA24" ca="1" si="0">IF(I2="",((TODAY()-A2)*G2)/365.24,((I2-A2)*G2)/365.24)</f>
        <v>4762.6218376957613</v>
      </c>
      <c r="AB2" s="103" t="s">
        <v>4267</v>
      </c>
      <c r="AC2" s="310" t="s">
        <v>4282</v>
      </c>
    </row>
    <row r="3" spans="1:29">
      <c r="A3" s="99">
        <v>45696</v>
      </c>
      <c r="B3" s="11"/>
      <c r="C3" s="11">
        <v>6245</v>
      </c>
      <c r="D3" s="189" t="s">
        <v>1458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81.8</v>
      </c>
      <c r="Z3" s="38">
        <f>VLOOKUP(C3,台股行情!A:E,5,FALSE)</f>
        <v>-1.4</v>
      </c>
      <c r="AA3" s="90">
        <f t="shared" ca="1" si="0"/>
        <v>2809.1118168875259</v>
      </c>
      <c r="AB3" s="103" t="s">
        <v>4267</v>
      </c>
      <c r="AC3" s="310" t="s">
        <v>4282</v>
      </c>
    </row>
    <row r="4" spans="1:29">
      <c r="A4" s="99">
        <v>45707</v>
      </c>
      <c r="B4" s="11"/>
      <c r="C4" s="11">
        <v>2377</v>
      </c>
      <c r="D4" s="189" t="s">
        <v>709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10</v>
      </c>
      <c r="AA4" s="90">
        <f t="shared" ca="1" si="0"/>
        <v>3326.5797831562809</v>
      </c>
      <c r="AB4" s="103" t="s">
        <v>4267</v>
      </c>
      <c r="AC4" s="310" t="s">
        <v>4282</v>
      </c>
    </row>
    <row r="5" spans="1:29">
      <c r="A5" s="99">
        <v>45702</v>
      </c>
      <c r="B5" s="11"/>
      <c r="C5" s="11">
        <v>2301</v>
      </c>
      <c r="D5" s="189" t="s">
        <v>673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305</v>
      </c>
      <c r="Z5" s="38">
        <f>VLOOKUP(C5,台股行情!A:E,5,FALSE)</f>
        <v>-12.5</v>
      </c>
      <c r="AA5" s="90">
        <f t="shared" ca="1" si="0"/>
        <v>3915.2338188588324</v>
      </c>
      <c r="AB5" s="103" t="s">
        <v>4267</v>
      </c>
      <c r="AC5" s="310" t="s">
        <v>4282</v>
      </c>
    </row>
    <row r="6" spans="1:29">
      <c r="A6" s="99">
        <v>45696</v>
      </c>
      <c r="B6" s="11"/>
      <c r="C6" s="11">
        <v>6206</v>
      </c>
      <c r="D6" s="189" t="s">
        <v>2266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37.75</v>
      </c>
      <c r="Z6" s="38">
        <f>VLOOKUP(C6,台股行情!A:E,5,FALSE)</f>
        <v>0.03</v>
      </c>
      <c r="AA6" s="90">
        <f t="shared" ca="1" si="0"/>
        <v>6086.4089365896398</v>
      </c>
      <c r="AB6" s="103" t="s">
        <v>4267</v>
      </c>
      <c r="AC6" s="311" t="s">
        <v>4341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39.200000000000003</v>
      </c>
      <c r="Z7" s="38">
        <f>VLOOKUP(C7,台股行情!A:E,5,FALSE)</f>
        <v>0.2</v>
      </c>
      <c r="AA7" s="90">
        <f t="shared" ca="1" si="0"/>
        <v>1323.2395137443873</v>
      </c>
      <c r="AB7" s="103" t="s">
        <v>4267</v>
      </c>
      <c r="AC7" s="311" t="s">
        <v>4341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39.200000000000003</v>
      </c>
      <c r="Z8" s="38">
        <f>VLOOKUP(C8,台股行情!A:E,5,FALSE)</f>
        <v>0.2</v>
      </c>
      <c r="AA8" s="90">
        <f t="shared" ca="1" si="0"/>
        <v>1318.3112473989704</v>
      </c>
      <c r="AB8" s="103" t="s">
        <v>4267</v>
      </c>
      <c r="AC8" s="311" t="s">
        <v>4341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49.6</v>
      </c>
      <c r="Z9" s="38">
        <f>VLOOKUP(C9,台股行情!A:E,5,FALSE)</f>
        <v>-0.7</v>
      </c>
      <c r="AA9" s="90">
        <f t="shared" ca="1" si="0"/>
        <v>3120.1401817982696</v>
      </c>
      <c r="AB9" s="103" t="s">
        <v>4267</v>
      </c>
      <c r="AC9" s="310" t="s">
        <v>4282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39.75</v>
      </c>
      <c r="Z10" s="38">
        <f>VLOOKUP(C10,台股行情!A:E,5,FALSE)</f>
        <v>1</v>
      </c>
      <c r="AA10" s="90">
        <f t="shared" ca="1" si="0"/>
        <v>3027.5982915343334</v>
      </c>
      <c r="AB10" s="103" t="s">
        <v>4267</v>
      </c>
      <c r="AC10" s="310" t="s">
        <v>4282</v>
      </c>
    </row>
    <row r="11" spans="1:29">
      <c r="A11" s="99">
        <v>45722</v>
      </c>
      <c r="B11" s="11"/>
      <c r="C11" s="11">
        <v>6104</v>
      </c>
      <c r="D11" s="189" t="s">
        <v>1361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97.2</v>
      </c>
      <c r="Z11" s="38">
        <f>VLOOKUP(C11,台股行情!A:E,5,FALSE)</f>
        <v>-2.1</v>
      </c>
      <c r="AA11" s="90">
        <f ca="1">IF(I11="",((TODAY()-A11)*G11)/365.24,((I11-A11)*G11)/365.24)</f>
        <v>1943.9272806921476</v>
      </c>
      <c r="AB11" s="103" t="s">
        <v>4267</v>
      </c>
      <c r="AC11" s="310" t="s">
        <v>4282</v>
      </c>
    </row>
    <row r="12" spans="1:29">
      <c r="A12" s="99">
        <v>45702</v>
      </c>
      <c r="B12" s="11"/>
      <c r="C12" s="11">
        <v>2606</v>
      </c>
      <c r="D12" s="189" t="s">
        <v>811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76.099999999999994</v>
      </c>
      <c r="Z12" s="38">
        <f>VLOOKUP(C12,台股行情!A:E,5,FALSE)</f>
        <v>3.9</v>
      </c>
      <c r="AA12" s="90">
        <f t="shared" ca="1" si="0"/>
        <v>4947.4318256488887</v>
      </c>
      <c r="AB12" s="103" t="s">
        <v>4267</v>
      </c>
      <c r="AC12" s="311" t="s">
        <v>4341</v>
      </c>
    </row>
    <row r="13" spans="1:29">
      <c r="A13" s="99">
        <v>45713</v>
      </c>
      <c r="B13" s="11"/>
      <c r="C13" s="11">
        <v>2637</v>
      </c>
      <c r="D13" s="189" t="s">
        <v>1663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94.1</v>
      </c>
      <c r="Z13" s="38">
        <f>VLOOKUP(C13,台股行情!A:E,5,FALSE)</f>
        <v>2</v>
      </c>
      <c r="AA13" s="90">
        <f t="shared" ca="1" si="0"/>
        <v>3466.2139962764209</v>
      </c>
      <c r="AB13" s="103" t="s">
        <v>4267</v>
      </c>
      <c r="AC13" s="310" t="s">
        <v>4282</v>
      </c>
    </row>
    <row r="14" spans="1:29">
      <c r="A14" s="99">
        <v>45722</v>
      </c>
      <c r="B14" s="11"/>
      <c r="C14" s="11">
        <v>2014</v>
      </c>
      <c r="D14" s="189" t="s">
        <v>629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17.05</v>
      </c>
      <c r="Z14" s="38">
        <f>VLOOKUP(C14,台股行情!A:E,5,FALSE)</f>
        <v>0</v>
      </c>
      <c r="AA14" s="90">
        <f t="shared" ca="1" si="0"/>
        <v>954.44091556236992</v>
      </c>
      <c r="AB14" s="103" t="s">
        <v>4267</v>
      </c>
      <c r="AC14" s="310" t="s">
        <v>4282</v>
      </c>
    </row>
    <row r="15" spans="1:29">
      <c r="A15" s="99">
        <v>45713</v>
      </c>
      <c r="B15" s="11"/>
      <c r="C15" s="11">
        <v>9958</v>
      </c>
      <c r="D15" s="189" t="s">
        <v>3006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90.3</v>
      </c>
      <c r="Z15" s="38">
        <f>VLOOKUP(C15,台股行情!A:E,5,FALSE)</f>
        <v>-1.9</v>
      </c>
      <c r="AA15" s="90">
        <f t="shared" ca="1" si="0"/>
        <v>14847.771328441573</v>
      </c>
      <c r="AB15" s="103" t="s">
        <v>4267</v>
      </c>
      <c r="AC15" s="310" t="s">
        <v>4282</v>
      </c>
    </row>
    <row r="16" spans="1:29">
      <c r="A16" s="99">
        <v>45835</v>
      </c>
      <c r="B16" s="11"/>
      <c r="C16" s="11">
        <v>3265</v>
      </c>
      <c r="D16" s="189" t="s">
        <v>959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178</v>
      </c>
      <c r="Z16" s="38">
        <f>VLOOKUP(C16,台股行情!A:E,5,FALSE)</f>
        <v>-8.5</v>
      </c>
      <c r="AA16" s="90">
        <f t="shared" ca="1" si="0"/>
        <v>5503.2307523819954</v>
      </c>
      <c r="AB16" s="103" t="s">
        <v>169</v>
      </c>
      <c r="AC16" s="311" t="s">
        <v>4554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-3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19.600000000000001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4559</v>
      </c>
    </row>
    <row r="19" spans="1:29">
      <c r="A19" s="99">
        <v>45747</v>
      </c>
      <c r="B19" s="11"/>
      <c r="C19" s="11">
        <v>3661</v>
      </c>
      <c r="D19" s="189" t="s">
        <v>1078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4075</v>
      </c>
      <c r="Z19" s="38">
        <f>VLOOKUP(C19,台股行情!A:E,5,FALSE)</f>
        <v>10</v>
      </c>
      <c r="AA19" s="90">
        <f t="shared" ca="1" si="0"/>
        <v>9019.8225824115652</v>
      </c>
      <c r="AB19" s="103" t="s">
        <v>3031</v>
      </c>
      <c r="AC19" s="311" t="s">
        <v>4560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43.9</v>
      </c>
      <c r="Z20" s="38">
        <f>VLOOKUP(C20,台股行情!A:E,5,FALSE)</f>
        <v>-0.6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66.900000000000006</v>
      </c>
      <c r="Z21" s="38">
        <f>VLOOKUP(C21,台股行情!A:E,5,FALSE)</f>
        <v>-0.9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1078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4075</v>
      </c>
      <c r="Z22" s="38">
        <f>VLOOKUP(C22,台股行情!A:E,5,FALSE)</f>
        <v>10</v>
      </c>
      <c r="AA22" s="90">
        <f t="shared" ca="1" si="0"/>
        <v>16459.588215967582</v>
      </c>
      <c r="AB22" s="103" t="s">
        <v>3031</v>
      </c>
      <c r="AC22" s="311" t="s">
        <v>4571</v>
      </c>
    </row>
    <row r="23" spans="1:29">
      <c r="A23" s="99">
        <v>45868</v>
      </c>
      <c r="B23" s="11"/>
      <c r="C23" s="11">
        <v>3661</v>
      </c>
      <c r="D23" s="189" t="s">
        <v>1078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4075</v>
      </c>
      <c r="Z23" s="38">
        <f>VLOOKUP(C23,台股行情!A:E,5,FALSE)</f>
        <v>10</v>
      </c>
      <c r="AA23" s="90">
        <f t="shared" ca="1" si="0"/>
        <v>102.94600810426022</v>
      </c>
      <c r="AB23" s="103" t="s">
        <v>3031</v>
      </c>
      <c r="AC23" s="311" t="s">
        <v>4571</v>
      </c>
    </row>
    <row r="24" spans="1:29">
      <c r="A24" s="99">
        <v>45695</v>
      </c>
      <c r="B24" s="11"/>
      <c r="C24" s="11">
        <v>3661</v>
      </c>
      <c r="D24" s="189" t="s">
        <v>1078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4075</v>
      </c>
      <c r="Z24" s="38">
        <f>VLOOKUP(C24,台股行情!A:E,5,FALSE)</f>
        <v>10</v>
      </c>
      <c r="AA24" s="90">
        <f t="shared" ca="1" si="0"/>
        <v>17594.732230861897</v>
      </c>
      <c r="AB24" s="103" t="s">
        <v>3031</v>
      </c>
      <c r="AC24" s="311" t="s">
        <v>4571</v>
      </c>
    </row>
    <row r="25" spans="1:29">
      <c r="A25" s="99">
        <v>45695</v>
      </c>
      <c r="B25" s="11"/>
      <c r="C25" s="11">
        <v>3661</v>
      </c>
      <c r="D25" s="189" t="s">
        <v>1078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4075</v>
      </c>
      <c r="Z25" s="38">
        <f>VLOOKUP(C25,台股行情!A:E,5,FALSE)</f>
        <v>10</v>
      </c>
      <c r="AA25" s="90">
        <f t="shared" ref="AA25" ca="1" si="1">IF(I25="",((TODAY()-A25)*G25)/365.24,((I25-A25)*G25)/365.24)</f>
        <v>38405.705837257694</v>
      </c>
      <c r="AB25" s="103" t="s">
        <v>3031</v>
      </c>
      <c r="AC25" s="311" t="s">
        <v>4571</v>
      </c>
    </row>
    <row r="26" spans="1:29">
      <c r="A26" s="99">
        <v>45695</v>
      </c>
      <c r="B26" s="11"/>
      <c r="C26" s="11">
        <v>3661</v>
      </c>
      <c r="D26" s="189" t="s">
        <v>1078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4075</v>
      </c>
      <c r="Z26" s="38">
        <f>VLOOKUP(C26,台股行情!A:E,5,FALSE)</f>
        <v>10</v>
      </c>
      <c r="AA26" s="90">
        <f t="shared" ref="AA26:AA27" ca="1" si="2">IF(I26="",((TODAY()-A26)*G26)/365.24,((I26-A26)*G26)/365.24)</f>
        <v>40486.803197897272</v>
      </c>
      <c r="AB26" s="103" t="s">
        <v>3031</v>
      </c>
      <c r="AC26" s="311" t="s">
        <v>4571</v>
      </c>
    </row>
    <row r="27" spans="1:29">
      <c r="A27" s="99">
        <v>45695</v>
      </c>
      <c r="B27" s="11"/>
      <c r="C27" s="11">
        <v>3661</v>
      </c>
      <c r="D27" s="189" t="s">
        <v>1078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4075</v>
      </c>
      <c r="Z27" s="38">
        <f>VLOOKUP(C27,台股行情!A:E,5,FALSE)</f>
        <v>10</v>
      </c>
      <c r="AA27" s="90">
        <f t="shared" ca="1" si="2"/>
        <v>20243.401598948636</v>
      </c>
      <c r="AB27" s="103" t="s">
        <v>3031</v>
      </c>
      <c r="AC27" s="311" t="s">
        <v>4571</v>
      </c>
    </row>
    <row r="28" spans="1:29">
      <c r="A28" s="99">
        <v>45917</v>
      </c>
      <c r="B28" s="11"/>
      <c r="C28" s="11">
        <v>2542</v>
      </c>
      <c r="D28" s="189" t="s">
        <v>801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46.65</v>
      </c>
      <c r="Z28" s="38">
        <f>VLOOKUP(C28,台股行情!A:E,5,FALSE)</f>
        <v>-0.35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1078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4075</v>
      </c>
      <c r="Z29" s="38">
        <f>VLOOKUP(C29,台股行情!A:E,5,FALSE)</f>
        <v>10</v>
      </c>
      <c r="AA29" s="90">
        <f ca="1">IF(I29="",((TODAY()-A29)*G29)/365.24,((I29-A29)*G29)/365.24)</f>
        <v>5202.0589201620851</v>
      </c>
      <c r="AB29" s="103" t="s">
        <v>3031</v>
      </c>
      <c r="AC29" s="310" t="s">
        <v>4674</v>
      </c>
    </row>
    <row r="30" spans="1:29">
      <c r="A30" s="99">
        <v>45924</v>
      </c>
      <c r="B30" s="11"/>
      <c r="C30" s="11">
        <v>3661</v>
      </c>
      <c r="D30" s="189" t="s">
        <v>1078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4075</v>
      </c>
      <c r="Z30" s="38">
        <f>VLOOKUP(C30,台股行情!A:E,5,FALSE)</f>
        <v>10</v>
      </c>
      <c r="AA30" s="90">
        <f ca="1">IF(I30="",((TODAY()-A30)*G30)/365.24,((I30-A30)*G30)/365.24)</f>
        <v>8228.0144562479472</v>
      </c>
      <c r="AB30" s="103" t="s">
        <v>3031</v>
      </c>
      <c r="AC30" s="311" t="s">
        <v>4571</v>
      </c>
    </row>
    <row r="31" spans="1:29">
      <c r="A31" s="99">
        <v>45695</v>
      </c>
      <c r="B31" s="11"/>
      <c r="C31" s="11">
        <v>3661</v>
      </c>
      <c r="D31" s="189" t="s">
        <v>1078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4075</v>
      </c>
      <c r="Z31" s="38">
        <f>VLOOKUP(C31,台股行情!A:E,5,FALSE)</f>
        <v>10</v>
      </c>
      <c r="AA31" s="90">
        <f t="shared" ref="AA31" ca="1" si="3">IF(I31="",((TODAY()-A31)*G31)/365.24,((I31-A31)*G31)/365.24)</f>
        <v>26202.907677143794</v>
      </c>
      <c r="AB31" s="103" t="s">
        <v>3031</v>
      </c>
      <c r="AC31" s="311" t="s">
        <v>4571</v>
      </c>
    </row>
    <row r="32" spans="1:29">
      <c r="A32" s="99">
        <v>45944</v>
      </c>
      <c r="B32" s="11"/>
      <c r="C32" s="11">
        <v>3661</v>
      </c>
      <c r="D32" s="189" t="s">
        <v>1078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4075</v>
      </c>
      <c r="Z32" s="38">
        <f>VLOOKUP(C32,台股行情!A:E,5,FALSE)</f>
        <v>10</v>
      </c>
      <c r="AA32" s="90">
        <f ca="1">IF(I32="",((TODAY()-A32)*G32)/365.24,((I32-A32)*G32)/365.24)</f>
        <v>2950.9363706056292</v>
      </c>
      <c r="AB32" s="103" t="s">
        <v>3031</v>
      </c>
      <c r="AC32" s="311" t="s">
        <v>4571</v>
      </c>
    </row>
    <row r="33" spans="1:30">
      <c r="A33" s="99">
        <v>45695</v>
      </c>
      <c r="B33" s="11"/>
      <c r="C33" s="11">
        <v>3661</v>
      </c>
      <c r="D33" s="189" t="s">
        <v>1078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4075</v>
      </c>
      <c r="Z33" s="38">
        <f>VLOOKUP(C33,台股行情!A:E,5,FALSE)</f>
        <v>10</v>
      </c>
      <c r="AA33" s="90">
        <f t="shared" ref="AA33" ca="1" si="4">IF(I33="",((TODAY()-A33)*G33)/365.24,((I33-A33)*G33)/365.24)</f>
        <v>57892.344759610118</v>
      </c>
      <c r="AB33" s="103" t="s">
        <v>3031</v>
      </c>
      <c r="AC33" s="310" t="s">
        <v>4674</v>
      </c>
    </row>
    <row r="34" spans="1:30">
      <c r="A34" s="99">
        <v>45666</v>
      </c>
      <c r="B34" s="11"/>
      <c r="C34" s="11">
        <v>926</v>
      </c>
      <c r="D34" s="189" t="s">
        <v>2594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26.26</v>
      </c>
      <c r="Z34" s="38">
        <f>VLOOKUP(C34,台股行情!A:E,5,FALSE)</f>
        <v>0.03</v>
      </c>
      <c r="AA34" s="90">
        <f ca="1">IF(I34="",((TODAY()-A34)*G34)/365.24,((I34-A34)*G34)/365.24)</f>
        <v>81601.905596320226</v>
      </c>
      <c r="AB34" s="103" t="s">
        <v>3031</v>
      </c>
    </row>
    <row r="35" spans="1:30">
      <c r="A35" s="99">
        <v>45915</v>
      </c>
      <c r="B35" s="11"/>
      <c r="C35" s="11">
        <v>3661</v>
      </c>
      <c r="D35" s="189" t="s">
        <v>1078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4075</v>
      </c>
      <c r="Z35" s="38">
        <f>VLOOKUP(C35,台股行情!A:E,5,FALSE)</f>
        <v>10</v>
      </c>
      <c r="AA35" s="90">
        <f ca="1">IF(I35="",((TODAY()-A35)*G35)/365.24,((I35-A35)*G35)/365.24)</f>
        <v>11161.428102069871</v>
      </c>
      <c r="AB35" s="103" t="s">
        <v>3031</v>
      </c>
      <c r="AC35" s="310" t="s">
        <v>4783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67.7</v>
      </c>
      <c r="Z36" s="38">
        <f>VLOOKUP(C36,台股行情!A:E,5,FALSE)</f>
        <v>-0.6</v>
      </c>
      <c r="AA36" s="90">
        <f t="shared" ref="AA36" ca="1" si="14">IF(I36="",((TODAY()-A36)*G36)/365.24,((I36-A36)*G36)/365.24)</f>
        <v>4496.3448691271487</v>
      </c>
      <c r="AB36" s="103" t="s">
        <v>3031</v>
      </c>
      <c r="AC36" s="310" t="s">
        <v>4922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67.7</v>
      </c>
      <c r="Z37" s="38">
        <f>VLOOKUP(C37,台股行情!A:E,5,FALSE)</f>
        <v>-0.6</v>
      </c>
      <c r="AA37" s="90">
        <f t="shared" ref="AA37:AA44" ca="1" si="23">IF(I37="",((TODAY()-A37)*G37)/365.24,((I37-A37)*G37)/365.24)</f>
        <v>4166.8245537181028</v>
      </c>
      <c r="AB37" s="103" t="s">
        <v>3031</v>
      </c>
      <c r="AC37" s="310" t="s">
        <v>4922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67.7</v>
      </c>
      <c r="Z38" s="38">
        <f>VLOOKUP(C38,台股行情!A:E,5,FALSE)</f>
        <v>-0.6</v>
      </c>
      <c r="AA38" s="90">
        <f t="shared" ca="1" si="23"/>
        <v>3965.2283430073376</v>
      </c>
      <c r="AB38" s="103" t="s">
        <v>3031</v>
      </c>
      <c r="AC38" s="310" t="s">
        <v>4922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67.7</v>
      </c>
      <c r="Z39" s="38">
        <f>VLOOKUP(C39,台股行情!A:E,5,FALSE)</f>
        <v>-0.6</v>
      </c>
      <c r="AA39" s="90">
        <f t="shared" ca="1" si="23"/>
        <v>3637.4356587449347</v>
      </c>
      <c r="AB39" s="103" t="s">
        <v>3031</v>
      </c>
      <c r="AC39" s="310" t="s">
        <v>4922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67.7</v>
      </c>
      <c r="Z40" s="38">
        <f>VLOOKUP(C40,台股行情!A:E,5,FALSE)</f>
        <v>-0.6</v>
      </c>
      <c r="AA40" s="90">
        <f t="shared" ca="1" si="23"/>
        <v>3381.7873179279377</v>
      </c>
      <c r="AB40" s="103" t="s">
        <v>3031</v>
      </c>
      <c r="AC40" s="310" t="s">
        <v>4922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67.7</v>
      </c>
      <c r="Z41" s="38">
        <f>VLOOKUP(C41,台股行情!A:E,5,FALSE)</f>
        <v>-0.6</v>
      </c>
      <c r="AA41" s="90">
        <f t="shared" ref="AA41" ca="1" si="33">IF(I41="",((TODAY()-A41)*G41)/365.24,((I41-A41)*G41)/365.24)</f>
        <v>3049.6112145438615</v>
      </c>
      <c r="AB41" s="103" t="s">
        <v>3031</v>
      </c>
      <c r="AC41" s="310" t="s">
        <v>4922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67.7</v>
      </c>
      <c r="Z42" s="38">
        <f>VLOOKUP(C42,台股行情!A:E,5,FALSE)</f>
        <v>-0.6</v>
      </c>
      <c r="AA42" s="90">
        <f t="shared" ca="1" si="23"/>
        <v>2834.3445405760594</v>
      </c>
      <c r="AB42" s="103" t="s">
        <v>3031</v>
      </c>
      <c r="AC42" s="310" t="s">
        <v>4922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67.7</v>
      </c>
      <c r="Z43" s="38">
        <f>VLOOKUP(C43,台股行情!A:E,5,FALSE)</f>
        <v>-0.6</v>
      </c>
      <c r="AA43" s="90">
        <f t="shared" ca="1" si="23"/>
        <v>2559.75249151243</v>
      </c>
      <c r="AB43" s="103" t="s">
        <v>3031</v>
      </c>
      <c r="AC43" s="310" t="s">
        <v>4922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67.7</v>
      </c>
      <c r="Z44" s="38">
        <f>VLOOKUP(C44,台股行情!A:E,5,FALSE)</f>
        <v>-0.6</v>
      </c>
      <c r="AA44" s="90">
        <f t="shared" ca="1" si="23"/>
        <v>2289.2782827729711</v>
      </c>
      <c r="AB44" s="103" t="s">
        <v>3031</v>
      </c>
      <c r="AC44" s="310" t="s">
        <v>4922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67.7</v>
      </c>
      <c r="Z45" s="38">
        <f>VLOOKUP(C45,台股行情!A:E,5,FALSE)</f>
        <v>-0.6</v>
      </c>
      <c r="AA45" s="90">
        <f t="shared" ref="AA45" ca="1" si="42">IF(I45="",((TODAY()-A45)*G45)/365.24,((I45-A45)*G45)/365.24)</f>
        <v>1991.2906581973496</v>
      </c>
      <c r="AB45" s="103" t="s">
        <v>3031</v>
      </c>
      <c r="AC45" s="310" t="s">
        <v>4922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139.5</v>
      </c>
      <c r="Z46" s="38">
        <f>VLOOKUP(C46,台股行情!A:E,5,FALSE)</f>
        <v>-5</v>
      </c>
      <c r="AA46" s="90">
        <f ca="1">IF(I46="",((TODAY()-A46)*G46)/365.24,((I46-A46)*G46)/365.24)</f>
        <v>49818.201730369074</v>
      </c>
      <c r="AB46" s="103" t="s">
        <v>3364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171</v>
      </c>
      <c r="Z47" s="38">
        <f>VLOOKUP(C47,台股行情!A:E,5,FALSE)</f>
        <v>-1.5</v>
      </c>
      <c r="AA47" s="90">
        <f ca="1">IF(I47="",((TODAY()-A47)*G47)/365.24,((I47-A47)*G47)/365.24)</f>
        <v>220356.47793231846</v>
      </c>
      <c r="AB47" s="103" t="s">
        <v>3364</v>
      </c>
      <c r="AC47" s="310"/>
      <c r="AD47" s="9" t="s">
        <v>4822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4611</v>
      </c>
      <c r="Y53" s="31"/>
      <c r="Z53" s="31"/>
      <c r="AA53" s="90"/>
    </row>
    <row r="54" spans="1:29" ht="17.25" thickBot="1">
      <c r="A54" s="414"/>
      <c r="B54" s="415"/>
      <c r="C54" s="415"/>
      <c r="D54" s="238" t="s">
        <v>21</v>
      </c>
      <c r="E54" s="414"/>
      <c r="F54" s="420"/>
      <c r="G54" s="62">
        <f>SUM(G51:G52)</f>
        <v>0</v>
      </c>
      <c r="H54" s="62">
        <f>SUM(H51:H52)</f>
        <v>0</v>
      </c>
      <c r="I54" s="423"/>
      <c r="J54" s="423"/>
      <c r="K54" s="426"/>
      <c r="L54" s="427"/>
      <c r="M54" s="427"/>
      <c r="N54" s="428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9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6"/>
      <c r="B55" s="417"/>
      <c r="C55" s="417"/>
      <c r="D55" s="238" t="s">
        <v>4243</v>
      </c>
      <c r="E55" s="416"/>
      <c r="F55" s="421"/>
      <c r="G55" s="63">
        <f>SUM(G2:G48,G34:G52)</f>
        <v>3782580</v>
      </c>
      <c r="H55" s="63">
        <f>SUM(H2:H48,H34:H52)</f>
        <v>5110</v>
      </c>
      <c r="I55" s="424"/>
      <c r="J55" s="424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0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8"/>
      <c r="B56" s="419"/>
      <c r="C56" s="419"/>
      <c r="D56" s="238" t="s">
        <v>20</v>
      </c>
      <c r="E56" s="418"/>
      <c r="F56" s="422"/>
      <c r="G56" s="63">
        <f>SUM(G2:G52)</f>
        <v>3219840</v>
      </c>
      <c r="H56" s="63">
        <f>SUM(H2:H52)</f>
        <v>4442</v>
      </c>
      <c r="I56" s="425"/>
      <c r="J56" s="425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0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4095</v>
      </c>
      <c r="B58" s="403"/>
      <c r="C58" s="403"/>
      <c r="D58" s="251" t="s">
        <v>4093</v>
      </c>
      <c r="E58" s="402"/>
      <c r="F58" s="403"/>
      <c r="G58" s="251" t="s">
        <v>4087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4088</v>
      </c>
      <c r="P58" s="251" t="s">
        <v>4089</v>
      </c>
      <c r="Q58" s="251" t="s">
        <v>4090</v>
      </c>
      <c r="R58" s="251" t="s">
        <v>4091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4092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4"/>
      <c r="B59" s="405"/>
      <c r="C59" s="405"/>
      <c r="D59" s="246" t="s">
        <v>219</v>
      </c>
      <c r="E59" s="404"/>
      <c r="F59" s="405"/>
      <c r="G59" s="265">
        <f>SUMIF(AB$2:AB$53,D59,G$2:G$53)</f>
        <v>92400</v>
      </c>
      <c r="H59" s="265">
        <f>SUMIF(AB$2:AB$53,D59,H$2:H$53)</f>
        <v>131</v>
      </c>
      <c r="I59" s="404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4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4"/>
      <c r="B60" s="405"/>
      <c r="C60" s="405"/>
      <c r="D60" s="247" t="s">
        <v>4267</v>
      </c>
      <c r="E60" s="404"/>
      <c r="F60" s="405"/>
      <c r="G60" s="265">
        <f>SUMIF(AB$2:AB$53,D60,G$2:G$53)</f>
        <v>1553400</v>
      </c>
      <c r="H60" s="265">
        <f>SUMIF(AB$2:AB$53,D60,H$2:H$53)</f>
        <v>2206</v>
      </c>
      <c r="I60" s="404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4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4"/>
      <c r="B61" s="405"/>
      <c r="C61" s="405"/>
      <c r="D61" s="247" t="s">
        <v>209</v>
      </c>
      <c r="E61" s="404"/>
      <c r="F61" s="405"/>
      <c r="G61" s="265">
        <f>SUMIF(AB$2:AB$53,D61,G$2:G$53)</f>
        <v>337300</v>
      </c>
      <c r="H61" s="265">
        <f>SUMIF(AB$2:AB$53,D61,H$2:H$53)</f>
        <v>479</v>
      </c>
      <c r="I61" s="404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4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6"/>
      <c r="B62" s="406"/>
      <c r="C62" s="406"/>
      <c r="D62" s="247" t="s">
        <v>4096</v>
      </c>
      <c r="E62" s="406"/>
      <c r="F62" s="406"/>
      <c r="G62" s="265">
        <f>SUMIF(AB$2:AB$53,D62,G$2:G$53)</f>
        <v>461800</v>
      </c>
      <c r="H62" s="265">
        <f>SUMIF(AB$2:AB$53,D62,H$2:H$53)</f>
        <v>656</v>
      </c>
      <c r="I62" s="40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1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08"/>
      <c r="B63" s="408"/>
      <c r="C63" s="408"/>
      <c r="D63" s="248" t="s">
        <v>4099</v>
      </c>
      <c r="E63" s="408"/>
      <c r="F63" s="408"/>
      <c r="G63" s="252">
        <f>SUMIF(AB$2:AB$53,D63,G$2:G$53)</f>
        <v>774940</v>
      </c>
      <c r="H63" s="252">
        <f>SUMIF(AB$2:AB$53,D63,H$2:H$53)</f>
        <v>970</v>
      </c>
      <c r="I63" s="40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3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3831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7303.0755300000001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0.79424253163176262</v>
      </c>
      <c r="Y68" s="16">
        <f>VLOOKUP(C68,美股行情!A:C,3,FALSE)</f>
        <v>206.7</v>
      </c>
      <c r="Z68" s="38">
        <f>VLOOKUP(C68,美股行情!A:G,7,FALSE)</f>
        <v>5.95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4606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392.07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-41.769364837500014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-9.9121246443442085E-2</v>
      </c>
      <c r="Y69" s="16">
        <f>VLOOKUP(C69,美股行情!A:C,3,FALSE)</f>
        <v>392.07</v>
      </c>
      <c r="Z69" s="38">
        <f>VLOOKUP(C69,美股行情!A:G,7,FALSE)</f>
        <v>3.31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3916</v>
      </c>
      <c r="E71" s="400"/>
      <c r="F71" s="401"/>
      <c r="G71" s="63">
        <f>SUM(G67:G70)</f>
        <v>9600.2999999999993</v>
      </c>
      <c r="H71" s="63">
        <f>SUM(H67:H70)</f>
        <v>24.000750000000004</v>
      </c>
      <c r="I71" s="400"/>
      <c r="J71" s="401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16928.07</v>
      </c>
      <c r="P71" s="102">
        <f t="shared" si="46"/>
        <v>-22.540750000000003</v>
      </c>
      <c r="Q71" s="101">
        <f t="shared" si="46"/>
        <v>7261.3061651625003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0.754014501126267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3938</v>
      </c>
      <c r="E72" s="400"/>
      <c r="F72" s="401"/>
      <c r="G72" s="63">
        <f>G71*匯率!B3</f>
        <v>304079.90219999995</v>
      </c>
      <c r="H72" s="63">
        <f>H71*匯率!B3</f>
        <v>760.19975550000015</v>
      </c>
      <c r="I72" s="400"/>
      <c r="J72" s="401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536179.68917999999</v>
      </c>
      <c r="P72" s="102">
        <f>P71*匯率!B3</f>
        <v>-713.95571550000011</v>
      </c>
      <c r="Q72" s="63">
        <f>Q71*匯率!B3</f>
        <v>229994.61147535703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0.754014501126267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12" priority="279">
      <formula>$I49&gt;(TODAY()-7)</formula>
    </cfRule>
    <cfRule type="expression" dxfId="2111" priority="280">
      <formula>$I49&gt;(TODAY()-30)</formula>
    </cfRule>
  </conditionalFormatting>
  <conditionalFormatting sqref="I67">
    <cfRule type="expression" dxfId="2110" priority="240">
      <formula>$I67&gt;(TODAY()-30)</formula>
    </cfRule>
    <cfRule type="expression" dxfId="2109" priority="239">
      <formula>$I67&gt;(TODAY()-7)</formula>
    </cfRule>
  </conditionalFormatting>
  <conditionalFormatting sqref="I70">
    <cfRule type="expression" dxfId="2108" priority="242">
      <formula>$I70&gt;(TODAY()-30)</formula>
    </cfRule>
    <cfRule type="expression" dxfId="2107" priority="241">
      <formula>$I70&gt;(TODAY()-7)</formula>
    </cfRule>
  </conditionalFormatting>
  <conditionalFormatting sqref="Z2:Z47 Z67 Z70">
    <cfRule type="cellIs" dxfId="2106" priority="277" operator="lessThan">
      <formula>0</formula>
    </cfRule>
    <cfRule type="cellIs" dxfId="2105" priority="278" operator="greaterThan">
      <formula>0</formula>
    </cfRule>
  </conditionalFormatting>
  <conditionalFormatting sqref="Z48:Z52">
    <cfRule type="cellIs" dxfId="2104" priority="270" operator="greaterThan">
      <formula>0</formula>
    </cfRule>
    <cfRule type="cellIs" dxfId="2103" priority="269" operator="lessThan">
      <formula>0</formula>
    </cfRule>
  </conditionalFormatting>
  <conditionalFormatting sqref="Z66:Z67">
    <cfRule type="containsText" dxfId="2102" priority="244" operator="containsText" text="▽">
      <formula>NOT(ISERROR(SEARCH("▽",Z66)))</formula>
    </cfRule>
    <cfRule type="containsText" dxfId="2101" priority="243" operator="containsText" text="△">
      <formula>NOT(ISERROR(SEARCH("△",Z66)))</formula>
    </cfRule>
  </conditionalFormatting>
  <conditionalFormatting sqref="Z68:Z69">
    <cfRule type="cellIs" dxfId="2100" priority="18" operator="greaterThan">
      <formula>0</formula>
    </cfRule>
    <cfRule type="containsText" dxfId="2099" priority="15" operator="containsText" text="▲">
      <formula>NOT(ISERROR(SEARCH("▲",Z68)))</formula>
    </cfRule>
    <cfRule type="containsText" dxfId="2098" priority="16" operator="containsText" text="▼">
      <formula>NOT(ISERROR(SEARCH("▼",Z68)))</formula>
    </cfRule>
    <cfRule type="cellIs" dxfId="2097" priority="17" operator="lessThan">
      <formula>0</formula>
    </cfRule>
  </conditionalFormatting>
  <conditionalFormatting sqref="Z70:Z72">
    <cfRule type="containsText" dxfId="2096" priority="238" operator="containsText" text="▽">
      <formula>NOT(ISERROR(SEARCH("▽",Z70)))</formula>
    </cfRule>
    <cfRule type="containsText" dxfId="2095" priority="237" operator="containsText" text="△">
      <formula>NOT(ISERROR(SEARCH("△",Z70)))</formula>
    </cfRule>
  </conditionalFormatting>
  <conditionalFormatting sqref="Z1:AA25 Z64:AA65 Z73:AA1048576">
    <cfRule type="containsText" dxfId="2094" priority="281" operator="containsText" text="△">
      <formula>NOT(ISERROR(SEARCH("△",Z1)))</formula>
    </cfRule>
    <cfRule type="containsText" dxfId="2093" priority="282" operator="containsText" text="▽">
      <formula>NOT(ISERROR(SEARCH("▽",Z1)))</formula>
    </cfRule>
  </conditionalFormatting>
  <conditionalFormatting sqref="Z2:AA45 Z48:AA48">
    <cfRule type="containsText" dxfId="2092" priority="272" operator="containsText" text="▼">
      <formula>NOT(ISERROR(SEARCH("▼",Z2)))</formula>
    </cfRule>
  </conditionalFormatting>
  <conditionalFormatting sqref="Z8:AA8">
    <cfRule type="containsText" dxfId="2091" priority="43" operator="containsText" text="▲">
      <formula>NOT(ISERROR(SEARCH("▲",Z8)))</formula>
    </cfRule>
    <cfRule type="containsText" dxfId="2090" priority="44" operator="containsText" text="▼">
      <formula>NOT(ISERROR(SEARCH("▼",Z8)))</formula>
    </cfRule>
  </conditionalFormatting>
  <conditionalFormatting sqref="Z12:AA12">
    <cfRule type="containsText" dxfId="2089" priority="46" operator="containsText" text="▼">
      <formula>NOT(ISERROR(SEARCH("▼",Z12)))</formula>
    </cfRule>
    <cfRule type="containsText" dxfId="2088" priority="48" operator="containsText" text="▼">
      <formula>NOT(ISERROR(SEARCH("▼",Z12)))</formula>
    </cfRule>
    <cfRule type="containsText" dxfId="2087" priority="47" operator="containsText" text="▲">
      <formula>NOT(ISERROR(SEARCH("▲",Z12)))</formula>
    </cfRule>
    <cfRule type="containsText" dxfId="2086" priority="45" operator="containsText" text="▲">
      <formula>NOT(ISERROR(SEARCH("▲",Z12)))</formula>
    </cfRule>
  </conditionalFormatting>
  <conditionalFormatting sqref="Z19:AA25">
    <cfRule type="containsText" dxfId="2085" priority="28" operator="containsText" text="▼">
      <formula>NOT(ISERROR(SEARCH("▼",Z19)))</formula>
    </cfRule>
    <cfRule type="containsText" dxfId="2084" priority="27" operator="containsText" text="▲">
      <formula>NOT(ISERROR(SEARCH("▲",Z19)))</formula>
    </cfRule>
  </conditionalFormatting>
  <conditionalFormatting sqref="Z20:AA25">
    <cfRule type="containsText" dxfId="2083" priority="29" operator="containsText" text="▲">
      <formula>NOT(ISERROR(SEARCH("▲",Z20)))</formula>
    </cfRule>
    <cfRule type="containsText" dxfId="2082" priority="30" operator="containsText" text="▼">
      <formula>NOT(ISERROR(SEARCH("▼",Z20)))</formula>
    </cfRule>
  </conditionalFormatting>
  <conditionalFormatting sqref="Z22:AA25">
    <cfRule type="containsText" dxfId="2081" priority="118" operator="containsText" text="▼">
      <formula>NOT(ISERROR(SEARCH("▼",Z22)))</formula>
    </cfRule>
    <cfRule type="containsText" dxfId="2080" priority="117" operator="containsText" text="▲">
      <formula>NOT(ISERROR(SEARCH("▲",Z22)))</formula>
    </cfRule>
  </conditionalFormatting>
  <conditionalFormatting sqref="Z23:AA25">
    <cfRule type="containsText" dxfId="2079" priority="26" operator="containsText" text="▼">
      <formula>NOT(ISERROR(SEARCH("▼",Z23)))</formula>
    </cfRule>
    <cfRule type="containsText" dxfId="2078" priority="25" operator="containsText" text="▲">
      <formula>NOT(ISERROR(SEARCH("▲",Z23)))</formula>
    </cfRule>
  </conditionalFormatting>
  <conditionalFormatting sqref="Z46:AA47">
    <cfRule type="containsText" dxfId="2077" priority="1" operator="containsText" text="▲">
      <formula>NOT(ISERROR(SEARCH("▲",Z46)))</formula>
    </cfRule>
    <cfRule type="containsText" dxfId="2076" priority="2" operator="containsText" text="▼">
      <formula>NOT(ISERROR(SEARCH("▼",Z46)))</formula>
    </cfRule>
  </conditionalFormatting>
  <conditionalFormatting sqref="Z48:AA48 Z2:AA45">
    <cfRule type="containsText" dxfId="2075" priority="271" operator="containsText" text="▲">
      <formula>NOT(ISERROR(SEARCH("▲",Z2)))</formula>
    </cfRule>
  </conditionalFormatting>
  <conditionalFormatting sqref="Z48:AA57">
    <cfRule type="containsText" dxfId="2074" priority="273" operator="containsText" text="△">
      <formula>NOT(ISERROR(SEARCH("△",Z48)))</formula>
    </cfRule>
    <cfRule type="containsText" dxfId="2073" priority="274" operator="containsText" text="▽">
      <formula>NOT(ISERROR(SEARCH("▽",Z48)))</formula>
    </cfRule>
  </conditionalFormatting>
  <conditionalFormatting sqref="AA58:AA63">
    <cfRule type="containsText" dxfId="2072" priority="191" operator="containsText" text="△">
      <formula>NOT(ISERROR(SEARCH("△",AA58)))</formula>
    </cfRule>
    <cfRule type="containsText" dxfId="207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741</v>
      </c>
      <c r="Z2" s="38">
        <f>VLOOKUP(C2,台股行情!A:E,5,FALSE)</f>
        <v>-13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91.2</v>
      </c>
      <c r="Z3" s="38">
        <f>VLOOKUP(C3,台股行情!A:E,5,FALSE)</f>
        <v>-1.9</v>
      </c>
      <c r="AA3" s="90">
        <f t="shared" ca="1" si="7"/>
        <v>3229.3834191216733</v>
      </c>
      <c r="AB3" s="194" t="s">
        <v>219</v>
      </c>
      <c r="AC3" s="194" t="s">
        <v>2117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63</v>
      </c>
      <c r="Z4" s="38">
        <f>VLOOKUP(C4,台股行情!A:E,5,FALSE)</f>
        <v>-0.3</v>
      </c>
      <c r="AA4" s="90">
        <f t="shared" ca="1" si="7"/>
        <v>1574.5810973606394</v>
      </c>
      <c r="AB4" s="194" t="s">
        <v>3369</v>
      </c>
      <c r="AC4" s="194" t="s">
        <v>3421</v>
      </c>
      <c r="AD4" s="209" t="s">
        <v>3422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96.3</v>
      </c>
      <c r="Z5" s="38">
        <f>VLOOKUP(C5,台股行情!A:E,5,FALSE)</f>
        <v>-0.1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50</v>
      </c>
      <c r="Z6" s="38">
        <f>VLOOKUP(C6,台股行情!A:E,5,FALSE)</f>
        <v>-0.5</v>
      </c>
      <c r="AA6" s="90">
        <f t="shared" ca="1" si="7"/>
        <v>410.68886211805938</v>
      </c>
      <c r="AB6" s="194" t="s">
        <v>3426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62.5</v>
      </c>
      <c r="Z7" s="38">
        <f>VLOOKUP(C7,台股行情!A:E,5,FALSE)</f>
        <v>0.5</v>
      </c>
      <c r="AA7" s="90">
        <f t="shared" ca="1" si="7"/>
        <v>6017.9607929032964</v>
      </c>
      <c r="AB7" s="194" t="s">
        <v>3369</v>
      </c>
      <c r="AC7" s="194" t="s">
        <v>3421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51.1</v>
      </c>
      <c r="Z8" s="38">
        <f>VLOOKUP(C8,台股行情!A:E,5,FALSE)</f>
        <v>-0.5</v>
      </c>
      <c r="AA8" s="90">
        <f t="shared" ca="1" si="7"/>
        <v>7608.695652173913</v>
      </c>
      <c r="AB8" s="194" t="s">
        <v>3369</v>
      </c>
      <c r="AC8" s="194" t="s">
        <v>3421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164</v>
      </c>
      <c r="Z9" s="38">
        <f>VLOOKUP(C9,台股行情!A:E,5,FALSE)</f>
        <v>-1.5</v>
      </c>
      <c r="AA9" s="90">
        <f t="shared" ca="1" si="7"/>
        <v>15904.610666958712</v>
      </c>
      <c r="AB9" s="194" t="s">
        <v>3369</v>
      </c>
      <c r="AC9" s="194" t="s">
        <v>3421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52.1</v>
      </c>
      <c r="Z10" s="38">
        <f>VLOOKUP(C10,台股行情!A:E,5,FALSE)</f>
        <v>-1.2</v>
      </c>
      <c r="AA10" s="90">
        <f t="shared" ca="1" si="7"/>
        <v>1815.2447705618224</v>
      </c>
      <c r="AB10" s="194" t="s">
        <v>219</v>
      </c>
      <c r="AC10" s="194" t="s">
        <v>3930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148.5</v>
      </c>
      <c r="Z11" s="38">
        <f>VLOOKUP(C11,台股行情!A:E,5,FALSE)</f>
        <v>-2</v>
      </c>
      <c r="AA11" s="90">
        <f t="shared" ca="1" si="7"/>
        <v>1471.9088818311247</v>
      </c>
      <c r="AB11" s="194" t="s">
        <v>169</v>
      </c>
      <c r="AC11" s="143" t="s">
        <v>2121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2121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48.15</v>
      </c>
      <c r="Z13" s="38">
        <f>VLOOKUP(C13,台股行情!A:E,5,FALSE)</f>
        <v>-1.7</v>
      </c>
      <c r="AA13" s="90">
        <f t="shared" ca="1" si="7"/>
        <v>6438.779980286934</v>
      </c>
      <c r="AB13" s="194" t="s">
        <v>219</v>
      </c>
      <c r="AC13" s="194" t="s">
        <v>3947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26.05</v>
      </c>
      <c r="Z14" s="38">
        <f>VLOOKUP(C14,台股行情!A:E,5,FALSE)</f>
        <v>-0.25</v>
      </c>
      <c r="AA14" s="90">
        <f t="shared" ca="1" si="7"/>
        <v>4524.1485050925421</v>
      </c>
      <c r="AB14" s="194" t="s">
        <v>219</v>
      </c>
      <c r="AC14" s="194" t="s">
        <v>3947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159.5</v>
      </c>
      <c r="Z15" s="38">
        <f>VLOOKUP(C15,台股行情!A:E,5,FALSE)</f>
        <v>-4.5</v>
      </c>
      <c r="AA15" s="90">
        <f t="shared" ca="1" si="7"/>
        <v>3750.9582740116089</v>
      </c>
      <c r="AB15" s="194" t="s">
        <v>219</v>
      </c>
      <c r="AC15" s="143" t="s">
        <v>2121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3964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45</v>
      </c>
      <c r="Z17" s="38">
        <f>VLOOKUP(C17,台股行情!A:E,5,FALSE)</f>
        <v>0.5</v>
      </c>
      <c r="AA17" s="90">
        <f t="shared" ca="1" si="7"/>
        <v>1503.1212353520973</v>
      </c>
      <c r="AB17" s="194" t="s">
        <v>219</v>
      </c>
      <c r="AC17" s="143" t="s">
        <v>2121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61.8</v>
      </c>
      <c r="Z18" s="38">
        <f>VLOOKUP(C18,台股行情!A:E,5,FALSE)</f>
        <v>-0.5</v>
      </c>
      <c r="AA18" s="90">
        <f t="shared" ca="1" si="7"/>
        <v>6985.8175446281894</v>
      </c>
      <c r="AB18" s="194" t="s">
        <v>219</v>
      </c>
      <c r="AC18" s="143" t="s">
        <v>2121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66.900000000000006</v>
      </c>
      <c r="Z19" s="38">
        <f>VLOOKUP(C19,台股行情!A:E,5,FALSE)</f>
        <v>-0.2</v>
      </c>
      <c r="AA19" s="90">
        <f t="shared" ca="1" si="7"/>
        <v>7800.3504544956741</v>
      </c>
      <c r="AB19" s="194" t="s">
        <v>169</v>
      </c>
      <c r="AC19" s="143" t="s">
        <v>3992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10.95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2121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99.4</v>
      </c>
      <c r="Z21" s="38">
        <f>VLOOKUP(C21,台股行情!A:E,5,FALSE)</f>
        <v>-0.1</v>
      </c>
      <c r="AA21" s="90">
        <f t="shared" ca="1" si="7"/>
        <v>22407.184317161318</v>
      </c>
      <c r="AB21" s="194" t="s">
        <v>219</v>
      </c>
      <c r="AC21" s="143" t="s">
        <v>2121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422.5</v>
      </c>
      <c r="Z22" s="38">
        <f>VLOOKUP(C22,台股行情!A:E,5,FALSE)</f>
        <v>36.5</v>
      </c>
      <c r="AA22" s="90">
        <f t="shared" ca="1" si="7"/>
        <v>34094.020370167564</v>
      </c>
      <c r="AB22" s="194" t="s">
        <v>219</v>
      </c>
      <c r="AC22" s="322" t="s">
        <v>4012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964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20.5</v>
      </c>
      <c r="Z23" s="38">
        <f>VLOOKUP(C23,台股行情!A:E,5,FALSE)</f>
        <v>-0.5</v>
      </c>
      <c r="AA23" s="90">
        <f t="shared" ca="1" si="7"/>
        <v>14883.364363158471</v>
      </c>
      <c r="AB23" s="194" t="s">
        <v>219</v>
      </c>
      <c r="AC23" s="322" t="s">
        <v>4012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157</v>
      </c>
      <c r="Z24" s="38">
        <f>VLOOKUP(C24,台股行情!A:E,5,FALSE)</f>
        <v>0.5</v>
      </c>
      <c r="AA24" s="90">
        <f t="shared" ca="1" si="7"/>
        <v>0</v>
      </c>
      <c r="AB24" s="194" t="s">
        <v>4054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20.55</v>
      </c>
      <c r="Z25" s="38">
        <f>VLOOKUP(C25,台股行情!A:E,5,FALSE)</f>
        <v>0.15</v>
      </c>
      <c r="AA25" s="90">
        <f t="shared" ca="1" si="7"/>
        <v>7451.5387142700692</v>
      </c>
      <c r="AB25" s="194" t="s">
        <v>4055</v>
      </c>
      <c r="AC25" s="143" t="s">
        <v>2121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65.7</v>
      </c>
      <c r="Z26" s="38">
        <f>VLOOKUP(C26,台股行情!A:E,5,FALSE)</f>
        <v>-1.8</v>
      </c>
      <c r="AA26" s="90">
        <f t="shared" ca="1" si="7"/>
        <v>19841.200306647683</v>
      </c>
      <c r="AB26" s="194" t="s">
        <v>4055</v>
      </c>
      <c r="AC26" s="143" t="s">
        <v>2121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</v>
      </c>
      <c r="Z27" s="38">
        <f>VLOOKUP(C27,台股行情!A:E,5,FALSE)</f>
        <v>0</v>
      </c>
      <c r="AA27" s="90">
        <f ca="1">IF(I27="",((TODAY()-A27)*G27)/365.24,((I27-A27)*G27)/365.24)</f>
        <v>15964.845033402693</v>
      </c>
      <c r="AB27" s="103" t="s">
        <v>3364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285</v>
      </c>
      <c r="Z28" s="38">
        <f>VLOOKUP(C28,台股行情!A:E,5,FALSE)</f>
        <v>-5</v>
      </c>
      <c r="AA28" s="90">
        <f t="shared" ca="1" si="7"/>
        <v>44507.720950607822</v>
      </c>
      <c r="AB28" s="194" t="s">
        <v>3426</v>
      </c>
      <c r="AC28" s="323" t="s">
        <v>4331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157</v>
      </c>
      <c r="Z29" s="38">
        <f>VLOOKUP(C29,台股行情!A:E,5,FALSE)</f>
        <v>0.5</v>
      </c>
      <c r="AA29" s="90">
        <f t="shared" ca="1" si="7"/>
        <v>106231.51900120468</v>
      </c>
      <c r="AB29" s="194" t="s">
        <v>169</v>
      </c>
      <c r="AC29" s="143" t="s">
        <v>4330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29.15</v>
      </c>
      <c r="Z30" s="38">
        <f>VLOOKUP(C30,台股行情!A:E,5,FALSE)</f>
        <v>0.02</v>
      </c>
      <c r="AA30" s="90">
        <f t="shared" ca="1" si="7"/>
        <v>16914.083890044902</v>
      </c>
      <c r="AB30" s="194" t="s">
        <v>3031</v>
      </c>
      <c r="AC30" s="194" t="s">
        <v>4241</v>
      </c>
      <c r="AD30" s="206" t="s">
        <v>3367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</v>
      </c>
      <c r="Z31" s="38">
        <f>VLOOKUP(C31,台股行情!A:E,5,FALSE)</f>
        <v>-1.5</v>
      </c>
      <c r="AA31" s="90">
        <f t="shared" ca="1" si="7"/>
        <v>63048.954112364474</v>
      </c>
      <c r="AB31" s="194" t="s">
        <v>219</v>
      </c>
      <c r="AC31" s="322" t="s">
        <v>3947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114</v>
      </c>
      <c r="Z32" s="38">
        <f>VLOOKUP(C32,台股行情!A:E,5,FALSE)</f>
        <v>2.5</v>
      </c>
      <c r="AA32" s="90">
        <f t="shared" ca="1" si="7"/>
        <v>61085.861351440144</v>
      </c>
      <c r="AB32" s="194" t="s">
        <v>219</v>
      </c>
      <c r="AC32" s="143" t="s">
        <v>4282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233.5</v>
      </c>
      <c r="Z33" s="38">
        <f>VLOOKUP(C33,台股行情!A:E,5,FALSE)</f>
        <v>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338.5</v>
      </c>
      <c r="Z34" s="38">
        <f>VLOOKUP(C34,台股行情!A:E,5,FALSE)</f>
        <v>6</v>
      </c>
      <c r="AA34" s="90">
        <f ca="1">IF(I34="",((TODAY()-A34)*G34)/365.24,((I34-A34)*G34)/365.24)</f>
        <v>549337.4219691162</v>
      </c>
      <c r="AB34" s="103" t="s">
        <v>219</v>
      </c>
      <c r="AC34" s="310" t="s">
        <v>4921</v>
      </c>
      <c r="AD34" s="338" t="s">
        <v>4822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11.7</v>
      </c>
      <c r="Z35" s="38">
        <f>VLOOKUP(C35,台股行情!A:E,5,FALSE)</f>
        <v>-0.1</v>
      </c>
      <c r="AA35" s="90">
        <f ca="1">IF(I35="",((TODAY()-A35)*G35)/365.24,((I35-A35)*G35)/365.24)</f>
        <v>153463.7498631037</v>
      </c>
      <c r="AB35" s="103" t="s">
        <v>3364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38.6</v>
      </c>
      <c r="Z36" s="38">
        <f>VLOOKUP(C36,台股行情!A:E,5,FALSE)</f>
        <v>-1.75</v>
      </c>
      <c r="AA36" s="90">
        <f ca="1">IF(I36="",((TODAY()-A36)*G36)/365.24,((I36-A36)*G36)/365.24)</f>
        <v>113335.34114554813</v>
      </c>
      <c r="AB36" s="103" t="s">
        <v>3364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4"/>
      <c r="B43" s="415"/>
      <c r="C43" s="415"/>
      <c r="D43" s="238" t="s">
        <v>21</v>
      </c>
      <c r="E43" s="414"/>
      <c r="F43" s="420"/>
      <c r="G43" s="62">
        <f>SUM(G40:G41)</f>
        <v>0</v>
      </c>
      <c r="H43" s="62">
        <f>SUM(H40:H41)</f>
        <v>0</v>
      </c>
      <c r="I43" s="423"/>
      <c r="J43" s="423"/>
      <c r="K43" s="426"/>
      <c r="L43" s="427"/>
      <c r="M43" s="427"/>
      <c r="N43" s="428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9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6"/>
      <c r="B44" s="417"/>
      <c r="C44" s="417"/>
      <c r="D44" s="238" t="s">
        <v>3365</v>
      </c>
      <c r="E44" s="416"/>
      <c r="F44" s="421"/>
      <c r="G44" s="63">
        <f>SUM(G2:G41)</f>
        <v>3861650</v>
      </c>
      <c r="H44" s="63">
        <f>SUM(H2:H41)</f>
        <v>4815</v>
      </c>
      <c r="I44" s="424"/>
      <c r="J44" s="424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0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8"/>
      <c r="B45" s="419"/>
      <c r="C45" s="419"/>
      <c r="D45" s="238" t="s">
        <v>20</v>
      </c>
      <c r="E45" s="418"/>
      <c r="F45" s="422"/>
      <c r="G45" s="63">
        <f>SUM(G2:G41)</f>
        <v>3861650</v>
      </c>
      <c r="H45" s="63">
        <f>SUM(H2:H41)</f>
        <v>4815</v>
      </c>
      <c r="I45" s="425"/>
      <c r="J45" s="425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0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4095</v>
      </c>
      <c r="B47" s="403"/>
      <c r="C47" s="403"/>
      <c r="D47" s="251" t="s">
        <v>4093</v>
      </c>
      <c r="E47" s="402"/>
      <c r="F47" s="403"/>
      <c r="G47" s="251" t="s">
        <v>4087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4088</v>
      </c>
      <c r="P47" s="251" t="s">
        <v>4089</v>
      </c>
      <c r="Q47" s="251" t="s">
        <v>4090</v>
      </c>
      <c r="R47" s="251" t="s">
        <v>4091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4092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4"/>
      <c r="B48" s="405"/>
      <c r="C48" s="405"/>
      <c r="D48" s="246" t="s">
        <v>219</v>
      </c>
      <c r="E48" s="404"/>
      <c r="F48" s="40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4"/>
      <c r="B49" s="405"/>
      <c r="C49" s="405"/>
      <c r="D49" s="247" t="s">
        <v>4100</v>
      </c>
      <c r="E49" s="404"/>
      <c r="F49" s="405"/>
      <c r="G49" s="265">
        <f t="shared" si="8"/>
        <v>331150</v>
      </c>
      <c r="H49" s="265">
        <f t="shared" si="9"/>
        <v>470</v>
      </c>
      <c r="I49" s="40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4"/>
      <c r="B50" s="405"/>
      <c r="C50" s="405"/>
      <c r="D50" s="247" t="s">
        <v>209</v>
      </c>
      <c r="E50" s="404"/>
      <c r="F50" s="405"/>
      <c r="G50" s="265">
        <f t="shared" si="8"/>
        <v>197800</v>
      </c>
      <c r="H50" s="265">
        <f t="shared" si="9"/>
        <v>281</v>
      </c>
      <c r="I50" s="40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6"/>
      <c r="B51" s="406"/>
      <c r="C51" s="406"/>
      <c r="D51" s="247" t="s">
        <v>4096</v>
      </c>
      <c r="E51" s="406"/>
      <c r="F51" s="406"/>
      <c r="G51" s="265">
        <f t="shared" si="8"/>
        <v>652650</v>
      </c>
      <c r="H51" s="265">
        <f t="shared" si="9"/>
        <v>927</v>
      </c>
      <c r="I51" s="40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1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6"/>
      <c r="B52" s="406"/>
      <c r="C52" s="406"/>
      <c r="D52" s="247" t="s">
        <v>4101</v>
      </c>
      <c r="E52" s="406"/>
      <c r="F52" s="406"/>
      <c r="G52" s="265">
        <f t="shared" si="8"/>
        <v>92300</v>
      </c>
      <c r="H52" s="265">
        <f t="shared" si="9"/>
        <v>130</v>
      </c>
      <c r="I52" s="40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1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7"/>
      <c r="B53" s="407"/>
      <c r="C53" s="407"/>
      <c r="D53" s="247" t="s">
        <v>4099</v>
      </c>
      <c r="E53" s="407"/>
      <c r="F53" s="407"/>
      <c r="G53" s="265">
        <f t="shared" si="8"/>
        <v>18950</v>
      </c>
      <c r="H53" s="265">
        <f t="shared" si="9"/>
        <v>27</v>
      </c>
      <c r="I53" s="40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2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8"/>
      <c r="B54" s="408"/>
      <c r="C54" s="408"/>
      <c r="D54" s="248" t="s">
        <v>4102</v>
      </c>
      <c r="E54" s="408"/>
      <c r="F54" s="408"/>
      <c r="G54" s="252">
        <f t="shared" si="8"/>
        <v>558000</v>
      </c>
      <c r="H54" s="252">
        <f t="shared" si="9"/>
        <v>120</v>
      </c>
      <c r="I54" s="40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3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3831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7303.0755300000001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0.79424253163176262</v>
      </c>
      <c r="Y59" s="16">
        <f>VLOOKUP(C59,美股行情!A:C,3,FALSE)</f>
        <v>206.7</v>
      </c>
      <c r="Z59" s="38">
        <f>VLOOKUP(C59,美股行情!A:G,7,FALSE)</f>
        <v>5.95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3916</v>
      </c>
      <c r="E61" s="400"/>
      <c r="F61" s="401"/>
      <c r="G61" s="63">
        <f>SUM(G58:G60)</f>
        <v>9168</v>
      </c>
      <c r="H61" s="63">
        <f>SUM(H58:H60)</f>
        <v>22.92</v>
      </c>
      <c r="I61" s="400"/>
      <c r="J61" s="401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16536</v>
      </c>
      <c r="P61" s="102">
        <f t="shared" si="18"/>
        <v>-21.46</v>
      </c>
      <c r="Q61" s="101">
        <f t="shared" si="18"/>
        <v>7303.0755300000001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0.79424253163176262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3938</v>
      </c>
      <c r="E62" s="400"/>
      <c r="F62" s="401"/>
      <c r="G62" s="63">
        <f>G61*匯率!B3</f>
        <v>290387.23200000002</v>
      </c>
      <c r="H62" s="63">
        <f>H61*匯率!B3</f>
        <v>725.96807999999999</v>
      </c>
      <c r="I62" s="400"/>
      <c r="J62" s="401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523761.26399999997</v>
      </c>
      <c r="P62" s="102">
        <f>P61*匯率!B3</f>
        <v>-679.72404000000006</v>
      </c>
      <c r="Q62" s="63">
        <f>Q61*匯率!B3</f>
        <v>231317.61433722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0.79424253163176262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70" priority="220">
      <formula>$I38&gt;(TODAY()-30)</formula>
    </cfRule>
    <cfRule type="expression" dxfId="2069" priority="219">
      <formula>$I38&gt;(TODAY()-7)</formula>
    </cfRule>
  </conditionalFormatting>
  <conditionalFormatting sqref="I58">
    <cfRule type="expression" dxfId="2068" priority="142">
      <formula>$I58&gt;(TODAY()-30)</formula>
    </cfRule>
    <cfRule type="expression" dxfId="2067" priority="141">
      <formula>$I58&gt;(TODAY()-7)</formula>
    </cfRule>
  </conditionalFormatting>
  <conditionalFormatting sqref="I60">
    <cfRule type="expression" dxfId="2066" priority="148">
      <formula>$I60&gt;(TODAY()-30)</formula>
    </cfRule>
    <cfRule type="expression" dxfId="2065" priority="147">
      <formula>$I60&gt;(TODAY()-7)</formula>
    </cfRule>
  </conditionalFormatting>
  <conditionalFormatting sqref="Z2">
    <cfRule type="cellIs" dxfId="2064" priority="54" operator="greaterThan">
      <formula>0</formula>
    </cfRule>
    <cfRule type="containsText" dxfId="2063" priority="80" operator="containsText" text="▼">
      <formula>NOT(ISERROR(SEARCH("▼",Z2)))</formula>
    </cfRule>
    <cfRule type="containsText" dxfId="2062" priority="79" operator="containsText" text="▲">
      <formula>NOT(ISERROR(SEARCH("▲",Z2)))</formula>
    </cfRule>
    <cfRule type="cellIs" dxfId="2061" priority="53" operator="lessThan">
      <formula>0</formula>
    </cfRule>
  </conditionalFormatting>
  <conditionalFormatting sqref="Z2:Z27 Z58 Z60">
    <cfRule type="cellIs" dxfId="2060" priority="210" operator="greaterThan">
      <formula>0</formula>
    </cfRule>
    <cfRule type="cellIs" dxfId="2059" priority="209" operator="lessThan">
      <formula>0</formula>
    </cfRule>
  </conditionalFormatting>
  <conditionalFormatting sqref="Z27">
    <cfRule type="cellIs" dxfId="2058" priority="24" operator="greaterThan">
      <formula>0</formula>
    </cfRule>
    <cfRule type="cellIs" dxfId="2057" priority="23" operator="lessThan">
      <formula>0</formula>
    </cfRule>
  </conditionalFormatting>
  <conditionalFormatting sqref="Z28:Z33">
    <cfRule type="cellIs" dxfId="2056" priority="38" operator="greaterThan">
      <formula>0</formula>
    </cfRule>
    <cfRule type="cellIs" dxfId="2055" priority="37" operator="lessThan">
      <formula>0</formula>
    </cfRule>
  </conditionalFormatting>
  <conditionalFormatting sqref="Z34">
    <cfRule type="cellIs" dxfId="2054" priority="18" operator="greaterThan">
      <formula>0</formula>
    </cfRule>
    <cfRule type="cellIs" dxfId="2053" priority="17" operator="lessThan">
      <formula>0</formula>
    </cfRule>
  </conditionalFormatting>
  <conditionalFormatting sqref="Z35">
    <cfRule type="cellIs" dxfId="2052" priority="11" operator="lessThan">
      <formula>0</formula>
    </cfRule>
    <cfRule type="cellIs" dxfId="2051" priority="12" operator="greaterThan">
      <formula>0</formula>
    </cfRule>
  </conditionalFormatting>
  <conditionalFormatting sqref="Z36:Z41">
    <cfRule type="cellIs" dxfId="2050" priority="5" operator="lessThan">
      <formula>0</formula>
    </cfRule>
    <cfRule type="cellIs" dxfId="2049" priority="6" operator="greaterThan">
      <formula>0</formula>
    </cfRule>
  </conditionalFormatting>
  <conditionalFormatting sqref="Z57:Z58">
    <cfRule type="containsText" dxfId="2048" priority="149" operator="containsText" text="△">
      <formula>NOT(ISERROR(SEARCH("△",Z57)))</formula>
    </cfRule>
    <cfRule type="containsText" dxfId="2047" priority="150" operator="containsText" text="▽">
      <formula>NOT(ISERROR(SEARCH("▽",Z57)))</formula>
    </cfRule>
  </conditionalFormatting>
  <conditionalFormatting sqref="Z59">
    <cfRule type="containsText" dxfId="2046" priority="25" operator="containsText" text="▲">
      <formula>NOT(ISERROR(SEARCH("▲",Z59)))</formula>
    </cfRule>
    <cfRule type="containsText" dxfId="2045" priority="26" operator="containsText" text="▼">
      <formula>NOT(ISERROR(SEARCH("▼",Z59)))</formula>
    </cfRule>
    <cfRule type="cellIs" dxfId="2044" priority="27" operator="lessThan">
      <formula>0</formula>
    </cfRule>
    <cfRule type="cellIs" dxfId="2043" priority="28" operator="greaterThan">
      <formula>0</formula>
    </cfRule>
  </conditionalFormatting>
  <conditionalFormatting sqref="Z60:Z62">
    <cfRule type="containsText" dxfId="2042" priority="140" operator="containsText" text="▽">
      <formula>NOT(ISERROR(SEARCH("▽",Z60)))</formula>
    </cfRule>
    <cfRule type="containsText" dxfId="2041" priority="139" operator="containsText" text="△">
      <formula>NOT(ISERROR(SEARCH("△",Z60)))</formula>
    </cfRule>
  </conditionalFormatting>
  <conditionalFormatting sqref="Z1:AA3 Z38:AA46 Z55:AA56 Z63:AA1048576">
    <cfRule type="containsText" dxfId="2040" priority="222" operator="containsText" text="▽">
      <formula>NOT(ISERROR(SEARCH("▽",Z1)))</formula>
    </cfRule>
    <cfRule type="containsText" dxfId="2039" priority="221" operator="containsText" text="△">
      <formula>NOT(ISERROR(SEARCH("△",Z1)))</formula>
    </cfRule>
  </conditionalFormatting>
  <conditionalFormatting sqref="Z2:AA2">
    <cfRule type="containsText" dxfId="2038" priority="82" operator="containsText" text="▽">
      <formula>NOT(ISERROR(SEARCH("▽",Z2)))</formula>
    </cfRule>
    <cfRule type="containsText" dxfId="2037" priority="81" operator="containsText" text="△">
      <formula>NOT(ISERROR(SEARCH("△",Z2)))</formula>
    </cfRule>
  </conditionalFormatting>
  <conditionalFormatting sqref="Z2:AA27">
    <cfRule type="containsText" dxfId="2036" priority="159" operator="containsText" text="▲">
      <formula>NOT(ISERROR(SEARCH("▲",Z2)))</formula>
    </cfRule>
    <cfRule type="containsText" dxfId="2035" priority="160" operator="containsText" text="▼">
      <formula>NOT(ISERROR(SEARCH("▼",Z2)))</formula>
    </cfRule>
  </conditionalFormatting>
  <conditionalFormatting sqref="Z5:AA27">
    <cfRule type="containsText" dxfId="2034" priority="161" operator="containsText" text="▲">
      <formula>NOT(ISERROR(SEARCH("▲",Z5)))</formula>
    </cfRule>
    <cfRule type="containsText" dxfId="2033" priority="162" operator="containsText" text="▼">
      <formula>NOT(ISERROR(SEARCH("▼",Z5)))</formula>
    </cfRule>
  </conditionalFormatting>
  <conditionalFormatting sqref="Z6:AA27">
    <cfRule type="containsText" dxfId="2032" priority="166" operator="containsText" text="▼">
      <formula>NOT(ISERROR(SEARCH("▼",Z6)))</formula>
    </cfRule>
    <cfRule type="containsText" dxfId="2031" priority="165" operator="containsText" text="▲">
      <formula>NOT(ISERROR(SEARCH("▲",Z6)))</formula>
    </cfRule>
  </conditionalFormatting>
  <conditionalFormatting sqref="Z7:AA27">
    <cfRule type="containsText" dxfId="2030" priority="155" operator="containsText" text="▲">
      <formula>NOT(ISERROR(SEARCH("▲",Z7)))</formula>
    </cfRule>
    <cfRule type="containsText" dxfId="2029" priority="156" operator="containsText" text="▼">
      <formula>NOT(ISERROR(SEARCH("▼",Z7)))</formula>
    </cfRule>
  </conditionalFormatting>
  <conditionalFormatting sqref="Z9:AA27">
    <cfRule type="containsText" dxfId="2028" priority="153" operator="containsText" text="▲">
      <formula>NOT(ISERROR(SEARCH("▲",Z9)))</formula>
    </cfRule>
    <cfRule type="containsText" dxfId="2027" priority="154" operator="containsText" text="▼">
      <formula>NOT(ISERROR(SEARCH("▼",Z9)))</formula>
    </cfRule>
  </conditionalFormatting>
  <conditionalFormatting sqref="Z10:AA27">
    <cfRule type="containsText" dxfId="2026" priority="206" operator="containsText" text="▼">
      <formula>NOT(ISERROR(SEARCH("▼",Z10)))</formula>
    </cfRule>
    <cfRule type="containsText" dxfId="2025" priority="205" operator="containsText" text="▲">
      <formula>NOT(ISERROR(SEARCH("▲",Z10)))</formula>
    </cfRule>
  </conditionalFormatting>
  <conditionalFormatting sqref="Z11:AA27">
    <cfRule type="containsText" dxfId="2024" priority="124" operator="containsText" text="▼">
      <formula>NOT(ISERROR(SEARCH("▼",Z11)))</formula>
    </cfRule>
    <cfRule type="containsText" dxfId="2023" priority="123" operator="containsText" text="▲">
      <formula>NOT(ISERROR(SEARCH("▲",Z11)))</formula>
    </cfRule>
  </conditionalFormatting>
  <conditionalFormatting sqref="Z12:AA27">
    <cfRule type="containsText" dxfId="2022" priority="128" operator="containsText" text="▼">
      <formula>NOT(ISERROR(SEARCH("▼",Z12)))</formula>
    </cfRule>
    <cfRule type="containsText" dxfId="2021" priority="127" operator="containsText" text="▲">
      <formula>NOT(ISERROR(SEARCH("▲",Z12)))</formula>
    </cfRule>
  </conditionalFormatting>
  <conditionalFormatting sqref="Z13:AA27">
    <cfRule type="containsText" dxfId="2020" priority="135" operator="containsText" text="▲">
      <formula>NOT(ISERROR(SEARCH("▲",Z13)))</formula>
    </cfRule>
    <cfRule type="containsText" dxfId="2019" priority="136" operator="containsText" text="▼">
      <formula>NOT(ISERROR(SEARCH("▼",Z13)))</formula>
    </cfRule>
  </conditionalFormatting>
  <conditionalFormatting sqref="Z15:AA27">
    <cfRule type="containsText" dxfId="2018" priority="130" operator="containsText" text="▼">
      <formula>NOT(ISERROR(SEARCH("▼",Z15)))</formula>
    </cfRule>
    <cfRule type="containsText" dxfId="2017" priority="129" operator="containsText" text="▲">
      <formula>NOT(ISERROR(SEARCH("▲",Z15)))</formula>
    </cfRule>
  </conditionalFormatting>
  <conditionalFormatting sqref="Z16:AA27">
    <cfRule type="containsText" dxfId="2016" priority="110" operator="containsText" text="▼">
      <formula>NOT(ISERROR(SEARCH("▼",Z16)))</formula>
    </cfRule>
    <cfRule type="containsText" dxfId="2015" priority="109" operator="containsText" text="▲">
      <formula>NOT(ISERROR(SEARCH("▲",Z16)))</formula>
    </cfRule>
  </conditionalFormatting>
  <conditionalFormatting sqref="Z17:AA27">
    <cfRule type="containsText" dxfId="2014" priority="104" operator="containsText" text="▼">
      <formula>NOT(ISERROR(SEARCH("▼",Z17)))</formula>
    </cfRule>
    <cfRule type="containsText" dxfId="2013" priority="103" operator="containsText" text="▲">
      <formula>NOT(ISERROR(SEARCH("▲",Z17)))</formula>
    </cfRule>
  </conditionalFormatting>
  <conditionalFormatting sqref="Z18:AA33">
    <cfRule type="containsText" dxfId="2012" priority="36" operator="containsText" text="▼">
      <formula>NOT(ISERROR(SEARCH("▼",Z18)))</formula>
    </cfRule>
    <cfRule type="containsText" dxfId="2011" priority="35" operator="containsText" text="▲">
      <formula>NOT(ISERROR(SEARCH("▲",Z18)))</formula>
    </cfRule>
  </conditionalFormatting>
  <conditionalFormatting sqref="Z19:AA27">
    <cfRule type="containsText" dxfId="2010" priority="108" operator="containsText" text="▼">
      <formula>NOT(ISERROR(SEARCH("▼",Z19)))</formula>
    </cfRule>
    <cfRule type="containsText" dxfId="2009" priority="107" operator="containsText" text="▲">
      <formula>NOT(ISERROR(SEARCH("▲",Z19)))</formula>
    </cfRule>
  </conditionalFormatting>
  <conditionalFormatting sqref="Z20:AA20">
    <cfRule type="containsText" dxfId="2008" priority="112" operator="containsText" text="▼">
      <formula>NOT(ISERROR(SEARCH("▼",Z20)))</formula>
    </cfRule>
    <cfRule type="containsText" dxfId="2007" priority="111" operator="containsText" text="▲">
      <formula>NOT(ISERROR(SEARCH("▲",Z20)))</formula>
    </cfRule>
  </conditionalFormatting>
  <conditionalFormatting sqref="Z21:AA27">
    <cfRule type="containsText" dxfId="2006" priority="117" operator="containsText" text="▲">
      <formula>NOT(ISERROR(SEARCH("▲",Z21)))</formula>
    </cfRule>
    <cfRule type="containsText" dxfId="2005" priority="118" operator="containsText" text="▼">
      <formula>NOT(ISERROR(SEARCH("▼",Z21)))</formula>
    </cfRule>
  </conditionalFormatting>
  <conditionalFormatting sqref="Z22:AA27">
    <cfRule type="containsText" dxfId="2004" priority="152" operator="containsText" text="▼">
      <formula>NOT(ISERROR(SEARCH("▼",Z22)))</formula>
    </cfRule>
    <cfRule type="containsText" dxfId="2003" priority="151" operator="containsText" text="▲">
      <formula>NOT(ISERROR(SEARCH("▲",Z22)))</formula>
    </cfRule>
  </conditionalFormatting>
  <conditionalFormatting sqref="Z23:AA27">
    <cfRule type="containsText" dxfId="2002" priority="105" operator="containsText" text="▲">
      <formula>NOT(ISERROR(SEARCH("▲",Z23)))</formula>
    </cfRule>
    <cfRule type="containsText" dxfId="2001" priority="106" operator="containsText" text="▼">
      <formula>NOT(ISERROR(SEARCH("▼",Z23)))</formula>
    </cfRule>
  </conditionalFormatting>
  <conditionalFormatting sqref="Z24:AA27">
    <cfRule type="containsText" dxfId="2000" priority="115" operator="containsText" text="▲">
      <formula>NOT(ISERROR(SEARCH("▲",Z24)))</formula>
    </cfRule>
    <cfRule type="containsText" dxfId="1999" priority="116" operator="containsText" text="▼">
      <formula>NOT(ISERROR(SEARCH("▼",Z24)))</formula>
    </cfRule>
  </conditionalFormatting>
  <conditionalFormatting sqref="Z25:AA25">
    <cfRule type="containsText" dxfId="1998" priority="119" operator="containsText" text="▲">
      <formula>NOT(ISERROR(SEARCH("▲",Z25)))</formula>
    </cfRule>
    <cfRule type="containsText" dxfId="1997" priority="120" operator="containsText" text="▼">
      <formula>NOT(ISERROR(SEARCH("▼",Z25)))</formula>
    </cfRule>
  </conditionalFormatting>
  <conditionalFormatting sqref="Z27:AA27">
    <cfRule type="containsText" dxfId="1996" priority="20" operator="containsText" text="▼">
      <formula>NOT(ISERROR(SEARCH("▼",Z27)))</formula>
    </cfRule>
    <cfRule type="containsText" dxfId="1995" priority="22" operator="containsText" text="▼">
      <formula>NOT(ISERROR(SEARCH("▼",Z27)))</formula>
    </cfRule>
    <cfRule type="containsText" dxfId="1994" priority="21" operator="containsText" text="▲">
      <formula>NOT(ISERROR(SEARCH("▲",Z27)))</formula>
    </cfRule>
    <cfRule type="containsText" dxfId="1993" priority="19" operator="containsText" text="▲">
      <formula>NOT(ISERROR(SEARCH("▲",Z27)))</formula>
    </cfRule>
  </conditionalFormatting>
  <conditionalFormatting sqref="Z28:AA33">
    <cfRule type="containsText" dxfId="1992" priority="39" operator="containsText" text="△">
      <formula>NOT(ISERROR(SEARCH("△",Z28)))</formula>
    </cfRule>
    <cfRule type="containsText" dxfId="1991" priority="40" operator="containsText" text="▽">
      <formula>NOT(ISERROR(SEARCH("▽",Z28)))</formula>
    </cfRule>
  </conditionalFormatting>
  <conditionalFormatting sqref="Z33:AA33">
    <cfRule type="containsText" dxfId="1990" priority="34" operator="containsText" text="▼">
      <formula>NOT(ISERROR(SEARCH("▼",Z33)))</formula>
    </cfRule>
    <cfRule type="containsText" dxfId="1989" priority="33" operator="containsText" text="▲">
      <formula>NOT(ISERROR(SEARCH("▲",Z33)))</formula>
    </cfRule>
    <cfRule type="containsText" dxfId="1988" priority="32" operator="containsText" text="▼">
      <formula>NOT(ISERROR(SEARCH("▼",Z33)))</formula>
    </cfRule>
    <cfRule type="containsText" dxfId="1987" priority="31" operator="containsText" text="▲">
      <formula>NOT(ISERROR(SEARCH("▲",Z33)))</formula>
    </cfRule>
  </conditionalFormatting>
  <conditionalFormatting sqref="Z33:AA34">
    <cfRule type="containsText" dxfId="1986" priority="15" operator="containsText" text="▲">
      <formula>NOT(ISERROR(SEARCH("▲",Z33)))</formula>
    </cfRule>
    <cfRule type="containsText" dxfId="1985" priority="16" operator="containsText" text="▼">
      <formula>NOT(ISERROR(SEARCH("▼",Z33)))</formula>
    </cfRule>
  </conditionalFormatting>
  <conditionalFormatting sqref="Z34:AA35">
    <cfRule type="containsText" dxfId="1984" priority="10" operator="containsText" text="▼">
      <formula>NOT(ISERROR(SEARCH("▼",Z34)))</formula>
    </cfRule>
    <cfRule type="containsText" dxfId="1983" priority="9" operator="containsText" text="▲">
      <formula>NOT(ISERROR(SEARCH("▲",Z34)))</formula>
    </cfRule>
  </conditionalFormatting>
  <conditionalFormatting sqref="Z35:AA36">
    <cfRule type="containsText" dxfId="1982" priority="4" operator="containsText" text="▼">
      <formula>NOT(ISERROR(SEARCH("▼",Z35)))</formula>
    </cfRule>
    <cfRule type="containsText" dxfId="1981" priority="3" operator="containsText" text="▲">
      <formula>NOT(ISERROR(SEARCH("▲",Z35)))</formula>
    </cfRule>
  </conditionalFormatting>
  <conditionalFormatting sqref="Z36:AA36">
    <cfRule type="containsText" dxfId="1980" priority="1" operator="containsText" text="▲">
      <formula>NOT(ISERROR(SEARCH("▲",Z36)))</formula>
    </cfRule>
    <cfRule type="containsText" dxfId="1979" priority="2" operator="containsText" text="▼">
      <formula>NOT(ISERROR(SEARCH("▼",Z36)))</formula>
    </cfRule>
  </conditionalFormatting>
  <conditionalFormatting sqref="Z37:AA37">
    <cfRule type="containsText" dxfId="1978" priority="197" operator="containsText" text="▲">
      <formula>NOT(ISERROR(SEARCH("▲",Z37)))</formula>
    </cfRule>
    <cfRule type="containsText" dxfId="1977" priority="198" operator="containsText" text="▼">
      <formula>NOT(ISERROR(SEARCH("▼",Z37)))</formula>
    </cfRule>
  </conditionalFormatting>
  <conditionalFormatting sqref="AA2">
    <cfRule type="containsText" dxfId="1976" priority="56" operator="containsText" text="▽">
      <formula>NOT(ISERROR(SEARCH("▽",AA2)))</formula>
    </cfRule>
    <cfRule type="containsText" dxfId="1975" priority="55" operator="containsText" text="△">
      <formula>NOT(ISERROR(SEARCH("△",AA2)))</formula>
    </cfRule>
    <cfRule type="containsText" dxfId="1974" priority="75" operator="containsText" text="△">
      <formula>NOT(ISERROR(SEARCH("△",AA2)))</formula>
    </cfRule>
    <cfRule type="containsText" dxfId="1973" priority="58" operator="containsText" text="▽">
      <formula>NOT(ISERROR(SEARCH("▽",AA2)))</formula>
    </cfRule>
    <cfRule type="containsText" dxfId="1972" priority="74" operator="containsText" text="▽">
      <formula>NOT(ISERROR(SEARCH("▽",AA2)))</formula>
    </cfRule>
    <cfRule type="containsText" dxfId="1971" priority="73" operator="containsText" text="△">
      <formula>NOT(ISERROR(SEARCH("△",AA2)))</formula>
    </cfRule>
    <cfRule type="containsText" dxfId="1970" priority="71" operator="containsText" text="△">
      <formula>NOT(ISERROR(SEARCH("△",AA2)))</formula>
    </cfRule>
    <cfRule type="containsText" dxfId="1969" priority="70" operator="containsText" text="▽">
      <formula>NOT(ISERROR(SEARCH("▽",AA2)))</formula>
    </cfRule>
    <cfRule type="containsText" dxfId="1968" priority="78" operator="containsText" text="▽">
      <formula>NOT(ISERROR(SEARCH("▽",AA2)))</formula>
    </cfRule>
    <cfRule type="containsText" dxfId="1967" priority="64" operator="containsText" text="▽">
      <formula>NOT(ISERROR(SEARCH("▽",AA2)))</formula>
    </cfRule>
    <cfRule type="containsText" dxfId="1966" priority="69" operator="containsText" text="△">
      <formula>NOT(ISERROR(SEARCH("△",AA2)))</formula>
    </cfRule>
    <cfRule type="containsText" dxfId="1965" priority="68" operator="containsText" text="▽">
      <formula>NOT(ISERROR(SEARCH("▽",AA2)))</formula>
    </cfRule>
    <cfRule type="containsText" dxfId="1964" priority="67" operator="containsText" text="△">
      <formula>NOT(ISERROR(SEARCH("△",AA2)))</formula>
    </cfRule>
    <cfRule type="containsText" dxfId="1963" priority="65" operator="containsText" text="△">
      <formula>NOT(ISERROR(SEARCH("△",AA2)))</formula>
    </cfRule>
    <cfRule type="containsText" dxfId="1962" priority="63" operator="containsText" text="△">
      <formula>NOT(ISERROR(SEARCH("△",AA2)))</formula>
    </cfRule>
    <cfRule type="containsText" dxfId="1961" priority="62" operator="containsText" text="▽">
      <formula>NOT(ISERROR(SEARCH("▽",AA2)))</formula>
    </cfRule>
    <cfRule type="containsText" dxfId="1960" priority="66" operator="containsText" text="▽">
      <formula>NOT(ISERROR(SEARCH("▽",AA2)))</formula>
    </cfRule>
    <cfRule type="containsText" dxfId="1959" priority="61" operator="containsText" text="△">
      <formula>NOT(ISERROR(SEARCH("△",AA2)))</formula>
    </cfRule>
    <cfRule type="containsText" dxfId="1958" priority="60" operator="containsText" text="▽">
      <formula>NOT(ISERROR(SEARCH("▽",AA2)))</formula>
    </cfRule>
    <cfRule type="containsText" dxfId="1957" priority="59" operator="containsText" text="△">
      <formula>NOT(ISERROR(SEARCH("△",AA2)))</formula>
    </cfRule>
    <cfRule type="containsText" dxfId="1956" priority="72" operator="containsText" text="▽">
      <formula>NOT(ISERROR(SEARCH("▽",AA2)))</formula>
    </cfRule>
    <cfRule type="containsText" dxfId="1955" priority="57" operator="containsText" text="△">
      <formula>NOT(ISERROR(SEARCH("△",AA2)))</formula>
    </cfRule>
    <cfRule type="containsText" dxfId="1954" priority="77" operator="containsText" text="△">
      <formula>NOT(ISERROR(SEARCH("△",AA2)))</formula>
    </cfRule>
    <cfRule type="containsText" dxfId="1953" priority="76" operator="containsText" text="▽">
      <formula>NOT(ISERROR(SEARCH("▽",AA2)))</formula>
    </cfRule>
  </conditionalFormatting>
  <conditionalFormatting sqref="AA47:AA54">
    <cfRule type="containsText" dxfId="1952" priority="89" operator="containsText" text="△">
      <formula>NOT(ISERROR(SEARCH("△",AA47)))</formula>
    </cfRule>
    <cfRule type="containsText" dxfId="195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1239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50</v>
      </c>
      <c r="Z2" s="38">
        <f>VLOOKUP(C2,台股行情!A:E,5,FALSE)</f>
        <v>-0.5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1296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30.6</v>
      </c>
      <c r="Z3" s="38">
        <f>VLOOKUP(C3,台股行情!A:E,5,FALSE)</f>
        <v>2</v>
      </c>
      <c r="AA3" s="90">
        <f t="shared" ca="1" si="3"/>
        <v>601.79607929032966</v>
      </c>
      <c r="AB3" s="103" t="s">
        <v>219</v>
      </c>
      <c r="AC3" s="187" t="s">
        <v>3012</v>
      </c>
    </row>
    <row r="4" spans="1:30" outlineLevel="1">
      <c r="A4" s="99">
        <v>45103</v>
      </c>
      <c r="B4" s="11"/>
      <c r="C4" s="11">
        <v>5426</v>
      </c>
      <c r="D4" s="189" t="s">
        <v>1296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30.6</v>
      </c>
      <c r="Z4" s="38">
        <f>VLOOKUP(C4,台股行情!A:E,5,FALSE)</f>
        <v>2</v>
      </c>
      <c r="AA4" s="90">
        <f t="shared" ca="1" si="3"/>
        <v>601.79607929032966</v>
      </c>
      <c r="AB4" s="103" t="s">
        <v>219</v>
      </c>
      <c r="AC4" s="188" t="s">
        <v>3012</v>
      </c>
    </row>
    <row r="5" spans="1:30" outlineLevel="1">
      <c r="A5" s="99">
        <v>45103</v>
      </c>
      <c r="B5" s="11"/>
      <c r="C5" s="11">
        <v>5426</v>
      </c>
      <c r="D5" s="189" t="s">
        <v>1296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30.6</v>
      </c>
      <c r="Z5" s="38">
        <f>VLOOKUP(C5,台股行情!A:E,5,FALSE)</f>
        <v>2</v>
      </c>
      <c r="AA5" s="90">
        <f t="shared" ca="1" si="3"/>
        <v>644.78151352535315</v>
      </c>
      <c r="AB5" s="103" t="s">
        <v>219</v>
      </c>
      <c r="AC5" s="188" t="s">
        <v>3012</v>
      </c>
    </row>
    <row r="6" spans="1:30" outlineLevel="1">
      <c r="A6" s="99">
        <v>45103</v>
      </c>
      <c r="B6" s="11"/>
      <c r="C6" s="11">
        <v>6695</v>
      </c>
      <c r="D6" s="189" t="s">
        <v>2611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48.6</v>
      </c>
      <c r="Z6" s="38">
        <f>VLOOKUP(C6,台股行情!A:E,5,FALSE)</f>
        <v>-0.6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2967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0.7</v>
      </c>
      <c r="AA7" s="90">
        <f t="shared" ca="1" si="3"/>
        <v>1034.9359325375096</v>
      </c>
      <c r="AB7" s="103" t="s">
        <v>219</v>
      </c>
      <c r="AC7" s="188" t="s">
        <v>3012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33.4</v>
      </c>
      <c r="Z8" s="38">
        <f>VLOOKUP(C8,台股行情!A:E,5,FALSE)</f>
        <v>-1.3</v>
      </c>
      <c r="AA8" s="90">
        <f t="shared" ca="1" si="3"/>
        <v>3950.8268535757311</v>
      </c>
      <c r="AB8" s="103" t="s">
        <v>219</v>
      </c>
      <c r="AC8" s="188" t="s">
        <v>3012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33.4</v>
      </c>
      <c r="Z9" s="38">
        <f>VLOOKUP(C9,台股行情!A:E,5,FALSE)</f>
        <v>-1.3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845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58.3</v>
      </c>
      <c r="Z10" s="38">
        <f>VLOOKUP(C10,台股行情!A:E,5,FALSE)</f>
        <v>-1.6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729</v>
      </c>
      <c r="Z11" s="38">
        <f>VLOOKUP(C11,台股行情!A:E,5,FALSE)</f>
        <v>-26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20.25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3015</v>
      </c>
      <c r="AC12" s="135" t="s">
        <v>3994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</v>
      </c>
      <c r="Z13" s="38">
        <f>VLOOKUP(C13,台股行情!A:E,5,FALSE)</f>
        <v>0.2</v>
      </c>
      <c r="AA13" s="90">
        <f t="shared" ca="1" si="3"/>
        <v>44795.476946665207</v>
      </c>
      <c r="AB13" s="103" t="s">
        <v>3015</v>
      </c>
      <c r="AC13" s="135" t="s">
        <v>3994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29.15</v>
      </c>
      <c r="Z14" s="38">
        <f>VLOOKUP(C14,台股行情!A:E,5,FALSE)</f>
        <v>0.02</v>
      </c>
      <c r="AA14" s="90">
        <f t="shared" ca="1" si="3"/>
        <v>70930.237651954871</v>
      </c>
      <c r="AB14" s="103" t="s">
        <v>3031</v>
      </c>
      <c r="AC14" s="270" t="s">
        <v>4241</v>
      </c>
      <c r="AD14" s="206" t="s">
        <v>3367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29.15</v>
      </c>
      <c r="Z15" s="38">
        <f>VLOOKUP(C15,台股行情!A:E,5,FALSE)</f>
        <v>0.02</v>
      </c>
      <c r="AA15" s="90">
        <f t="shared" ca="1" si="3"/>
        <v>23715.9128244442</v>
      </c>
      <c r="AB15" s="103" t="s">
        <v>3031</v>
      </c>
      <c r="AC15" s="270" t="s">
        <v>4241</v>
      </c>
      <c r="AD15" s="206" t="s">
        <v>3367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29.15</v>
      </c>
      <c r="Z16" s="38">
        <f>VLOOKUP(C16,台股行情!A:E,5,FALSE)</f>
        <v>0.02</v>
      </c>
      <c r="AA16" s="90">
        <f t="shared" ca="1" si="3"/>
        <v>22017.522724783703</v>
      </c>
      <c r="AB16" s="103" t="s">
        <v>3031</v>
      </c>
      <c r="AC16" s="270" t="s">
        <v>4241</v>
      </c>
      <c r="AD16" s="206" t="s">
        <v>3367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29.15</v>
      </c>
      <c r="Z17" s="38">
        <f>VLOOKUP(C17,台股行情!A:E,5,FALSE)</f>
        <v>0.02</v>
      </c>
      <c r="AA17" s="90">
        <f t="shared" ca="1" si="3"/>
        <v>39718.979301281346</v>
      </c>
      <c r="AB17" s="103" t="s">
        <v>3031</v>
      </c>
      <c r="AC17" s="270" t="s">
        <v>4241</v>
      </c>
      <c r="AD17" s="206" t="s">
        <v>3367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20.2</v>
      </c>
      <c r="Z18" s="38">
        <f>VLOOKUP(C18,台股行情!A:E,5,FALSE)</f>
        <v>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4" t="s">
        <v>4094</v>
      </c>
      <c r="B26" s="415"/>
      <c r="C26" s="415"/>
      <c r="D26" s="238" t="s">
        <v>21</v>
      </c>
      <c r="E26" s="432"/>
      <c r="F26" s="401"/>
      <c r="G26" s="62">
        <f>SUM(G22:G24)</f>
        <v>0</v>
      </c>
      <c r="H26" s="62">
        <f>SUM(H22:H24)</f>
        <v>0</v>
      </c>
      <c r="I26" s="61"/>
      <c r="J26" s="243"/>
      <c r="K26" s="426"/>
      <c r="L26" s="427"/>
      <c r="M26" s="427"/>
      <c r="N26" s="428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6"/>
      <c r="B27" s="417"/>
      <c r="C27" s="417"/>
      <c r="D27" s="238" t="s">
        <v>3013</v>
      </c>
      <c r="E27" s="432"/>
      <c r="F27" s="401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8"/>
      <c r="B28" s="419"/>
      <c r="C28" s="419"/>
      <c r="D28" s="238" t="s">
        <v>20</v>
      </c>
      <c r="E28" s="432"/>
      <c r="F28" s="401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4095</v>
      </c>
      <c r="B30" s="403"/>
      <c r="C30" s="403"/>
      <c r="D30" s="251" t="s">
        <v>4093</v>
      </c>
      <c r="E30" s="402"/>
      <c r="F30" s="403"/>
      <c r="G30" s="251" t="s">
        <v>4087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4088</v>
      </c>
      <c r="P30" s="251" t="s">
        <v>4089</v>
      </c>
      <c r="Q30" s="251" t="s">
        <v>4090</v>
      </c>
      <c r="R30" s="251" t="s">
        <v>4091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4092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6"/>
      <c r="B31" s="406"/>
      <c r="C31" s="406"/>
      <c r="D31" s="264" t="s">
        <v>219</v>
      </c>
      <c r="E31" s="406"/>
      <c r="F31" s="406"/>
      <c r="G31" s="265">
        <f>SUMIF(AB$2:AB$28,D31,G$2:G$28)</f>
        <v>330700</v>
      </c>
      <c r="H31" s="265">
        <f>SUMIF(AB$2:AB$28,D31,H$2:H$28)</f>
        <v>468</v>
      </c>
      <c r="I31" s="40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1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6"/>
      <c r="B32" s="406"/>
      <c r="C32" s="406"/>
      <c r="D32" s="247" t="s">
        <v>4096</v>
      </c>
      <c r="E32" s="406"/>
      <c r="F32" s="406"/>
      <c r="G32" s="265">
        <f>SUMIF(AB$2:AB$28,D32,G$2:G$28)</f>
        <v>62050</v>
      </c>
      <c r="H32" s="265">
        <f>SUMIF(AB$2:AB$28,D32,H$2:H$28)</f>
        <v>87</v>
      </c>
      <c r="I32" s="40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1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7"/>
      <c r="B33" s="407"/>
      <c r="C33" s="407"/>
      <c r="D33" s="269" t="s">
        <v>209</v>
      </c>
      <c r="E33" s="407"/>
      <c r="F33" s="407"/>
      <c r="G33" s="265">
        <f>SUMIF(AB$2:AB$28,D33,G$2:G$28)</f>
        <v>404750</v>
      </c>
      <c r="H33" s="265">
        <f>SUMIF(AB$2:AB$28,D33,H$2:H$28)</f>
        <v>575</v>
      </c>
      <c r="I33" s="40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2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8"/>
      <c r="B34" s="408"/>
      <c r="C34" s="408"/>
      <c r="D34" s="248" t="s">
        <v>4099</v>
      </c>
      <c r="E34" s="408"/>
      <c r="F34" s="408"/>
      <c r="G34" s="252">
        <f>SUMIF(AB$2:AB$28,D34,G$2:G$28)</f>
        <v>123190</v>
      </c>
      <c r="H34" s="252">
        <f>SUMIF(AB$2:AB$28,D34,H$2:H$28)</f>
        <v>173</v>
      </c>
      <c r="I34" s="40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3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50" priority="212">
      <formula>$I20&gt;(TODAY()-30)</formula>
    </cfRule>
    <cfRule type="expression" dxfId="1949" priority="211">
      <formula>$I20&gt;(TODAY()-7)</formula>
    </cfRule>
  </conditionalFormatting>
  <conditionalFormatting sqref="Z2">
    <cfRule type="cellIs" dxfId="1948" priority="19" operator="lessThan">
      <formula>0</formula>
    </cfRule>
    <cfRule type="cellIs" dxfId="1947" priority="20" operator="greaterThan">
      <formula>0</formula>
    </cfRule>
    <cfRule type="containsText" dxfId="1946" priority="46" operator="containsText" text="▼">
      <formula>NOT(ISERROR(SEARCH("▼",Z2)))</formula>
    </cfRule>
    <cfRule type="containsText" dxfId="1945" priority="45" operator="containsText" text="▲">
      <formula>NOT(ISERROR(SEARCH("▲",Z2)))</formula>
    </cfRule>
  </conditionalFormatting>
  <conditionalFormatting sqref="Z2:Z6 Z6:AA6 Z8:AA17">
    <cfRule type="containsText" dxfId="1944" priority="188" operator="containsText" text="▼">
      <formula>NOT(ISERROR(SEARCH("▼",Z2)))</formula>
    </cfRule>
  </conditionalFormatting>
  <conditionalFormatting sqref="Z2:Z17">
    <cfRule type="cellIs" dxfId="1943" priority="199" operator="lessThan">
      <formula>0</formula>
    </cfRule>
    <cfRule type="cellIs" dxfId="1942" priority="200" operator="greaterThan">
      <formula>0</formula>
    </cfRule>
  </conditionalFormatting>
  <conditionalFormatting sqref="Z18">
    <cfRule type="cellIs" dxfId="1941" priority="11" operator="lessThan">
      <formula>0</formula>
    </cfRule>
    <cfRule type="cellIs" dxfId="1940" priority="12" operator="greaterThan">
      <formula>0</formula>
    </cfRule>
  </conditionalFormatting>
  <conditionalFormatting sqref="Z18:Z24">
    <cfRule type="cellIs" dxfId="1939" priority="15" operator="lessThan">
      <formula>0</formula>
    </cfRule>
    <cfRule type="cellIs" dxfId="1938" priority="16" operator="greaterThan">
      <formula>0</formula>
    </cfRule>
  </conditionalFormatting>
  <conditionalFormatting sqref="Z1:AA2">
    <cfRule type="containsText" dxfId="1937" priority="48" operator="containsText" text="▽">
      <formula>NOT(ISERROR(SEARCH("▽",Z1)))</formula>
    </cfRule>
    <cfRule type="containsText" dxfId="1936" priority="47" operator="containsText" text="△">
      <formula>NOT(ISERROR(SEARCH("△",Z1)))</formula>
    </cfRule>
  </conditionalFormatting>
  <conditionalFormatting sqref="Z2:AA17">
    <cfRule type="containsText" dxfId="1935" priority="59" operator="containsText" text="▲">
      <formula>NOT(ISERROR(SEARCH("▲",Z2)))</formula>
    </cfRule>
  </conditionalFormatting>
  <conditionalFormatting sqref="Z6:AA6 Z8:AA17">
    <cfRule type="containsText" dxfId="1934" priority="187" operator="containsText" text="▲">
      <formula>NOT(ISERROR(SEARCH("▲",Z6)))</formula>
    </cfRule>
  </conditionalFormatting>
  <conditionalFormatting sqref="Z7:AA17">
    <cfRule type="containsText" dxfId="1933" priority="60" operator="containsText" text="▼">
      <formula>NOT(ISERROR(SEARCH("▼",Z7)))</formula>
    </cfRule>
  </conditionalFormatting>
  <conditionalFormatting sqref="Z13:AA17">
    <cfRule type="containsText" dxfId="1932" priority="64" operator="containsText" text="▼">
      <formula>NOT(ISERROR(SEARCH("▼",Z13)))</formula>
    </cfRule>
    <cfRule type="containsText" dxfId="1931" priority="63" operator="containsText" text="▲">
      <formula>NOT(ISERROR(SEARCH("▲",Z13)))</formula>
    </cfRule>
  </conditionalFormatting>
  <conditionalFormatting sqref="Z14:AA15">
    <cfRule type="containsText" dxfId="1930" priority="54" operator="containsText" text="▼">
      <formula>NOT(ISERROR(SEARCH("▼",Z14)))</formula>
    </cfRule>
    <cfRule type="containsText" dxfId="1929" priority="53" operator="containsText" text="▲">
      <formula>NOT(ISERROR(SEARCH("▲",Z14)))</formula>
    </cfRule>
  </conditionalFormatting>
  <conditionalFormatting sqref="Z18:AA18">
    <cfRule type="containsText" dxfId="1928" priority="2" operator="containsText" text="▼">
      <formula>NOT(ISERROR(SEARCH("▼",Z18)))</formula>
    </cfRule>
    <cfRule type="containsText" dxfId="1927" priority="3" operator="containsText" text="▲">
      <formula>NOT(ISERROR(SEARCH("▲",Z18)))</formula>
    </cfRule>
    <cfRule type="containsText" dxfId="1926" priority="4" operator="containsText" text="▼">
      <formula>NOT(ISERROR(SEARCH("▼",Z18)))</formula>
    </cfRule>
    <cfRule type="containsText" dxfId="1925" priority="5" operator="containsText" text="▲">
      <formula>NOT(ISERROR(SEARCH("▲",Z18)))</formula>
    </cfRule>
    <cfRule type="containsText" dxfId="1924" priority="6" operator="containsText" text="▼">
      <formula>NOT(ISERROR(SEARCH("▼",Z18)))</formula>
    </cfRule>
    <cfRule type="containsText" dxfId="1923" priority="7" operator="containsText" text="▲">
      <formula>NOT(ISERROR(SEARCH("▲",Z18)))</formula>
    </cfRule>
    <cfRule type="containsText" dxfId="1922" priority="8" operator="containsText" text="▼">
      <formula>NOT(ISERROR(SEARCH("▼",Z18)))</formula>
    </cfRule>
    <cfRule type="containsText" dxfId="1921" priority="9" operator="containsText" text="▲">
      <formula>NOT(ISERROR(SEARCH("▲",Z18)))</formula>
    </cfRule>
    <cfRule type="containsText" dxfId="1920" priority="10" operator="containsText" text="▼">
      <formula>NOT(ISERROR(SEARCH("▼",Z18)))</formula>
    </cfRule>
    <cfRule type="containsText" dxfId="1919" priority="13" operator="containsText" text="▲">
      <formula>NOT(ISERROR(SEARCH("▲",Z18)))</formula>
    </cfRule>
    <cfRule type="containsText" dxfId="1918" priority="14" operator="containsText" text="▼">
      <formula>NOT(ISERROR(SEARCH("▼",Z18)))</formula>
    </cfRule>
    <cfRule type="containsText" dxfId="1917" priority="17" operator="containsText" text="△">
      <formula>NOT(ISERROR(SEARCH("△",Z18)))</formula>
    </cfRule>
    <cfRule type="containsText" dxfId="1916" priority="18" operator="containsText" text="▽">
      <formula>NOT(ISERROR(SEARCH("▽",Z18)))</formula>
    </cfRule>
    <cfRule type="containsText" dxfId="1915" priority="1" operator="containsText" text="▲">
      <formula>NOT(ISERROR(SEARCH("▲",Z18)))</formula>
    </cfRule>
  </conditionalFormatting>
  <conditionalFormatting sqref="Z19:AA19">
    <cfRule type="containsText" dxfId="1914" priority="173" operator="containsText" text="▲">
      <formula>NOT(ISERROR(SEARCH("▲",Z19)))</formula>
    </cfRule>
    <cfRule type="containsText" dxfId="1913" priority="174" operator="containsText" text="▼">
      <formula>NOT(ISERROR(SEARCH("▼",Z19)))</formula>
    </cfRule>
  </conditionalFormatting>
  <conditionalFormatting sqref="Z23:AA23">
    <cfRule type="containsText" dxfId="1912" priority="121" operator="containsText" text="▲">
      <formula>NOT(ISERROR(SEARCH("▲",Z23)))</formula>
    </cfRule>
    <cfRule type="containsText" dxfId="1911" priority="122" operator="containsText" text="▼">
      <formula>NOT(ISERROR(SEARCH("▼",Z23)))</formula>
    </cfRule>
  </conditionalFormatting>
  <conditionalFormatting sqref="Z24:AA29">
    <cfRule type="containsText" dxfId="1910" priority="51" operator="containsText" text="△">
      <formula>NOT(ISERROR(SEARCH("△",Z24)))</formula>
    </cfRule>
    <cfRule type="containsText" dxfId="1909" priority="52" operator="containsText" text="▽">
      <formula>NOT(ISERROR(SEARCH("▽",Z24)))</formula>
    </cfRule>
  </conditionalFormatting>
  <conditionalFormatting sqref="AA2 Z20:AA22 Z35:AA1048576">
    <cfRule type="containsText" dxfId="1908" priority="213" operator="containsText" text="△">
      <formula>NOT(ISERROR(SEARCH("△",Z2)))</formula>
    </cfRule>
    <cfRule type="containsText" dxfId="1907" priority="214" operator="containsText" text="▽">
      <formula>NOT(ISERROR(SEARCH("▽",Z2)))</formula>
    </cfRule>
  </conditionalFormatting>
  <conditionalFormatting sqref="AA2">
    <cfRule type="containsText" dxfId="1906" priority="43" operator="containsText" text="△">
      <formula>NOT(ISERROR(SEARCH("△",AA2)))</formula>
    </cfRule>
    <cfRule type="containsText" dxfId="1905" priority="44" operator="containsText" text="▽">
      <formula>NOT(ISERROR(SEARCH("▽",AA2)))</formula>
    </cfRule>
    <cfRule type="containsText" dxfId="1904" priority="37" operator="containsText" text="△">
      <formula>NOT(ISERROR(SEARCH("△",AA2)))</formula>
    </cfRule>
    <cfRule type="containsText" dxfId="1903" priority="38" operator="containsText" text="▽">
      <formula>NOT(ISERROR(SEARCH("▽",AA2)))</formula>
    </cfRule>
    <cfRule type="containsText" dxfId="1902" priority="32" operator="containsText" text="▽">
      <formula>NOT(ISERROR(SEARCH("▽",AA2)))</formula>
    </cfRule>
    <cfRule type="containsText" dxfId="1901" priority="31" operator="containsText" text="△">
      <formula>NOT(ISERROR(SEARCH("△",AA2)))</formula>
    </cfRule>
    <cfRule type="containsText" dxfId="1900" priority="30" operator="containsText" text="▽">
      <formula>NOT(ISERROR(SEARCH("▽",AA2)))</formula>
    </cfRule>
    <cfRule type="containsText" dxfId="1899" priority="29" operator="containsText" text="△">
      <formula>NOT(ISERROR(SEARCH("△",AA2)))</formula>
    </cfRule>
    <cfRule type="containsText" dxfId="1898" priority="28" operator="containsText" text="▽">
      <formula>NOT(ISERROR(SEARCH("▽",AA2)))</formula>
    </cfRule>
    <cfRule type="containsText" dxfId="1897" priority="27" operator="containsText" text="△">
      <formula>NOT(ISERROR(SEARCH("△",AA2)))</formula>
    </cfRule>
    <cfRule type="containsText" dxfId="1896" priority="25" operator="containsText" text="△">
      <formula>NOT(ISERROR(SEARCH("△",AA2)))</formula>
    </cfRule>
    <cfRule type="containsText" dxfId="1895" priority="24" operator="containsText" text="▽">
      <formula>NOT(ISERROR(SEARCH("▽",AA2)))</formula>
    </cfRule>
    <cfRule type="containsText" dxfId="1894" priority="39" operator="containsText" text="△">
      <formula>NOT(ISERROR(SEARCH("△",AA2)))</formula>
    </cfRule>
    <cfRule type="containsText" dxfId="1893" priority="26" operator="containsText" text="▽">
      <formula>NOT(ISERROR(SEARCH("▽",AA2)))</formula>
    </cfRule>
    <cfRule type="containsText" dxfId="1892" priority="23" operator="containsText" text="△">
      <formula>NOT(ISERROR(SEARCH("△",AA2)))</formula>
    </cfRule>
    <cfRule type="containsText" dxfId="1891" priority="22" operator="containsText" text="▽">
      <formula>NOT(ISERROR(SEARCH("▽",AA2)))</formula>
    </cfRule>
    <cfRule type="containsText" dxfId="1890" priority="21" operator="containsText" text="△">
      <formula>NOT(ISERROR(SEARCH("△",AA2)))</formula>
    </cfRule>
    <cfRule type="containsText" dxfId="1889" priority="40" operator="containsText" text="▽">
      <formula>NOT(ISERROR(SEARCH("▽",AA2)))</formula>
    </cfRule>
    <cfRule type="containsText" dxfId="1888" priority="41" operator="containsText" text="△">
      <formula>NOT(ISERROR(SEARCH("△",AA2)))</formula>
    </cfRule>
    <cfRule type="containsText" dxfId="1887" priority="42" operator="containsText" text="▽">
      <formula>NOT(ISERROR(SEARCH("▽",AA2)))</formula>
    </cfRule>
  </conditionalFormatting>
  <conditionalFormatting sqref="AA2:AA6">
    <cfRule type="containsText" dxfId="1886" priority="66" operator="containsText" text="▼">
      <formula>NOT(ISERROR(SEARCH("▼",AA2)))</formula>
    </cfRule>
  </conditionalFormatting>
  <conditionalFormatting sqref="AA30:AA34">
    <cfRule type="containsText" dxfId="1885" priority="49" operator="containsText" text="△">
      <formula>NOT(ISERROR(SEARCH("△",AA30)))</formula>
    </cfRule>
    <cfRule type="containsText" dxfId="188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4088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697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3390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697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3390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1196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402</v>
      </c>
      <c r="Z4" s="38">
        <f>VLOOKUP(C4,台股行情!A:E,5,FALSE)</f>
        <v>2</v>
      </c>
      <c r="AA4" s="90">
        <f t="shared" ca="1" si="8"/>
        <v>2486.0365786879861</v>
      </c>
      <c r="AB4" s="103" t="s">
        <v>219</v>
      </c>
      <c r="AC4" s="135" t="s">
        <v>1512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985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64.099999999999994</v>
      </c>
      <c r="Z5" s="38">
        <f>VLOOKUP(C5,台股行情!A:E,5,FALSE)</f>
        <v>-0.1</v>
      </c>
      <c r="AA5" s="90">
        <f t="shared" ca="1" si="8"/>
        <v>5634.6511882597742</v>
      </c>
      <c r="AB5" s="103" t="s">
        <v>219</v>
      </c>
      <c r="AC5" s="207" t="s">
        <v>3390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12.65</v>
      </c>
      <c r="Z6" s="38">
        <f>VLOOKUP(C6,台股行情!A:E,5,FALSE)</f>
        <v>0.6</v>
      </c>
      <c r="AA6" s="90">
        <f t="shared" ca="1" si="8"/>
        <v>0</v>
      </c>
      <c r="AB6" s="103" t="s">
        <v>1516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1620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82.6</v>
      </c>
      <c r="Z7" s="38">
        <f>VLOOKUP(C7,台股行情!A:E,5,FALSE)</f>
        <v>-0.5</v>
      </c>
      <c r="AA7" s="90">
        <f t="shared" ca="1" si="8"/>
        <v>0</v>
      </c>
      <c r="AB7" s="103" t="s">
        <v>1516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61.7</v>
      </c>
      <c r="Z8" s="38">
        <f>VLOOKUP(C8,台股行情!A:E,5,FALSE)</f>
        <v>-1.1000000000000001</v>
      </c>
      <c r="AA8" s="90">
        <f t="shared" ca="1" si="8"/>
        <v>0</v>
      </c>
      <c r="AB8" s="103" t="s">
        <v>1516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886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3425</v>
      </c>
      <c r="Z9" s="38">
        <f>VLOOKUP(C9,台股行情!A:E,5,FALSE)</f>
        <v>65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3390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80.8</v>
      </c>
      <c r="Z11" s="38">
        <f>VLOOKUP(C11,台股行情!A:E,5,FALSE)</f>
        <v>0.2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677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32.35</v>
      </c>
      <c r="Z12" s="38">
        <f>VLOOKUP(C12,台股行情!A:E,5,FALSE)</f>
        <v>0.55000000000000004</v>
      </c>
      <c r="AA12" s="90">
        <f t="shared" ca="1" si="8"/>
        <v>326.77143795860258</v>
      </c>
      <c r="AB12" s="103" t="s">
        <v>219</v>
      </c>
      <c r="AC12" s="207" t="s">
        <v>3390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677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32.35</v>
      </c>
      <c r="Z13" s="38">
        <f>VLOOKUP(C13,台股行情!A:E,5,FALSE)</f>
        <v>0.55000000000000004</v>
      </c>
      <c r="AA13" s="90">
        <f t="shared" ca="1" si="8"/>
        <v>513.49797393494691</v>
      </c>
      <c r="AB13" s="103" t="s">
        <v>219</v>
      </c>
      <c r="AC13" s="207" t="s">
        <v>3390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1355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20.7</v>
      </c>
      <c r="Z14" s="38">
        <f>VLOOKUP(C14,台股行情!A:E,5,FALSE)</f>
        <v>-0.15</v>
      </c>
      <c r="AA14" s="90">
        <f t="shared" ca="1" si="8"/>
        <v>65.436425364144128</v>
      </c>
      <c r="AB14" s="184" t="s">
        <v>169</v>
      </c>
      <c r="AC14" s="184" t="s">
        <v>2095</v>
      </c>
      <c r="AD14" s="185" t="s">
        <v>2096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1307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24.5</v>
      </c>
      <c r="Z15" s="38">
        <f>VLOOKUP(C15,台股行情!A:E,5,FALSE)</f>
        <v>-0.85</v>
      </c>
      <c r="AA15" s="90">
        <f t="shared" ca="1" si="8"/>
        <v>4821.487241266017</v>
      </c>
      <c r="AB15" s="103" t="s">
        <v>219</v>
      </c>
      <c r="AC15" s="103" t="s">
        <v>2117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1307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24.5</v>
      </c>
      <c r="Z16" s="38">
        <f>VLOOKUP(C16,台股行情!A:E,5,FALSE)</f>
        <v>-0.85</v>
      </c>
      <c r="AA16" s="90">
        <f t="shared" ca="1" si="8"/>
        <v>4982.2034826415511</v>
      </c>
      <c r="AB16" s="103" t="s">
        <v>219</v>
      </c>
      <c r="AC16" s="103" t="s">
        <v>2117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91.2</v>
      </c>
      <c r="Z17" s="38">
        <f>VLOOKUP(C17,台股行情!A:E,5,FALSE)</f>
        <v>-1.9</v>
      </c>
      <c r="AA17" s="90">
        <f t="shared" ca="1" si="8"/>
        <v>19362.61088599277</v>
      </c>
      <c r="AB17" s="103" t="s">
        <v>219</v>
      </c>
      <c r="AC17" s="103" t="s">
        <v>2120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1040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87.7</v>
      </c>
      <c r="Z18" s="38">
        <f>VLOOKUP(C18,台股行情!A:E,5,FALSE)</f>
        <v>-3.2</v>
      </c>
      <c r="AA18" s="90">
        <f t="shared" ca="1" si="8"/>
        <v>28644.726755010404</v>
      </c>
      <c r="AB18" s="103" t="s">
        <v>219</v>
      </c>
      <c r="AC18" s="135" t="s">
        <v>2121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2163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1165</v>
      </c>
      <c r="Z19" s="38">
        <f>VLOOKUP(C19,台股行情!A:E,5,FALSE)</f>
        <v>35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1370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43.5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1518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669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171</v>
      </c>
      <c r="Z21" s="38">
        <f>VLOOKUP(C21,台股行情!A:E,5,FALSE)</f>
        <v>-1.5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2806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2165</v>
      </c>
      <c r="Z22" s="38">
        <f>VLOOKUP(C22,台股行情!A:E,5,FALSE)</f>
        <v>15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861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35.299999999999997</v>
      </c>
      <c r="Z23" s="38">
        <f>VLOOKUP(C23,台股行情!A:E,5,FALSE)</f>
        <v>0.9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25.55</v>
      </c>
      <c r="Z24" s="38">
        <f>VLOOKUP(C24,台股行情!A:E,5,FALSE)</f>
        <v>0.3</v>
      </c>
      <c r="AA24" s="90">
        <f t="shared" ca="1" si="8"/>
        <v>72690.833424597527</v>
      </c>
      <c r="AB24" s="184" t="s">
        <v>169</v>
      </c>
      <c r="AC24" s="135" t="s">
        <v>3994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1355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20.7</v>
      </c>
      <c r="Z25" s="38">
        <f>VLOOKUP(C25,台股行情!A:E,5,FALSE)</f>
        <v>-0.15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63.8</v>
      </c>
      <c r="Z26" s="38">
        <f>VLOOKUP(C26,台股行情!A:E,5,FALSE)</f>
        <v>-0.7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4" t="s">
        <v>4094</v>
      </c>
      <c r="B33" s="415"/>
      <c r="C33" s="415"/>
      <c r="D33" s="244" t="s">
        <v>21</v>
      </c>
      <c r="E33" s="432"/>
      <c r="F33" s="401"/>
      <c r="G33" s="62">
        <f>SUM(G30:G31)</f>
        <v>0</v>
      </c>
      <c r="H33" s="62">
        <f>SUM(H30:H31)</f>
        <v>0</v>
      </c>
      <c r="I33" s="61"/>
      <c r="J33" s="61"/>
      <c r="K33" s="426"/>
      <c r="L33" s="427"/>
      <c r="M33" s="427"/>
      <c r="N33" s="428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6"/>
      <c r="B34" s="417"/>
      <c r="C34" s="417"/>
      <c r="D34" s="244" t="s">
        <v>2068</v>
      </c>
      <c r="E34" s="432"/>
      <c r="F34" s="401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8"/>
      <c r="B35" s="419"/>
      <c r="C35" s="419"/>
      <c r="D35" s="244" t="s">
        <v>20</v>
      </c>
      <c r="E35" s="432"/>
      <c r="F35" s="401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4095</v>
      </c>
      <c r="B37" s="403"/>
      <c r="C37" s="403"/>
      <c r="D37" s="251" t="s">
        <v>4093</v>
      </c>
      <c r="E37" s="402"/>
      <c r="F37" s="403"/>
      <c r="G37" s="251" t="s">
        <v>4087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4088</v>
      </c>
      <c r="P37" s="251" t="s">
        <v>4089</v>
      </c>
      <c r="Q37" s="251" t="s">
        <v>4090</v>
      </c>
      <c r="R37" s="251" t="s">
        <v>4091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4092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6"/>
      <c r="B38" s="406"/>
      <c r="C38" s="406"/>
      <c r="D38" s="264" t="s">
        <v>34</v>
      </c>
      <c r="E38" s="406"/>
      <c r="F38" s="406"/>
      <c r="G38" s="265">
        <f>SUMIF(AB$2:AB$32,D38,G$2:G$32)</f>
        <v>562600</v>
      </c>
      <c r="H38" s="265">
        <f>SUMIF(AB$2:AB$32,D38,H$2:H$32)</f>
        <v>797</v>
      </c>
      <c r="I38" s="40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1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6"/>
      <c r="B39" s="406"/>
      <c r="C39" s="406"/>
      <c r="D39" s="247" t="s">
        <v>169</v>
      </c>
      <c r="E39" s="406"/>
      <c r="F39" s="406"/>
      <c r="G39" s="265">
        <f>SUMIF(AB$2:AB$32,D39,G$2:G$32)</f>
        <v>194000</v>
      </c>
      <c r="H39" s="265">
        <f>SUMIF(AB$2:AB$32,D39,H$2:H$32)</f>
        <v>287</v>
      </c>
      <c r="I39" s="40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1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7"/>
      <c r="B40" s="407"/>
      <c r="C40" s="407"/>
      <c r="D40" s="269" t="s">
        <v>209</v>
      </c>
      <c r="E40" s="407"/>
      <c r="F40" s="407"/>
      <c r="G40" s="265">
        <f>SUMIF(AB$2:AB$32,D40,G$2:G$32)</f>
        <v>877600</v>
      </c>
      <c r="H40" s="265">
        <f>SUMIF(AB$2:AB$32,D40,H$2:H$32)</f>
        <v>1248</v>
      </c>
      <c r="I40" s="40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2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8"/>
      <c r="B41" s="408"/>
      <c r="C41" s="408"/>
      <c r="D41" s="248" t="s">
        <v>414</v>
      </c>
      <c r="E41" s="408"/>
      <c r="F41" s="408"/>
      <c r="G41" s="252">
        <f>SUMIF(AB$2:AB$32,D41,G$2:G$32)</f>
        <v>195600</v>
      </c>
      <c r="H41" s="252">
        <f>SUMIF(AB$2:AB$32,D41,H$2:H$32)</f>
        <v>277</v>
      </c>
      <c r="I41" s="40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3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83" priority="476">
      <formula>$I27&gt;(TODAY()-30)</formula>
    </cfRule>
    <cfRule type="expression" dxfId="1882" priority="475">
      <formula>$I27&gt;(TODAY()-7)</formula>
    </cfRule>
  </conditionalFormatting>
  <conditionalFormatting sqref="Z2:Z5">
    <cfRule type="cellIs" dxfId="1881" priority="109" operator="lessThan">
      <formula>0</formula>
    </cfRule>
    <cfRule type="cellIs" dxfId="1880" priority="110" operator="greaterThan">
      <formula>0</formula>
    </cfRule>
  </conditionalFormatting>
  <conditionalFormatting sqref="Z5">
    <cfRule type="cellIs" dxfId="1879" priority="114" operator="greaterThan">
      <formula>0</formula>
    </cfRule>
    <cfRule type="cellIs" dxfId="1878" priority="113" operator="lessThan">
      <formula>0</formula>
    </cfRule>
  </conditionalFormatting>
  <conditionalFormatting sqref="Z8:Z14 Z16:Z25">
    <cfRule type="cellIs" dxfId="1877" priority="146" operator="greaterThan">
      <formula>0</formula>
    </cfRule>
    <cfRule type="cellIs" dxfId="1876" priority="145" operator="lessThan">
      <formula>0</formula>
    </cfRule>
  </conditionalFormatting>
  <conditionalFormatting sqref="Z11:Z14 Z16:Z25">
    <cfRule type="cellIs" dxfId="1875" priority="129" operator="lessThan">
      <formula>0</formula>
    </cfRule>
    <cfRule type="cellIs" dxfId="1874" priority="130" operator="greaterThan">
      <formula>0</formula>
    </cfRule>
  </conditionalFormatting>
  <conditionalFormatting sqref="Z12:Z15">
    <cfRule type="cellIs" dxfId="1873" priority="77" operator="lessThan">
      <formula>0</formula>
    </cfRule>
    <cfRule type="cellIs" dxfId="1872" priority="78" operator="greaterThan">
      <formula>0</formula>
    </cfRule>
  </conditionalFormatting>
  <conditionalFormatting sqref="Z13:Z14 Z16:Z25">
    <cfRule type="cellIs" dxfId="1871" priority="177" operator="lessThan">
      <formula>0</formula>
    </cfRule>
    <cfRule type="cellIs" dxfId="1870" priority="178" operator="greaterThan">
      <formula>0</formula>
    </cfRule>
  </conditionalFormatting>
  <conditionalFormatting sqref="Z15">
    <cfRule type="cellIs" dxfId="1869" priority="69" operator="lessThan">
      <formula>0</formula>
    </cfRule>
    <cfRule type="cellIs" dxfId="1868" priority="62" operator="greaterThan">
      <formula>0</formula>
    </cfRule>
    <cfRule type="cellIs" dxfId="1867" priority="70" operator="greaterThan">
      <formula>0</formula>
    </cfRule>
    <cfRule type="cellIs" dxfId="1866" priority="73" operator="lessThan">
      <formula>0</formula>
    </cfRule>
    <cfRule type="cellIs" dxfId="1865" priority="74" operator="greaterThan">
      <formula>0</formula>
    </cfRule>
    <cfRule type="cellIs" dxfId="1864" priority="47" operator="lessThan">
      <formula>0</formula>
    </cfRule>
    <cfRule type="cellIs" dxfId="1863" priority="48" operator="greaterThan">
      <formula>0</formula>
    </cfRule>
    <cfRule type="cellIs" dxfId="1862" priority="53" operator="lessThan">
      <formula>0</formula>
    </cfRule>
    <cfRule type="cellIs" dxfId="1861" priority="54" operator="greaterThan">
      <formula>0</formula>
    </cfRule>
    <cfRule type="cellIs" dxfId="1860" priority="57" operator="lessThan">
      <formula>0</formula>
    </cfRule>
    <cfRule type="cellIs" dxfId="1859" priority="58" operator="greaterThan">
      <formula>0</formula>
    </cfRule>
    <cfRule type="cellIs" dxfId="1858" priority="61" operator="lessThan">
      <formula>0</formula>
    </cfRule>
    <cfRule type="cellIs" dxfId="1857" priority="65" operator="lessThan">
      <formula>0</formula>
    </cfRule>
    <cfRule type="cellIs" dxfId="1856" priority="66" operator="greaterThan">
      <formula>0</formula>
    </cfRule>
  </conditionalFormatting>
  <conditionalFormatting sqref="Z16:Z25 Z6:Z14">
    <cfRule type="cellIs" dxfId="1855" priority="137" operator="lessThan">
      <formula>0</formula>
    </cfRule>
    <cfRule type="cellIs" dxfId="1854" priority="138" operator="greaterThan">
      <formula>0</formula>
    </cfRule>
  </conditionalFormatting>
  <conditionalFormatting sqref="Z16:Z25 Z9:Z14">
    <cfRule type="cellIs" dxfId="1853" priority="126" operator="greaterThan">
      <formula>0</formula>
    </cfRule>
    <cfRule type="cellIs" dxfId="1852" priority="125" operator="lessThan">
      <formula>0</formula>
    </cfRule>
  </conditionalFormatting>
  <conditionalFormatting sqref="Z16:Z25 Z10:Z14">
    <cfRule type="cellIs" dxfId="1851" priority="165" operator="lessThan">
      <formula>0</formula>
    </cfRule>
    <cfRule type="cellIs" dxfId="1850" priority="166" operator="greaterThan">
      <formula>0</formula>
    </cfRule>
  </conditionalFormatting>
  <conditionalFormatting sqref="Z16:Z25 Z14">
    <cfRule type="cellIs" dxfId="1849" priority="99" operator="lessThan">
      <formula>0</formula>
    </cfRule>
    <cfRule type="cellIs" dxfId="1848" priority="100" operator="greaterThan">
      <formula>0</formula>
    </cfRule>
  </conditionalFormatting>
  <conditionalFormatting sqref="Z16:Z25">
    <cfRule type="cellIs" dxfId="1847" priority="85" operator="lessThan">
      <formula>0</formula>
    </cfRule>
    <cfRule type="cellIs" dxfId="1846" priority="86" operator="greaterThan">
      <formula>0</formula>
    </cfRule>
  </conditionalFormatting>
  <conditionalFormatting sqref="Z19:Z25">
    <cfRule type="cellIs" dxfId="1845" priority="161" operator="lessThan">
      <formula>0</formula>
    </cfRule>
    <cfRule type="cellIs" dxfId="1844" priority="162" operator="greaterThan">
      <formula>0</formula>
    </cfRule>
  </conditionalFormatting>
  <conditionalFormatting sqref="Z20:Z25">
    <cfRule type="cellIs" dxfId="1843" priority="134" operator="greaterThan">
      <formula>0</formula>
    </cfRule>
    <cfRule type="cellIs" dxfId="1842" priority="133" operator="lessThan">
      <formula>0</formula>
    </cfRule>
  </conditionalFormatting>
  <conditionalFormatting sqref="Z21:Z25">
    <cfRule type="cellIs" dxfId="1841" priority="106" operator="greaterThan">
      <formula>0</formula>
    </cfRule>
    <cfRule type="cellIs" dxfId="1840" priority="105" operator="lessThan">
      <formula>0</formula>
    </cfRule>
  </conditionalFormatting>
  <conditionalFormatting sqref="Z23:Z25">
    <cfRule type="cellIs" dxfId="1839" priority="95" operator="lessThan">
      <formula>0</formula>
    </cfRule>
    <cfRule type="cellIs" dxfId="1838" priority="96" operator="greaterThan">
      <formula>0</formula>
    </cfRule>
  </conditionalFormatting>
  <conditionalFormatting sqref="Z24:Z25">
    <cfRule type="cellIs" dxfId="1837" priority="81" operator="lessThan">
      <formula>0</formula>
    </cfRule>
    <cfRule type="cellIs" dxfId="1836" priority="82" operator="greaterThan">
      <formula>0</formula>
    </cfRule>
  </conditionalFormatting>
  <conditionalFormatting sqref="Z26">
    <cfRule type="containsText" dxfId="1835" priority="3" operator="containsText" text="▲">
      <formula>NOT(ISERROR(SEARCH("▲",Z26)))</formula>
    </cfRule>
    <cfRule type="containsText" dxfId="1834" priority="4" operator="containsText" text="▼">
      <formula>NOT(ISERROR(SEARCH("▼",Z26)))</formula>
    </cfRule>
  </conditionalFormatting>
  <conditionalFormatting sqref="Z26:Z32">
    <cfRule type="cellIs" dxfId="1833" priority="2" operator="greaterThan">
      <formula>0</formula>
    </cfRule>
    <cfRule type="cellIs" dxfId="1832" priority="1" operator="lessThan">
      <formula>0</formula>
    </cfRule>
  </conditionalFormatting>
  <conditionalFormatting sqref="Z1:AA3">
    <cfRule type="containsText" dxfId="1831" priority="122" operator="containsText" text="▽">
      <formula>NOT(ISERROR(SEARCH("▽",Z1)))</formula>
    </cfRule>
    <cfRule type="containsText" dxfId="1830" priority="121" operator="containsText" text="△">
      <formula>NOT(ISERROR(SEARCH("△",Z1)))</formula>
    </cfRule>
  </conditionalFormatting>
  <conditionalFormatting sqref="Z2:AA5">
    <cfRule type="containsText" dxfId="1829" priority="112" operator="containsText" text="▼">
      <formula>NOT(ISERROR(SEARCH("▼",Z2)))</formula>
    </cfRule>
    <cfRule type="containsText" dxfId="1828" priority="111" operator="containsText" text="▲">
      <formula>NOT(ISERROR(SEARCH("▲",Z2)))</formula>
    </cfRule>
  </conditionalFormatting>
  <conditionalFormatting sqref="Z5:AA5">
    <cfRule type="containsText" dxfId="1827" priority="115" operator="containsText" text="▲">
      <formula>NOT(ISERROR(SEARCH("▲",Z5)))</formula>
    </cfRule>
    <cfRule type="containsText" dxfId="1826" priority="116" operator="containsText" text="▼">
      <formula>NOT(ISERROR(SEARCH("▼",Z5)))</formula>
    </cfRule>
  </conditionalFormatting>
  <conditionalFormatting sqref="Z6:AA6">
    <cfRule type="containsText" dxfId="1825" priority="154" operator="containsText" text="▽">
      <formula>NOT(ISERROR(SEARCH("▽",Z6)))</formula>
    </cfRule>
    <cfRule type="containsText" dxfId="1824" priority="153" operator="containsText" text="△">
      <formula>NOT(ISERROR(SEARCH("△",Z6)))</formula>
    </cfRule>
  </conditionalFormatting>
  <conditionalFormatting sqref="Z6:AA14 Z16:AA25 AA26">
    <cfRule type="containsText" dxfId="1823" priority="140" operator="containsText" text="▼">
      <formula>NOT(ISERROR(SEARCH("▼",Z6)))</formula>
    </cfRule>
    <cfRule type="containsText" dxfId="1822" priority="139" operator="containsText" text="▲">
      <formula>NOT(ISERROR(SEARCH("▲",Z6)))</formula>
    </cfRule>
  </conditionalFormatting>
  <conditionalFormatting sqref="Z8:AA14 Z16:AA25 AA26">
    <cfRule type="containsText" dxfId="1821" priority="148" operator="containsText" text="▼">
      <formula>NOT(ISERROR(SEARCH("▼",Z8)))</formula>
    </cfRule>
    <cfRule type="containsText" dxfId="1820" priority="147" operator="containsText" text="▲">
      <formula>NOT(ISERROR(SEARCH("▲",Z8)))</formula>
    </cfRule>
  </conditionalFormatting>
  <conditionalFormatting sqref="Z9:AA14 Z16:AA25 AA26">
    <cfRule type="containsText" dxfId="1819" priority="127" operator="containsText" text="▲">
      <formula>NOT(ISERROR(SEARCH("▲",Z9)))</formula>
    </cfRule>
    <cfRule type="containsText" dxfId="1818" priority="128" operator="containsText" text="▼">
      <formula>NOT(ISERROR(SEARCH("▼",Z9)))</formula>
    </cfRule>
  </conditionalFormatting>
  <conditionalFormatting sqref="Z10:AA14 Z16:AA25 AA26">
    <cfRule type="containsText" dxfId="1817" priority="167" operator="containsText" text="▲">
      <formula>NOT(ISERROR(SEARCH("▲",Z10)))</formula>
    </cfRule>
    <cfRule type="containsText" dxfId="1816" priority="168" operator="containsText" text="▼">
      <formula>NOT(ISERROR(SEARCH("▼",Z10)))</formula>
    </cfRule>
  </conditionalFormatting>
  <conditionalFormatting sqref="Z11:AA14 Z16:AA25 AA26">
    <cfRule type="containsText" dxfId="1815" priority="131" operator="containsText" text="▲">
      <formula>NOT(ISERROR(SEARCH("▲",Z11)))</formula>
    </cfRule>
    <cfRule type="containsText" dxfId="1814" priority="132" operator="containsText" text="▼">
      <formula>NOT(ISERROR(SEARCH("▼",Z11)))</formula>
    </cfRule>
  </conditionalFormatting>
  <conditionalFormatting sqref="Z12:AA15">
    <cfRule type="containsText" dxfId="1813" priority="79" operator="containsText" text="▲">
      <formula>NOT(ISERROR(SEARCH("▲",Z12)))</formula>
    </cfRule>
    <cfRule type="containsText" dxfId="1812" priority="80" operator="containsText" text="▼">
      <formula>NOT(ISERROR(SEARCH("▼",Z12)))</formula>
    </cfRule>
  </conditionalFormatting>
  <conditionalFormatting sqref="Z13:AA14 Z16:AA25 AA26">
    <cfRule type="containsText" dxfId="1811" priority="291" operator="containsText" text="▲">
      <formula>NOT(ISERROR(SEARCH("▲",Z13)))</formula>
    </cfRule>
    <cfRule type="containsText" dxfId="1810" priority="292" operator="containsText" text="▼">
      <formula>NOT(ISERROR(SEARCH("▼",Z13)))</formula>
    </cfRule>
  </conditionalFormatting>
  <conditionalFormatting sqref="Z14:AA14 Z16:AA25 AA26">
    <cfRule type="containsText" dxfId="1809" priority="102" operator="containsText" text="▼">
      <formula>NOT(ISERROR(SEARCH("▼",Z14)))</formula>
    </cfRule>
    <cfRule type="containsText" dxfId="1808" priority="101" operator="containsText" text="▲">
      <formula>NOT(ISERROR(SEARCH("▲",Z14)))</formula>
    </cfRule>
  </conditionalFormatting>
  <conditionalFormatting sqref="Z15:AA15">
    <cfRule type="containsText" dxfId="1807" priority="55" operator="containsText" text="▲">
      <formula>NOT(ISERROR(SEARCH("▲",Z15)))</formula>
    </cfRule>
    <cfRule type="containsText" dxfId="1806" priority="71" operator="containsText" text="▲">
      <formula>NOT(ISERROR(SEARCH("▲",Z15)))</formula>
    </cfRule>
    <cfRule type="containsText" dxfId="1805" priority="50" operator="containsText" text="▼">
      <formula>NOT(ISERROR(SEARCH("▼",Z15)))</formula>
    </cfRule>
    <cfRule type="containsText" dxfId="1804" priority="76" operator="containsText" text="▼">
      <formula>NOT(ISERROR(SEARCH("▼",Z15)))</formula>
    </cfRule>
    <cfRule type="containsText" dxfId="1803" priority="63" operator="containsText" text="▲">
      <formula>NOT(ISERROR(SEARCH("▲",Z15)))</formula>
    </cfRule>
    <cfRule type="containsText" dxfId="1802" priority="75" operator="containsText" text="▲">
      <formula>NOT(ISERROR(SEARCH("▲",Z15)))</formula>
    </cfRule>
    <cfRule type="containsText" dxfId="1801" priority="72" operator="containsText" text="▼">
      <formula>NOT(ISERROR(SEARCH("▼",Z15)))</formula>
    </cfRule>
    <cfRule type="containsText" dxfId="1800" priority="64" operator="containsText" text="▼">
      <formula>NOT(ISERROR(SEARCH("▼",Z15)))</formula>
    </cfRule>
    <cfRule type="containsText" dxfId="1799" priority="60" operator="containsText" text="▼">
      <formula>NOT(ISERROR(SEARCH("▼",Z15)))</formula>
    </cfRule>
    <cfRule type="containsText" dxfId="1798" priority="59" operator="containsText" text="▲">
      <formula>NOT(ISERROR(SEARCH("▲",Z15)))</formula>
    </cfRule>
    <cfRule type="containsText" dxfId="1797" priority="49" operator="containsText" text="▲">
      <formula>NOT(ISERROR(SEARCH("▲",Z15)))</formula>
    </cfRule>
    <cfRule type="containsText" dxfId="1796" priority="67" operator="containsText" text="▲">
      <formula>NOT(ISERROR(SEARCH("▲",Z15)))</formula>
    </cfRule>
    <cfRule type="containsText" dxfId="1795" priority="56" operator="containsText" text="▼">
      <formula>NOT(ISERROR(SEARCH("▼",Z15)))</formula>
    </cfRule>
    <cfRule type="containsText" dxfId="1794" priority="52" operator="containsText" text="▼">
      <formula>NOT(ISERROR(SEARCH("▼",Z15)))</formula>
    </cfRule>
    <cfRule type="containsText" dxfId="1793" priority="68" operator="containsText" text="▼">
      <formula>NOT(ISERROR(SEARCH("▼",Z15)))</formula>
    </cfRule>
    <cfRule type="containsText" dxfId="1792" priority="51" operator="containsText" text="▲">
      <formula>NOT(ISERROR(SEARCH("▲",Z15)))</formula>
    </cfRule>
  </conditionalFormatting>
  <conditionalFormatting sqref="Z16:AA25 AA26">
    <cfRule type="containsText" dxfId="1791" priority="92" operator="containsText" text="▼">
      <formula>NOT(ISERROR(SEARCH("▼",Z16)))</formula>
    </cfRule>
    <cfRule type="containsText" dxfId="1790" priority="93" operator="containsText" text="▲">
      <formula>NOT(ISERROR(SEARCH("▲",Z16)))</formula>
    </cfRule>
    <cfRule type="containsText" dxfId="1789" priority="94" operator="containsText" text="▼">
      <formula>NOT(ISERROR(SEARCH("▼",Z16)))</formula>
    </cfRule>
  </conditionalFormatting>
  <conditionalFormatting sqref="Z17:AA25 AA26">
    <cfRule type="containsText" dxfId="1788" priority="124" operator="containsText" text="▼">
      <formula>NOT(ISERROR(SEARCH("▼",Z17)))</formula>
    </cfRule>
    <cfRule type="containsText" dxfId="1787" priority="123" operator="containsText" text="▲">
      <formula>NOT(ISERROR(SEARCH("▲",Z17)))</formula>
    </cfRule>
  </conditionalFormatting>
  <conditionalFormatting sqref="Z19:AA25 AA26">
    <cfRule type="containsText" dxfId="1786" priority="163" operator="containsText" text="▲">
      <formula>NOT(ISERROR(SEARCH("▲",Z19)))</formula>
    </cfRule>
    <cfRule type="containsText" dxfId="1785" priority="164" operator="containsText" text="▼">
      <formula>NOT(ISERROR(SEARCH("▼",Z19)))</formula>
    </cfRule>
  </conditionalFormatting>
  <conditionalFormatting sqref="Z20:AA25 AA26">
    <cfRule type="containsText" dxfId="1784" priority="135" operator="containsText" text="▲">
      <formula>NOT(ISERROR(SEARCH("▲",Z20)))</formula>
    </cfRule>
    <cfRule type="containsText" dxfId="1783" priority="136" operator="containsText" text="▼">
      <formula>NOT(ISERROR(SEARCH("▼",Z20)))</formula>
    </cfRule>
  </conditionalFormatting>
  <conditionalFormatting sqref="Z21:AA25 AA26">
    <cfRule type="containsText" dxfId="1782" priority="108" operator="containsText" text="▼">
      <formula>NOT(ISERROR(SEARCH("▼",Z21)))</formula>
    </cfRule>
    <cfRule type="containsText" dxfId="1781" priority="107" operator="containsText" text="▲">
      <formula>NOT(ISERROR(SEARCH("▲",Z21)))</formula>
    </cfRule>
  </conditionalFormatting>
  <conditionalFormatting sqref="Z22:AA25 AA26">
    <cfRule type="containsText" dxfId="1780" priority="103" operator="containsText" text="▲">
      <formula>NOT(ISERROR(SEARCH("▲",Z22)))</formula>
    </cfRule>
    <cfRule type="containsText" dxfId="1779" priority="104" operator="containsText" text="▼">
      <formula>NOT(ISERROR(SEARCH("▼",Z22)))</formula>
    </cfRule>
  </conditionalFormatting>
  <conditionalFormatting sqref="Z23:AA25 AA26">
    <cfRule type="containsText" dxfId="1778" priority="97" operator="containsText" text="▲">
      <formula>NOT(ISERROR(SEARCH("▲",Z23)))</formula>
    </cfRule>
    <cfRule type="containsText" dxfId="1777" priority="98" operator="containsText" text="▼">
      <formula>NOT(ISERROR(SEARCH("▼",Z23)))</formula>
    </cfRule>
  </conditionalFormatting>
  <conditionalFormatting sqref="Z24:AA25">
    <cfRule type="containsText" dxfId="1776" priority="84" operator="containsText" text="▼">
      <formula>NOT(ISERROR(SEARCH("▼",Z24)))</formula>
    </cfRule>
    <cfRule type="containsText" dxfId="1775" priority="83" operator="containsText" text="▲">
      <formula>NOT(ISERROR(SEARCH("▲",Z24)))</formula>
    </cfRule>
  </conditionalFormatting>
  <conditionalFormatting sqref="Z25:AA26">
    <cfRule type="containsText" dxfId="1774" priority="5" operator="containsText" text="▲">
      <formula>NOT(ISERROR(SEARCH("▲",Z25)))</formula>
    </cfRule>
    <cfRule type="containsText" dxfId="1773" priority="6" operator="containsText" text="▼">
      <formula>NOT(ISERROR(SEARCH("▼",Z25)))</formula>
    </cfRule>
  </conditionalFormatting>
  <conditionalFormatting sqref="Z27:AA36 Z42:AA1048576">
    <cfRule type="containsText" dxfId="1772" priority="477" operator="containsText" text="△">
      <formula>NOT(ISERROR(SEARCH("△",Z27)))</formula>
    </cfRule>
    <cfRule type="containsText" dxfId="1771" priority="478" operator="containsText" text="▽">
      <formula>NOT(ISERROR(SEARCH("▽",Z27)))</formula>
    </cfRule>
  </conditionalFormatting>
  <conditionalFormatting sqref="AA26 Z16:AA25">
    <cfRule type="containsText" dxfId="1770" priority="91" operator="containsText" text="▲">
      <formula>NOT(ISERROR(SEARCH("▲",Z16)))</formula>
    </cfRule>
  </conditionalFormatting>
  <conditionalFormatting sqref="AA26">
    <cfRule type="containsText" dxfId="1769" priority="87" operator="containsText" text="▲">
      <formula>NOT(ISERROR(SEARCH("▲",AA26)))</formula>
    </cfRule>
    <cfRule type="containsText" dxfId="1768" priority="88" operator="containsText" text="▼">
      <formula>NOT(ISERROR(SEARCH("▼",AA26)))</formula>
    </cfRule>
  </conditionalFormatting>
  <conditionalFormatting sqref="AA37:AA41">
    <cfRule type="containsText" dxfId="1767" priority="471" operator="containsText" text="△">
      <formula>NOT(ISERROR(SEARCH("△",AA37)))</formula>
    </cfRule>
    <cfRule type="containsText" dxfId="176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114</v>
      </c>
      <c r="Z2" s="38">
        <f>VLOOKUP(C2,台股行情!A:E,5,FALSE)</f>
        <v>2.5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66.900000000000006</v>
      </c>
      <c r="Z3" s="38">
        <f>VLOOKUP(C3,台股行情!A:E,5,FALSE)</f>
        <v>-0.9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61.7</v>
      </c>
      <c r="Z4" s="38">
        <f>VLOOKUP(C4,台股行情!A:E,5,FALSE)</f>
        <v>-1.1000000000000001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110.5</v>
      </c>
      <c r="Z5" s="38">
        <f>VLOOKUP(C5,台股行情!A:E,5,FALSE)</f>
        <v>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12.65</v>
      </c>
      <c r="Z6" s="38">
        <f>VLOOKUP(C6,台股行情!A:E,5,FALSE)</f>
        <v>0.6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233.5</v>
      </c>
      <c r="Z7" s="38">
        <f>VLOOKUP(C7,台股行情!A:E,5,FALSE)</f>
        <v>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228.3</v>
      </c>
      <c r="Z8" s="38">
        <f>VLOOKUP(C8,台股行情!A:E,5,FALSE)</f>
        <v>-2.4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80.8</v>
      </c>
      <c r="Z10" s="38">
        <f>VLOOKUP(C10,台股行情!A:E,5,FALSE)</f>
        <v>0.2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742</v>
      </c>
      <c r="Z11" s="38">
        <f>VLOOKUP(C11,台股行情!A:E,5,FALSE)</f>
        <v>0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3925</v>
      </c>
      <c r="Z12" s="38">
        <f>VLOOKUP(C12,台股行情!A:E,5,FALSE)</f>
        <v>-60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3925</v>
      </c>
      <c r="Z13" s="38">
        <f>VLOOKUP(C13,台股行情!A:E,5,FALSE)</f>
        <v>-60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-3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3925</v>
      </c>
      <c r="Z15" s="38">
        <f>VLOOKUP(C15,台股行情!A:E,5,FALSE)</f>
        <v>-60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49.85</v>
      </c>
      <c r="Z16" s="38">
        <f>VLOOKUP(C16,台股行情!A:E,5,FALSE)</f>
        <v>1.25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49.85</v>
      </c>
      <c r="Z17" s="38">
        <f>VLOOKUP(C17,台股行情!A:E,5,FALSE)</f>
        <v>1.25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999</v>
      </c>
      <c r="Z18" s="38">
        <f>VLOOKUP(C18,台股行情!A:E,5,FALSE)</f>
        <v>-111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7650</v>
      </c>
      <c r="Z19" s="38">
        <f>VLOOKUP(C19,台股行情!A:E,5,FALSE)</f>
        <v>585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584</v>
      </c>
      <c r="Z20" s="38">
        <f>VLOOKUP(C20,台股行情!A:E,5,FALSE)</f>
        <v>-37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39.75</v>
      </c>
      <c r="Z21" s="38">
        <f>VLOOKUP(C21,台股行情!A:E,5,FALSE)</f>
        <v>1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151.5</v>
      </c>
      <c r="Z22" s="38">
        <f>VLOOKUP(C22,台股行情!A:E,5,FALSE)</f>
        <v>-1.5</v>
      </c>
      <c r="AA22" s="90">
        <f t="shared" ca="1" si="8"/>
        <v>1330.6319132625124</v>
      </c>
      <c r="AB22" s="103" t="s">
        <v>34</v>
      </c>
      <c r="AC22" s="207" t="s">
        <v>3390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1037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53.3</v>
      </c>
      <c r="Z23" s="38">
        <f>VLOOKUP(C23,台股行情!A:E,5,FALSE)</f>
        <v>-1.2</v>
      </c>
      <c r="AA23" s="90">
        <f t="shared" ca="1" si="8"/>
        <v>847.66181141167453</v>
      </c>
      <c r="AB23" s="103" t="s">
        <v>219</v>
      </c>
      <c r="AC23" s="207" t="s">
        <v>3390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1448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21.45</v>
      </c>
      <c r="Z24" s="38">
        <f>VLOOKUP(C24,台股行情!A:E,5,FALSE)</f>
        <v>-0.35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129</v>
      </c>
      <c r="Z25" s="38">
        <f>VLOOKUP(C25,台股行情!A:E,5,FALSE)</f>
        <v>-1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233.5</v>
      </c>
      <c r="Z26" s="38">
        <f>VLOOKUP(C26,台股行情!A:E,5,FALSE)</f>
        <v>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33.4</v>
      </c>
      <c r="Z27" s="38">
        <f>VLOOKUP(C27,台股行情!A:E,5,FALSE)</f>
        <v>-1.3</v>
      </c>
      <c r="AA27" s="90">
        <f t="shared" ca="1" si="8"/>
        <v>2887.9640784141934</v>
      </c>
      <c r="AB27" s="103" t="s">
        <v>225</v>
      </c>
      <c r="AC27" s="207" t="s">
        <v>3390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1600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40.85</v>
      </c>
      <c r="Z28" s="38">
        <f>VLOOKUP(C28,台股行情!A:E,5,FALSE)</f>
        <v>-0.45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22.6</v>
      </c>
      <c r="Z29" s="38">
        <f>VLOOKUP(C29,台股行情!A:E,5,FALSE)</f>
        <v>-0.3</v>
      </c>
      <c r="AA29" s="90">
        <f t="shared" ca="1" si="8"/>
        <v>957.72642645931444</v>
      </c>
      <c r="AB29" s="103" t="s">
        <v>239</v>
      </c>
      <c r="AC29" s="207" t="s">
        <v>3390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1140</v>
      </c>
      <c r="Z30" s="38">
        <f>VLOOKUP(C30,台股行情!A:E,5,FALSE)</f>
        <v>80</v>
      </c>
      <c r="AA30" s="90">
        <f t="shared" ca="1" si="8"/>
        <v>216.29613404884458</v>
      </c>
      <c r="AB30" s="103" t="s">
        <v>219</v>
      </c>
      <c r="AC30" s="207" t="s">
        <v>3390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750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477</v>
      </c>
      <c r="Z31" s="38">
        <f>VLOOKUP(C31,台股行情!A:E,5,FALSE)</f>
        <v>43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2184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26.65</v>
      </c>
      <c r="Z32" s="38">
        <f>VLOOKUP(C32,台股行情!A:E,5,FALSE)</f>
        <v>0.8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233.5</v>
      </c>
      <c r="Z33" s="38">
        <f>VLOOKUP(C33,台股行情!A:E,5,FALSE)</f>
        <v>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999</v>
      </c>
      <c r="Z34" s="38">
        <f>VLOOKUP(C34,台股行情!A:E,5,FALSE)</f>
        <v>34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164</v>
      </c>
      <c r="Z35" s="38">
        <f>VLOOKUP(C35,台股行情!A:E,5,FALSE)</f>
        <v>-4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66.099999999999994</v>
      </c>
      <c r="Z36" s="38">
        <f>VLOOKUP(C36,台股行情!A:E,5,FALSE)</f>
        <v>-0.1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1631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182.5</v>
      </c>
      <c r="Z38" s="38">
        <f>VLOOKUP(C38,台股行情!A:E,5,FALSE)</f>
        <v>1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859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41.1</v>
      </c>
      <c r="Z39" s="38">
        <f>VLOOKUP(C39,台股行情!A:E,5,FALSE)</f>
        <v>1.3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860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64.7</v>
      </c>
      <c r="Z40" s="38">
        <f>VLOOKUP(C40,台股行情!A:E,5,FALSE)</f>
        <v>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66.2</v>
      </c>
      <c r="Z41" s="38">
        <f>VLOOKUP(C41,台股行情!A:E,5,FALSE)</f>
        <v>3.5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12.55</v>
      </c>
      <c r="Z42" s="38">
        <f>VLOOKUP(C42,台股行情!A:E,5,FALSE)</f>
        <v>0.45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612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60.8</v>
      </c>
      <c r="Z43" s="38">
        <f>VLOOKUP(C43,台股行情!A:E,5,FALSE)</f>
        <v>0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687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39.049999999999997</v>
      </c>
      <c r="Z45" s="38">
        <f>VLOOKUP(C45,台股行情!A:E,5,FALSE)</f>
        <v>-0.95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1380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292</v>
      </c>
      <c r="Z46" s="38">
        <f>VLOOKUP(C46,台股行情!A:E,5,FALSE)</f>
        <v>-5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1226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122.5</v>
      </c>
      <c r="Z47" s="38">
        <f>VLOOKUP(C47,台股行情!A:E,5,FALSE)</f>
        <v>-2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687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39.049999999999997</v>
      </c>
      <c r="Z48" s="38">
        <f>VLOOKUP(C48,台股行情!A:E,5,FALSE)</f>
        <v>-0.95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921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24.4</v>
      </c>
      <c r="Z49" s="38">
        <f>VLOOKUP(C49,台股行情!A:E,5,FALSE)</f>
        <v>-0.3</v>
      </c>
      <c r="AA49" s="90">
        <f t="shared" ca="1" si="17"/>
        <v>1078.7427444967693</v>
      </c>
      <c r="AB49" s="103" t="s">
        <v>412</v>
      </c>
      <c r="AC49" s="207" t="s">
        <v>3390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1261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90.3</v>
      </c>
      <c r="Z50" s="38">
        <f>VLOOKUP(C50,台股行情!A:E,5,FALSE)</f>
        <v>-1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1261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90.3</v>
      </c>
      <c r="Z51" s="38">
        <f>VLOOKUP(C51,台股行情!A:E,5,FALSE)</f>
        <v>-1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1226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122.5</v>
      </c>
      <c r="Z52" s="38">
        <f>VLOOKUP(C52,台股行情!A:E,5,FALSE)</f>
        <v>-2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1479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26</v>
      </c>
      <c r="Z53" s="38">
        <f>VLOOKUP(C53,台股行情!A:E,5,FALSE)</f>
        <v>-0.65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683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46.8</v>
      </c>
      <c r="Z54" s="38">
        <f>VLOOKUP(C54,台股行情!A:E,5,FALSE)</f>
        <v>0.2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879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117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1327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62.5</v>
      </c>
      <c r="Z57" s="38">
        <f>VLOOKUP(C57,台股行情!A:E,5,FALSE)</f>
        <v>-1.3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12.15</v>
      </c>
      <c r="Z58" s="38">
        <f>VLOOKUP(C58,台股行情!A:E,5,FALSE)</f>
        <v>0.3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1630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2405</v>
      </c>
      <c r="Z59" s="38">
        <f>VLOOKUP(C59,台股行情!A:E,5,FALSE)</f>
        <v>-15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647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632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21.8</v>
      </c>
      <c r="Z61" s="38">
        <f>VLOOKUP(C61,台股行情!A:E,5,FALSE)</f>
        <v>-0.05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708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358</v>
      </c>
      <c r="Z62" s="38">
        <f>VLOOKUP(C62,台股行情!A:E,5,FALSE)</f>
        <v>9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1757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158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1673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144</v>
      </c>
      <c r="Z64" s="38">
        <f>VLOOKUP(C64,台股行情!A:E,5,FALSE)</f>
        <v>0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1568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</v>
      </c>
      <c r="Z65" s="38">
        <f>VLOOKUP(C65,台股行情!A:E,5,FALSE)</f>
        <v>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1697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185.5</v>
      </c>
      <c r="Z66" s="38">
        <f>VLOOKUP(C66,台股行情!A:E,5,FALSE)</f>
        <v>-3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1757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158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1614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28.4</v>
      </c>
      <c r="Z68" s="38">
        <f>VLOOKUP(C68,台股行情!A:E,5,FALSE)</f>
        <v>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1600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40.85</v>
      </c>
      <c r="Z69" s="38">
        <f>VLOOKUP(C69,台股行情!A:E,5,FALSE)</f>
        <v>-0.45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1873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178</v>
      </c>
      <c r="Z70" s="38">
        <f>VLOOKUP(C70,台股行情!A:E,5,FALSE)</f>
        <v>-5.5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12.65</v>
      </c>
      <c r="Z71" s="38">
        <f>VLOOKUP(C71,台股行情!A:E,5,FALSE)</f>
        <v>0.6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1566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13.45</v>
      </c>
      <c r="Z72" s="38">
        <f>VLOOKUP(C72,台股行情!A:E,5,FALSE)</f>
        <v>0.35</v>
      </c>
      <c r="AA72" s="90">
        <f t="shared" ca="1" si="26"/>
        <v>964.023655678458</v>
      </c>
      <c r="AB72" s="103" t="s">
        <v>412</v>
      </c>
      <c r="AC72" s="135" t="s">
        <v>1512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1694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290.5</v>
      </c>
      <c r="Z73" s="38">
        <f>VLOOKUP(C73,台股行情!A:E,5,FALSE)</f>
        <v>-3</v>
      </c>
      <c r="AA73" s="90">
        <f t="shared" ca="1" si="26"/>
        <v>1502.5736502026064</v>
      </c>
      <c r="AB73" s="103" t="s">
        <v>219</v>
      </c>
      <c r="AC73" s="135" t="s">
        <v>1513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12.65</v>
      </c>
      <c r="Z74" s="38">
        <f>VLOOKUP(C74,台股行情!A:E,5,FALSE)</f>
        <v>0.6</v>
      </c>
      <c r="AA74" s="90">
        <f t="shared" ca="1" si="26"/>
        <v>1931.8804074033512</v>
      </c>
      <c r="AB74" s="103" t="s">
        <v>219</v>
      </c>
      <c r="AC74" s="103" t="s">
        <v>1514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1663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94.1</v>
      </c>
      <c r="Z75" s="38">
        <f>VLOOKUP(C75,台股行情!A:E,5,FALSE)</f>
        <v>2</v>
      </c>
      <c r="AA75" s="90">
        <f t="shared" ca="1" si="26"/>
        <v>2213.6129668163398</v>
      </c>
      <c r="AB75" s="103" t="s">
        <v>412</v>
      </c>
      <c r="AC75" s="103" t="s">
        <v>1514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1568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</v>
      </c>
      <c r="Z76" s="38">
        <f>VLOOKUP(C76,台股行情!A:E,5,FALSE)</f>
        <v>0.2</v>
      </c>
      <c r="AA76" s="90">
        <f t="shared" ca="1" si="26"/>
        <v>2092.1859599167669</v>
      </c>
      <c r="AB76" s="103" t="s">
        <v>219</v>
      </c>
      <c r="AC76" s="103" t="s">
        <v>1515</v>
      </c>
    </row>
    <row r="77" spans="1:29">
      <c r="A77" s="99">
        <v>44277</v>
      </c>
      <c r="B77" s="11" t="s">
        <v>19</v>
      </c>
      <c r="C77" s="11">
        <v>4938</v>
      </c>
      <c r="D77" s="11" t="s">
        <v>1824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91.1</v>
      </c>
      <c r="Z77" s="38">
        <f>VLOOKUP(C77,台股行情!A:E,5,FALSE)</f>
        <v>2.6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584</v>
      </c>
      <c r="Z78" s="38">
        <f>VLOOKUP(C78,台股行情!A:E,5,FALSE)</f>
        <v>-37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-3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1597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13.7</v>
      </c>
      <c r="Z80" s="38">
        <f>VLOOKUP(C80,台股行情!A:E,5,FALSE)</f>
        <v>0</v>
      </c>
      <c r="AA80" s="90">
        <f t="shared" ca="1" si="26"/>
        <v>9468.8424049939767</v>
      </c>
      <c r="AB80" s="103" t="s">
        <v>412</v>
      </c>
      <c r="AC80" s="135" t="s">
        <v>1518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2855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20.350000000000001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1518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2184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26.65</v>
      </c>
      <c r="Z82" s="38">
        <f>VLOOKUP(C82,台股行情!A:E,5,FALSE)</f>
        <v>0.8</v>
      </c>
      <c r="AA82" s="90">
        <f t="shared" ca="1" si="26"/>
        <v>11079.837914795751</v>
      </c>
      <c r="AB82" s="103" t="s">
        <v>209</v>
      </c>
      <c r="AC82" s="143" t="s">
        <v>1518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49.85</v>
      </c>
      <c r="Z83" s="38">
        <f>VLOOKUP(C83,台股行情!A:E,5,FALSE)</f>
        <v>1.25</v>
      </c>
      <c r="AA83" s="90">
        <f t="shared" ca="1" si="26"/>
        <v>10767.988172160771</v>
      </c>
      <c r="AB83" s="103" t="s">
        <v>209</v>
      </c>
      <c r="AC83" s="143" t="s">
        <v>1518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1662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</v>
      </c>
      <c r="Z84" s="38">
        <f>VLOOKUP(C84,台股行情!A:E,5,FALSE)</f>
        <v>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1605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</v>
      </c>
      <c r="Z85" s="38">
        <f>VLOOKUP(C85,台股行情!A:E,5,FALSE)</f>
        <v>-0.4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1693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113</v>
      </c>
      <c r="Z86" s="38">
        <f>VLOOKUP(C86,台股行情!A:E,5,FALSE)</f>
        <v>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1662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</v>
      </c>
      <c r="Z87" s="38">
        <f>VLOOKUP(C87,台股行情!A:E,5,FALSE)</f>
        <v>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2855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20.350000000000001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1518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1924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485</v>
      </c>
      <c r="Z89" s="38">
        <f>VLOOKUP(C89,台股行情!A:E,5,FALSE)</f>
        <v>-7.5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49.85</v>
      </c>
      <c r="Z90" s="38">
        <f>VLOOKUP(C90,台股行情!A:E,5,FALSE)</f>
        <v>1.25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1692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312.5</v>
      </c>
      <c r="Z91" s="38">
        <f>VLOOKUP(C91,台股行情!A:E,5,FALSE)</f>
        <v>-4.5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1619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19.3</v>
      </c>
      <c r="Z92" s="38">
        <f>VLOOKUP(C92,台股行情!A:E,5,FALSE)</f>
        <v>0.1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2184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26.65</v>
      </c>
      <c r="Z93" s="38">
        <f>VLOOKUP(C93,台股行情!A:E,5,FALSE)</f>
        <v>0.8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3656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151</v>
      </c>
      <c r="Z94" s="38">
        <f>VLOOKUP(C94,台股行情!A:E,5,FALSE)</f>
        <v>-3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1614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28.4</v>
      </c>
      <c r="Z95" s="38">
        <f>VLOOKUP(C95,台股行情!A:E,5,FALSE)</f>
        <v>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911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26.5</v>
      </c>
      <c r="Z96" s="38">
        <f>VLOOKUP(C96,台股行情!A:E,5,FALSE)</f>
        <v>-0.4</v>
      </c>
      <c r="AA96" s="90">
        <f t="shared" ca="1" si="26"/>
        <v>535.67517248932211</v>
      </c>
      <c r="AB96" s="103" t="s">
        <v>219</v>
      </c>
      <c r="AC96" s="207" t="s">
        <v>3390</v>
      </c>
    </row>
    <row r="97" spans="1:30">
      <c r="A97" s="99">
        <v>44285</v>
      </c>
      <c r="B97" s="11" t="s">
        <v>19</v>
      </c>
      <c r="C97" s="11">
        <v>2344</v>
      </c>
      <c r="D97" s="11" t="s">
        <v>1631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182.5</v>
      </c>
      <c r="Z97" s="38">
        <f>VLOOKUP(C97,台股行情!A:E,5,FALSE)</f>
        <v>1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1630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2405</v>
      </c>
      <c r="Z98" s="38">
        <f>VLOOKUP(C98,台股行情!A:E,5,FALSE)</f>
        <v>-15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540</v>
      </c>
      <c r="Z99" s="38">
        <f>VLOOKUP(C99,台股行情!A:E,5,FALSE)</f>
        <v>-5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72.5</v>
      </c>
      <c r="Z100" s="38">
        <f>VLOOKUP(C100,台股行情!A:E,5,FALSE)</f>
        <v>-0.1</v>
      </c>
      <c r="AA100" s="90">
        <f t="shared" ca="1" si="35"/>
        <v>42547.776804293069</v>
      </c>
      <c r="AB100" s="103" t="s">
        <v>219</v>
      </c>
      <c r="AC100" s="188" t="s">
        <v>3011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72.5</v>
      </c>
      <c r="Z101" s="38">
        <f>VLOOKUP(C101,台股行情!A:E,5,FALSE)</f>
        <v>-0.1</v>
      </c>
      <c r="AA101" s="90">
        <f t="shared" ca="1" si="35"/>
        <v>42807.742854013799</v>
      </c>
      <c r="AB101" s="103" t="s">
        <v>219</v>
      </c>
      <c r="AC101" s="188" t="s">
        <v>3011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1702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175</v>
      </c>
      <c r="Z102" s="38">
        <f>VLOOKUP(C102,台股行情!A:E,5,FALSE)</f>
        <v>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16.05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3994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1038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-0.4</v>
      </c>
      <c r="AA104" s="90">
        <f t="shared" ca="1" si="42"/>
        <v>679816.01138977113</v>
      </c>
      <c r="AB104" s="103" t="s">
        <v>412</v>
      </c>
      <c r="AC104" s="135" t="s">
        <v>4796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4796</v>
      </c>
      <c r="AD105" s="320" t="s">
        <v>4795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4796</v>
      </c>
      <c r="AD106" s="320" t="s">
        <v>4795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118</v>
      </c>
      <c r="Z107" s="38">
        <f>VLOOKUP(C107,台股行情!A:E,5,FALSE)</f>
        <v>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4920</v>
      </c>
      <c r="AD107" s="338" t="s">
        <v>4822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26.65</v>
      </c>
      <c r="Z108" s="38">
        <f>VLOOKUP(C108,台股行情!A:E,5,FALSE)</f>
        <v>0.8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4795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17.75</v>
      </c>
      <c r="Z109" s="38">
        <f>VLOOKUP(C109,台股行情!A:E,5,FALSE)</f>
        <v>0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4795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4"/>
      <c r="B116" s="415"/>
      <c r="C116" s="420"/>
      <c r="D116" s="61" t="s">
        <v>21</v>
      </c>
      <c r="E116" s="433"/>
      <c r="F116" s="401"/>
      <c r="G116" s="62">
        <f>SUM(G113:G114)</f>
        <v>0</v>
      </c>
      <c r="H116" s="62">
        <f>SUM(H113:H114)</f>
        <v>0</v>
      </c>
      <c r="I116" s="433"/>
      <c r="J116" s="401"/>
      <c r="K116" s="426"/>
      <c r="L116" s="427"/>
      <c r="M116" s="427"/>
      <c r="N116" s="428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6"/>
      <c r="B117" s="417"/>
      <c r="C117" s="421"/>
      <c r="D117" s="61" t="s">
        <v>227</v>
      </c>
      <c r="E117" s="400"/>
      <c r="F117" s="401"/>
      <c r="G117" s="63">
        <f>SUM(G2:G114)</f>
        <v>8499700</v>
      </c>
      <c r="H117" s="63">
        <f>SUM(H2:H114)</f>
        <v>12122</v>
      </c>
      <c r="I117" s="400"/>
      <c r="J117" s="401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8"/>
      <c r="B118" s="419"/>
      <c r="C118" s="422"/>
      <c r="D118" s="61" t="s">
        <v>20</v>
      </c>
      <c r="E118" s="400"/>
      <c r="F118" s="401"/>
      <c r="G118" s="63">
        <f>SUM(G2:G114)</f>
        <v>8499700</v>
      </c>
      <c r="H118" s="63">
        <f>SUM(H2:H114)</f>
        <v>12122</v>
      </c>
      <c r="I118" s="400"/>
      <c r="J118" s="401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4095</v>
      </c>
      <c r="B120" s="403"/>
      <c r="C120" s="403"/>
      <c r="D120" s="251" t="s">
        <v>4093</v>
      </c>
      <c r="E120" s="402"/>
      <c r="F120" s="403"/>
      <c r="G120" s="251" t="s">
        <v>4087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4088</v>
      </c>
      <c r="P120" s="251" t="s">
        <v>4089</v>
      </c>
      <c r="Q120" s="251" t="s">
        <v>4090</v>
      </c>
      <c r="R120" s="251" t="s">
        <v>4091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4092</v>
      </c>
      <c r="Y120" s="251" t="s">
        <v>23</v>
      </c>
      <c r="Z120" s="251" t="s">
        <v>168</v>
      </c>
      <c r="AA120" s="89"/>
    </row>
    <row r="121" spans="1:29">
      <c r="A121" s="406"/>
      <c r="B121" s="406"/>
      <c r="C121" s="406"/>
      <c r="D121" s="264" t="s">
        <v>219</v>
      </c>
      <c r="E121" s="406"/>
      <c r="F121" s="406"/>
      <c r="G121" s="265">
        <f>SUMIF(AB$2:AB$115,D121,G$2:G$115)</f>
        <v>1510900</v>
      </c>
      <c r="H121" s="265">
        <f>SUMIF(AB$2:AB$115,D121,H$2:H$115)</f>
        <v>2154</v>
      </c>
      <c r="I121" s="40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1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6"/>
      <c r="B122" s="406"/>
      <c r="C122" s="406"/>
      <c r="D122" s="247" t="s">
        <v>4096</v>
      </c>
      <c r="E122" s="406"/>
      <c r="F122" s="406"/>
      <c r="G122" s="265">
        <f>SUMIF(AB$2:AB$115,D122,G$2:G$115)</f>
        <v>572350</v>
      </c>
      <c r="H122" s="265">
        <f>SUMIF(AB$2:AB$115,D122,H$2:H$115)</f>
        <v>810</v>
      </c>
      <c r="I122" s="40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1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6"/>
      <c r="B123" s="406"/>
      <c r="C123" s="406"/>
      <c r="D123" s="247" t="s">
        <v>209</v>
      </c>
      <c r="E123" s="406"/>
      <c r="F123" s="406"/>
      <c r="G123" s="265">
        <f>SUMIF(AB$2:AB$115,D123,G$2:G$115)</f>
        <v>3613050</v>
      </c>
      <c r="H123" s="265">
        <f>SUMIF(AB$2:AB$115,D123,H$2:H$115)</f>
        <v>5132</v>
      </c>
      <c r="I123" s="40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1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7"/>
      <c r="B124" s="407"/>
      <c r="C124" s="407"/>
      <c r="D124" s="247" t="s">
        <v>4097</v>
      </c>
      <c r="E124" s="407"/>
      <c r="F124" s="407"/>
      <c r="G124" s="265">
        <f>SUMIF(AB$2:AB$115,D124,G$2:G$115)</f>
        <v>455150</v>
      </c>
      <c r="H124" s="265">
        <f>SUMIF(AB$2:AB$115,D124,H$2:H$115)</f>
        <v>768</v>
      </c>
      <c r="I124" s="40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2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08"/>
      <c r="B125" s="408"/>
      <c r="C125" s="408"/>
      <c r="D125" s="248" t="s">
        <v>4098</v>
      </c>
      <c r="E125" s="408"/>
      <c r="F125" s="408"/>
      <c r="G125" s="252">
        <f>SUMIF(AB$2:AB$115,D125,G$2:G$115)</f>
        <v>1846200</v>
      </c>
      <c r="H125" s="252">
        <f>SUMIF(AB$2:AB$115,D125,H$2:H$115)</f>
        <v>2546</v>
      </c>
      <c r="I125" s="40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3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5" priority="833">
      <formula>$I110&gt;(TODAY()-7)</formula>
    </cfRule>
    <cfRule type="expression" dxfId="1764" priority="834">
      <formula>$I110&gt;(TODAY()-30)</formula>
    </cfRule>
  </conditionalFormatting>
  <conditionalFormatting sqref="Z2:Z21">
    <cfRule type="containsText" dxfId="1763" priority="136" operator="containsText" text="▼">
      <formula>NOT(ISERROR(SEARCH("▼",Z2)))</formula>
    </cfRule>
    <cfRule type="containsText" dxfId="1762" priority="135" operator="containsText" text="▲">
      <formula>NOT(ISERROR(SEARCH("▲",Z2)))</formula>
    </cfRule>
  </conditionalFormatting>
  <conditionalFormatting sqref="Z2:Z102">
    <cfRule type="cellIs" dxfId="1761" priority="112" operator="greaterThan">
      <formula>0</formula>
    </cfRule>
    <cfRule type="cellIs" dxfId="1760" priority="111" operator="lessThan">
      <formula>0</formula>
    </cfRule>
  </conditionalFormatting>
  <conditionalFormatting sqref="Z22:Z96 Z110:AA119 Z1:AA1 Z126:AA1048576">
    <cfRule type="containsText" dxfId="1759" priority="835" operator="containsText" text="△">
      <formula>NOT(ISERROR(SEARCH("△",Z1)))</formula>
    </cfRule>
  </conditionalFormatting>
  <conditionalFormatting sqref="Z86">
    <cfRule type="containsText" dxfId="1758" priority="512" operator="containsText" text="▼">
      <formula>NOT(ISERROR(SEARCH("▼",Z86)))</formula>
    </cfRule>
    <cfRule type="containsText" dxfId="1757" priority="511" operator="containsText" text="▲">
      <formula>NOT(ISERROR(SEARCH("▲",Z86)))</formula>
    </cfRule>
  </conditionalFormatting>
  <conditionalFormatting sqref="Z88:Z99">
    <cfRule type="containsText" dxfId="1756" priority="130" operator="containsText" text="▼">
      <formula>NOT(ISERROR(SEARCH("▼",Z88)))</formula>
    </cfRule>
    <cfRule type="containsText" dxfId="1755" priority="129" operator="containsText" text="▲">
      <formula>NOT(ISERROR(SEARCH("▲",Z88)))</formula>
    </cfRule>
  </conditionalFormatting>
  <conditionalFormatting sqref="Z100:Z103">
    <cfRule type="cellIs" dxfId="1754" priority="54" operator="greaterThan">
      <formula>0</formula>
    </cfRule>
    <cfRule type="cellIs" dxfId="1753" priority="53" operator="lessThan">
      <formula>0</formula>
    </cfRule>
    <cfRule type="containsText" dxfId="1752" priority="80" operator="containsText" text="▼">
      <formula>NOT(ISERROR(SEARCH("▼",Z100)))</formula>
    </cfRule>
    <cfRule type="containsText" dxfId="1751" priority="79" operator="containsText" text="▲">
      <formula>NOT(ISERROR(SEARCH("▲",Z100)))</formula>
    </cfRule>
  </conditionalFormatting>
  <conditionalFormatting sqref="Z104:Z108">
    <cfRule type="containsText" dxfId="1750" priority="13" operator="containsText" text="▲">
      <formula>NOT(ISERROR(SEARCH("▲",Z104)))</formula>
    </cfRule>
    <cfRule type="containsText" dxfId="1749" priority="14" operator="containsText" text="▼">
      <formula>NOT(ISERROR(SEARCH("▼",Z104)))</formula>
    </cfRule>
  </conditionalFormatting>
  <conditionalFormatting sqref="Z104:Z114">
    <cfRule type="cellIs" dxfId="1748" priority="2" operator="greaterThan">
      <formula>0</formula>
    </cfRule>
    <cfRule type="cellIs" dxfId="1747" priority="1" operator="lessThan">
      <formula>0</formula>
    </cfRule>
  </conditionalFormatting>
  <conditionalFormatting sqref="Z1:AA1 Z22:Z96 Z110:AA119 Z126:AA1048576">
    <cfRule type="containsText" dxfId="1746" priority="836" operator="containsText" text="▽">
      <formula>NOT(ISERROR(SEARCH("▽",Z1)))</formula>
    </cfRule>
  </conditionalFormatting>
  <conditionalFormatting sqref="Z97:AA99">
    <cfRule type="containsText" dxfId="1745" priority="132" operator="containsText" text="▽">
      <formula>NOT(ISERROR(SEARCH("▽",Z97)))</formula>
    </cfRule>
    <cfRule type="containsText" dxfId="1744" priority="131" operator="containsText" text="△">
      <formula>NOT(ISERROR(SEARCH("△",Z97)))</formula>
    </cfRule>
  </conditionalFormatting>
  <conditionalFormatting sqref="Z100:AA102">
    <cfRule type="containsText" dxfId="1743" priority="110" operator="containsText" text="▼">
      <formula>NOT(ISERROR(SEARCH("▼",Z100)))</formula>
    </cfRule>
    <cfRule type="containsText" dxfId="1742" priority="109" operator="containsText" text="▲">
      <formula>NOT(ISERROR(SEARCH("▲",Z100)))</formula>
    </cfRule>
    <cfRule type="containsText" dxfId="1741" priority="107" operator="containsText" text="△">
      <formula>NOT(ISERROR(SEARCH("△",Z100)))</formula>
    </cfRule>
    <cfRule type="containsText" dxfId="1740" priority="108" operator="containsText" text="▽">
      <formula>NOT(ISERROR(SEARCH("▽",Z100)))</formula>
    </cfRule>
  </conditionalFormatting>
  <conditionalFormatting sqref="Z103:AA103">
    <cfRule type="containsText" dxfId="1739" priority="51" operator="containsText" text="△">
      <formula>NOT(ISERROR(SEARCH("△",Z103)))</formula>
    </cfRule>
    <cfRule type="containsText" dxfId="1738" priority="52" operator="containsText" text="▽">
      <formula>NOT(ISERROR(SEARCH("▽",Z103)))</formula>
    </cfRule>
  </conditionalFormatting>
  <conditionalFormatting sqref="Z104:AA104">
    <cfRule type="containsText" dxfId="1737" priority="49" operator="containsText" text="▲">
      <formula>NOT(ISERROR(SEARCH("▲",Z104)))</formula>
    </cfRule>
    <cfRule type="containsText" dxfId="1736" priority="50" operator="containsText" text="▼">
      <formula>NOT(ISERROR(SEARCH("▼",Z104)))</formula>
    </cfRule>
  </conditionalFormatting>
  <conditionalFormatting sqref="Z105:AA106">
    <cfRule type="containsText" dxfId="1735" priority="39" operator="containsText" text="▲">
      <formula>NOT(ISERROR(SEARCH("▲",Z105)))</formula>
    </cfRule>
    <cfRule type="containsText" dxfId="1734" priority="40" operator="containsText" text="▼">
      <formula>NOT(ISERROR(SEARCH("▼",Z105)))</formula>
    </cfRule>
  </conditionalFormatting>
  <conditionalFormatting sqref="Z107:AA107">
    <cfRule type="containsText" dxfId="1733" priority="26" operator="containsText" text="▼">
      <formula>NOT(ISERROR(SEARCH("▼",Z107)))</formula>
    </cfRule>
    <cfRule type="containsText" dxfId="1732" priority="25" operator="containsText" text="▲">
      <formula>NOT(ISERROR(SEARCH("▲",Z107)))</formula>
    </cfRule>
  </conditionalFormatting>
  <conditionalFormatting sqref="Z108:AA108">
    <cfRule type="containsText" dxfId="1731" priority="16" operator="containsText" text="▼">
      <formula>NOT(ISERROR(SEARCH("▼",Z108)))</formula>
    </cfRule>
    <cfRule type="containsText" dxfId="1730" priority="15" operator="containsText" text="▲">
      <formula>NOT(ISERROR(SEARCH("▲",Z108)))</formula>
    </cfRule>
  </conditionalFormatting>
  <conditionalFormatting sqref="Z109:AA109">
    <cfRule type="containsText" dxfId="1729" priority="3" operator="containsText" text="▲">
      <formula>NOT(ISERROR(SEARCH("▲",Z109)))</formula>
    </cfRule>
    <cfRule type="containsText" dxfId="1728" priority="4" operator="containsText" text="▼">
      <formula>NOT(ISERROR(SEARCH("▼",Z109)))</formula>
    </cfRule>
    <cfRule type="containsText" dxfId="1727" priority="6" operator="containsText" text="▼">
      <formula>NOT(ISERROR(SEARCH("▼",Z109)))</formula>
    </cfRule>
    <cfRule type="containsText" dxfId="1726" priority="5" operator="containsText" text="▲">
      <formula>NOT(ISERROR(SEARCH("▲",Z109)))</formula>
    </cfRule>
  </conditionalFormatting>
  <conditionalFormatting sqref="AA2:AA18">
    <cfRule type="containsText" dxfId="1725" priority="243" operator="containsText" text="△">
      <formula>NOT(ISERROR(SEARCH("△",AA2)))</formula>
    </cfRule>
    <cfRule type="containsText" dxfId="1724" priority="244" operator="containsText" text="▽">
      <formula>NOT(ISERROR(SEARCH("▽",AA2)))</formula>
    </cfRule>
    <cfRule type="containsText" dxfId="1723" priority="220" operator="containsText" text="▽">
      <formula>NOT(ISERROR(SEARCH("▽",AA2)))</formula>
    </cfRule>
    <cfRule type="containsText" dxfId="1722" priority="223" operator="containsText" text="△">
      <formula>NOT(ISERROR(SEARCH("△",AA2)))</formula>
    </cfRule>
    <cfRule type="containsText" dxfId="1721" priority="224" operator="containsText" text="▽">
      <formula>NOT(ISERROR(SEARCH("▽",AA2)))</formula>
    </cfRule>
    <cfRule type="containsText" dxfId="1720" priority="227" operator="containsText" text="△">
      <formula>NOT(ISERROR(SEARCH("△",AA2)))</formula>
    </cfRule>
    <cfRule type="containsText" dxfId="1719" priority="228" operator="containsText" text="▽">
      <formula>NOT(ISERROR(SEARCH("▽",AA2)))</formula>
    </cfRule>
    <cfRule type="containsText" dxfId="1718" priority="229" operator="containsText" text="△">
      <formula>NOT(ISERROR(SEARCH("△",AA2)))</formula>
    </cfRule>
    <cfRule type="containsText" dxfId="1717" priority="230" operator="containsText" text="▽">
      <formula>NOT(ISERROR(SEARCH("▽",AA2)))</formula>
    </cfRule>
    <cfRule type="containsText" dxfId="1716" priority="231" operator="containsText" text="△">
      <formula>NOT(ISERROR(SEARCH("△",AA2)))</formula>
    </cfRule>
    <cfRule type="containsText" dxfId="1715" priority="232" operator="containsText" text="▽">
      <formula>NOT(ISERROR(SEARCH("▽",AA2)))</formula>
    </cfRule>
    <cfRule type="containsText" dxfId="1714" priority="233" operator="containsText" text="△">
      <formula>NOT(ISERROR(SEARCH("△",AA2)))</formula>
    </cfRule>
    <cfRule type="containsText" dxfId="1713" priority="234" operator="containsText" text="▽">
      <formula>NOT(ISERROR(SEARCH("▽",AA2)))</formula>
    </cfRule>
    <cfRule type="containsText" dxfId="1712" priority="235" operator="containsText" text="△">
      <formula>NOT(ISERROR(SEARCH("△",AA2)))</formula>
    </cfRule>
    <cfRule type="containsText" dxfId="1711" priority="236" operator="containsText" text="▽">
      <formula>NOT(ISERROR(SEARCH("▽",AA2)))</formula>
    </cfRule>
    <cfRule type="containsText" dxfId="1710" priority="237" operator="containsText" text="△">
      <formula>NOT(ISERROR(SEARCH("△",AA2)))</formula>
    </cfRule>
    <cfRule type="containsText" dxfId="1709" priority="238" operator="containsText" text="▽">
      <formula>NOT(ISERROR(SEARCH("▽",AA2)))</formula>
    </cfRule>
    <cfRule type="containsText" dxfId="1708" priority="239" operator="containsText" text="△">
      <formula>NOT(ISERROR(SEARCH("△",AA2)))</formula>
    </cfRule>
    <cfRule type="containsText" dxfId="1707" priority="240" operator="containsText" text="▽">
      <formula>NOT(ISERROR(SEARCH("▽",AA2)))</formula>
    </cfRule>
    <cfRule type="containsText" dxfId="1706" priority="217" operator="containsText" text="△">
      <formula>NOT(ISERROR(SEARCH("△",AA2)))</formula>
    </cfRule>
    <cfRule type="containsText" dxfId="1705" priority="157" operator="containsText" text="△">
      <formula>NOT(ISERROR(SEARCH("△",AA2)))</formula>
    </cfRule>
    <cfRule type="containsText" dxfId="1704" priority="158" operator="containsText" text="▽">
      <formula>NOT(ISERROR(SEARCH("▽",AA2)))</formula>
    </cfRule>
    <cfRule type="containsText" dxfId="1703" priority="159" operator="containsText" text="△">
      <formula>NOT(ISERROR(SEARCH("△",AA2)))</formula>
    </cfRule>
    <cfRule type="containsText" dxfId="1702" priority="160" operator="containsText" text="▽">
      <formula>NOT(ISERROR(SEARCH("▽",AA2)))</formula>
    </cfRule>
    <cfRule type="containsText" dxfId="1701" priority="181" operator="containsText" text="△">
      <formula>NOT(ISERROR(SEARCH("△",AA2)))</formula>
    </cfRule>
    <cfRule type="containsText" dxfId="1700" priority="182" operator="containsText" text="▽">
      <formula>NOT(ISERROR(SEARCH("▽",AA2)))</formula>
    </cfRule>
    <cfRule type="containsText" dxfId="1699" priority="183" operator="containsText" text="△">
      <formula>NOT(ISERROR(SEARCH("△",AA2)))</formula>
    </cfRule>
    <cfRule type="containsText" dxfId="1698" priority="184" operator="containsText" text="▽">
      <formula>NOT(ISERROR(SEARCH("▽",AA2)))</formula>
    </cfRule>
    <cfRule type="containsText" dxfId="1697" priority="185" operator="containsText" text="△">
      <formula>NOT(ISERROR(SEARCH("△",AA2)))</formula>
    </cfRule>
    <cfRule type="containsText" dxfId="1696" priority="186" operator="containsText" text="▽">
      <formula>NOT(ISERROR(SEARCH("▽",AA2)))</formula>
    </cfRule>
    <cfRule type="containsText" dxfId="1695" priority="187" operator="containsText" text="△">
      <formula>NOT(ISERROR(SEARCH("△",AA2)))</formula>
    </cfRule>
    <cfRule type="containsText" dxfId="1694" priority="188" operator="containsText" text="▽">
      <formula>NOT(ISERROR(SEARCH("▽",AA2)))</formula>
    </cfRule>
    <cfRule type="containsText" dxfId="1693" priority="189" operator="containsText" text="△">
      <formula>NOT(ISERROR(SEARCH("△",AA2)))</formula>
    </cfRule>
    <cfRule type="containsText" dxfId="1692" priority="190" operator="containsText" text="▽">
      <formula>NOT(ISERROR(SEARCH("▽",AA2)))</formula>
    </cfRule>
    <cfRule type="containsText" dxfId="1691" priority="191" operator="containsText" text="△">
      <formula>NOT(ISERROR(SEARCH("△",AA2)))</formula>
    </cfRule>
    <cfRule type="containsText" dxfId="1690" priority="192" operator="containsText" text="▽">
      <formula>NOT(ISERROR(SEARCH("▽",AA2)))</formula>
    </cfRule>
    <cfRule type="containsText" dxfId="1689" priority="205" operator="containsText" text="△">
      <formula>NOT(ISERROR(SEARCH("△",AA2)))</formula>
    </cfRule>
    <cfRule type="containsText" dxfId="1688" priority="206" operator="containsText" text="▽">
      <formula>NOT(ISERROR(SEARCH("▽",AA2)))</formula>
    </cfRule>
    <cfRule type="containsText" dxfId="1687" priority="209" operator="containsText" text="△">
      <formula>NOT(ISERROR(SEARCH("△",AA2)))</formula>
    </cfRule>
    <cfRule type="containsText" dxfId="1686" priority="210" operator="containsText" text="▽">
      <formula>NOT(ISERROR(SEARCH("▽",AA2)))</formula>
    </cfRule>
    <cfRule type="containsText" dxfId="1685" priority="211" operator="containsText" text="△">
      <formula>NOT(ISERROR(SEARCH("△",AA2)))</formula>
    </cfRule>
    <cfRule type="containsText" dxfId="1684" priority="212" operator="containsText" text="▽">
      <formula>NOT(ISERROR(SEARCH("▽",AA2)))</formula>
    </cfRule>
    <cfRule type="containsText" dxfId="1683" priority="218" operator="containsText" text="▽">
      <formula>NOT(ISERROR(SEARCH("▽",AA2)))</formula>
    </cfRule>
    <cfRule type="containsText" dxfId="1682" priority="219" operator="containsText" text="△">
      <formula>NOT(ISERROR(SEARCH("△",AA2)))</formula>
    </cfRule>
  </conditionalFormatting>
  <conditionalFormatting sqref="AA4:AA18">
    <cfRule type="containsText" dxfId="1681" priority="174" operator="containsText" text="▽">
      <formula>NOT(ISERROR(SEARCH("▽",AA4)))</formula>
    </cfRule>
    <cfRule type="containsText" dxfId="1680" priority="173" operator="containsText" text="△">
      <formula>NOT(ISERROR(SEARCH("△",AA4)))</formula>
    </cfRule>
    <cfRule type="containsText" dxfId="1679" priority="176" operator="containsText" text="▽">
      <formula>NOT(ISERROR(SEARCH("▽",AA4)))</formula>
    </cfRule>
    <cfRule type="containsText" dxfId="1678" priority="175" operator="containsText" text="△">
      <formula>NOT(ISERROR(SEARCH("△",AA4)))</formula>
    </cfRule>
  </conditionalFormatting>
  <conditionalFormatting sqref="AA5:AA18">
    <cfRule type="containsText" dxfId="1677" priority="215" operator="containsText" text="△">
      <formula>NOT(ISERROR(SEARCH("△",AA5)))</formula>
    </cfRule>
    <cfRule type="containsText" dxfId="1676" priority="216" operator="containsText" text="▽">
      <formula>NOT(ISERROR(SEARCH("▽",AA5)))</formula>
    </cfRule>
  </conditionalFormatting>
  <conditionalFormatting sqref="AA6:AA18">
    <cfRule type="containsText" dxfId="1675" priority="207" operator="containsText" text="△">
      <formula>NOT(ISERROR(SEARCH("△",AA6)))</formula>
    </cfRule>
    <cfRule type="containsText" dxfId="1674" priority="208" operator="containsText" text="▽">
      <formula>NOT(ISERROR(SEARCH("▽",AA6)))</formula>
    </cfRule>
  </conditionalFormatting>
  <conditionalFormatting sqref="AA7:AA18">
    <cfRule type="containsText" dxfId="1673" priority="170" operator="containsText" text="▽">
      <formula>NOT(ISERROR(SEARCH("▽",AA7)))</formula>
    </cfRule>
    <cfRule type="containsText" dxfId="1672" priority="172" operator="containsText" text="▽">
      <formula>NOT(ISERROR(SEARCH("▽",AA7)))</formula>
    </cfRule>
    <cfRule type="containsText" dxfId="1671" priority="171" operator="containsText" text="△">
      <formula>NOT(ISERROR(SEARCH("△",AA7)))</formula>
    </cfRule>
    <cfRule type="containsText" dxfId="1670" priority="169" operator="containsText" text="△">
      <formula>NOT(ISERROR(SEARCH("△",AA7)))</formula>
    </cfRule>
  </conditionalFormatting>
  <conditionalFormatting sqref="AA8">
    <cfRule type="containsText" dxfId="1669" priority="165" operator="containsText" text="△">
      <formula>NOT(ISERROR(SEARCH("△",AA8)))</formula>
    </cfRule>
    <cfRule type="containsText" dxfId="1668" priority="166" operator="containsText" text="▽">
      <formula>NOT(ISERROR(SEARCH("▽",AA8)))</formula>
    </cfRule>
    <cfRule type="containsText" dxfId="1667" priority="167" operator="containsText" text="△">
      <formula>NOT(ISERROR(SEARCH("△",AA8)))</formula>
    </cfRule>
    <cfRule type="containsText" dxfId="1666" priority="168" operator="containsText" text="▽">
      <formula>NOT(ISERROR(SEARCH("▽",AA8)))</formula>
    </cfRule>
  </conditionalFormatting>
  <conditionalFormatting sqref="AA9:AA18">
    <cfRule type="containsText" dxfId="1665" priority="156" operator="containsText" text="▽">
      <formula>NOT(ISERROR(SEARCH("▽",AA9)))</formula>
    </cfRule>
    <cfRule type="containsText" dxfId="1664" priority="155" operator="containsText" text="△">
      <formula>NOT(ISERROR(SEARCH("△",AA9)))</formula>
    </cfRule>
    <cfRule type="containsText" dxfId="1663" priority="154" operator="containsText" text="▽">
      <formula>NOT(ISERROR(SEARCH("▽",AA9)))</formula>
    </cfRule>
    <cfRule type="containsText" dxfId="1662" priority="153" operator="containsText" text="△">
      <formula>NOT(ISERROR(SEARCH("△",AA9)))</formula>
    </cfRule>
  </conditionalFormatting>
  <conditionalFormatting sqref="AA10:AA18">
    <cfRule type="containsText" dxfId="1661" priority="204" operator="containsText" text="▽">
      <formula>NOT(ISERROR(SEARCH("▽",AA10)))</formula>
    </cfRule>
    <cfRule type="containsText" dxfId="1660" priority="203" operator="containsText" text="△">
      <formula>NOT(ISERROR(SEARCH("△",AA10)))</formula>
    </cfRule>
    <cfRule type="containsText" dxfId="1659" priority="202" operator="containsText" text="▽">
      <formula>NOT(ISERROR(SEARCH("▽",AA10)))</formula>
    </cfRule>
    <cfRule type="containsText" dxfId="1658" priority="201" operator="containsText" text="△">
      <formula>NOT(ISERROR(SEARCH("△",AA10)))</formula>
    </cfRule>
  </conditionalFormatting>
  <conditionalFormatting sqref="AA11:AA18">
    <cfRule type="containsText" dxfId="1657" priority="241" operator="containsText" text="△">
      <formula>NOT(ISERROR(SEARCH("△",AA11)))</formula>
    </cfRule>
    <cfRule type="containsText" dxfId="1656" priority="242" operator="containsText" text="▽">
      <formula>NOT(ISERROR(SEARCH("▽",AA11)))</formula>
    </cfRule>
  </conditionalFormatting>
  <conditionalFormatting sqref="AA12:AA18">
    <cfRule type="containsText" dxfId="1655" priority="222" operator="containsText" text="▽">
      <formula>NOT(ISERROR(SEARCH("▽",AA12)))</formula>
    </cfRule>
    <cfRule type="containsText" dxfId="1654" priority="221" operator="containsText" text="△">
      <formula>NOT(ISERROR(SEARCH("△",AA12)))</formula>
    </cfRule>
  </conditionalFormatting>
  <conditionalFormatting sqref="AA13:AA18">
    <cfRule type="containsText" dxfId="1653" priority="226" operator="containsText" text="▽">
      <formula>NOT(ISERROR(SEARCH("▽",AA13)))</formula>
    </cfRule>
    <cfRule type="containsText" dxfId="1652" priority="225" operator="containsText" text="△">
      <formula>NOT(ISERROR(SEARCH("△",AA13)))</formula>
    </cfRule>
  </conditionalFormatting>
  <conditionalFormatting sqref="AA14">
    <cfRule type="containsText" dxfId="1651" priority="193" operator="containsText" text="△">
      <formula>NOT(ISERROR(SEARCH("△",AA14)))</formula>
    </cfRule>
    <cfRule type="containsText" dxfId="1650" priority="196" operator="containsText" text="▽">
      <formula>NOT(ISERROR(SEARCH("▽",AA14)))</formula>
    </cfRule>
    <cfRule type="containsText" dxfId="1649" priority="195" operator="containsText" text="△">
      <formula>NOT(ISERROR(SEARCH("△",AA14)))</formula>
    </cfRule>
    <cfRule type="containsText" dxfId="1648" priority="194" operator="containsText" text="▽">
      <formula>NOT(ISERROR(SEARCH("▽",AA14)))</formula>
    </cfRule>
  </conditionalFormatting>
  <conditionalFormatting sqref="AA15">
    <cfRule type="containsText" dxfId="1647" priority="178" operator="containsText" text="▽">
      <formula>NOT(ISERROR(SEARCH("▽",AA15)))</formula>
    </cfRule>
    <cfRule type="containsText" dxfId="1646" priority="179" operator="containsText" text="△">
      <formula>NOT(ISERROR(SEARCH("△",AA15)))</formula>
    </cfRule>
    <cfRule type="containsText" dxfId="1645" priority="180" operator="containsText" text="▽">
      <formula>NOT(ISERROR(SEARCH("▽",AA15)))</formula>
    </cfRule>
    <cfRule type="containsText" dxfId="1644" priority="177" operator="containsText" text="△">
      <formula>NOT(ISERROR(SEARCH("△",AA15)))</formula>
    </cfRule>
  </conditionalFormatting>
  <conditionalFormatting sqref="AA16">
    <cfRule type="containsText" dxfId="1643" priority="164" operator="containsText" text="▽">
      <formula>NOT(ISERROR(SEARCH("▽",AA16)))</formula>
    </cfRule>
    <cfRule type="containsText" dxfId="1642" priority="163" operator="containsText" text="△">
      <formula>NOT(ISERROR(SEARCH("△",AA16)))</formula>
    </cfRule>
    <cfRule type="containsText" dxfId="1641" priority="162" operator="containsText" text="▽">
      <formula>NOT(ISERROR(SEARCH("▽",AA16)))</formula>
    </cfRule>
    <cfRule type="containsText" dxfId="1640" priority="161" operator="containsText" text="△">
      <formula>NOT(ISERROR(SEARCH("△",AA16)))</formula>
    </cfRule>
  </conditionalFormatting>
  <conditionalFormatting sqref="AA17">
    <cfRule type="containsText" dxfId="1639" priority="145" operator="containsText" text="△">
      <formula>NOT(ISERROR(SEARCH("△",AA17)))</formula>
    </cfRule>
    <cfRule type="containsText" dxfId="1638" priority="146" operator="containsText" text="▽">
      <formula>NOT(ISERROR(SEARCH("▽",AA17)))</formula>
    </cfRule>
  </conditionalFormatting>
  <conditionalFormatting sqref="AA17:AA18">
    <cfRule type="containsText" dxfId="1637" priority="148" operator="containsText" text="▽">
      <formula>NOT(ISERROR(SEARCH("▽",AA17)))</formula>
    </cfRule>
    <cfRule type="containsText" dxfId="1636" priority="147" operator="containsText" text="△">
      <formula>NOT(ISERROR(SEARCH("△",AA17)))</formula>
    </cfRule>
  </conditionalFormatting>
  <conditionalFormatting sqref="AA18">
    <cfRule type="containsText" dxfId="1635" priority="152" operator="containsText" text="▽">
      <formula>NOT(ISERROR(SEARCH("▽",AA18)))</formula>
    </cfRule>
    <cfRule type="containsText" dxfId="1634" priority="151" operator="containsText" text="△">
      <formula>NOT(ISERROR(SEARCH("△",AA18)))</formula>
    </cfRule>
  </conditionalFormatting>
  <conditionalFormatting sqref="AA19:AA20">
    <cfRule type="containsText" dxfId="1633" priority="143" operator="containsText" text="△">
      <formula>NOT(ISERROR(SEARCH("△",AA19)))</formula>
    </cfRule>
    <cfRule type="containsText" dxfId="1632" priority="144" operator="containsText" text="▽">
      <formula>NOT(ISERROR(SEARCH("▽",AA19)))</formula>
    </cfRule>
  </conditionalFormatting>
  <conditionalFormatting sqref="AA19:AA21">
    <cfRule type="containsText" dxfId="1631" priority="140" operator="containsText" text="▽">
      <formula>NOT(ISERROR(SEARCH("▽",AA19)))</formula>
    </cfRule>
    <cfRule type="containsText" dxfId="1630" priority="139" operator="containsText" text="△">
      <formula>NOT(ISERROR(SEARCH("△",AA19)))</formula>
    </cfRule>
  </conditionalFormatting>
  <conditionalFormatting sqref="AA20">
    <cfRule type="containsText" dxfId="1629" priority="199" operator="containsText" text="△">
      <formula>NOT(ISERROR(SEARCH("△",AA20)))</formula>
    </cfRule>
    <cfRule type="containsText" dxfId="1628" priority="198" operator="containsText" text="▽">
      <formula>NOT(ISERROR(SEARCH("▽",AA20)))</formula>
    </cfRule>
    <cfRule type="containsText" dxfId="1627" priority="197" operator="containsText" text="△">
      <formula>NOT(ISERROR(SEARCH("△",AA20)))</formula>
    </cfRule>
    <cfRule type="containsText" dxfId="1626" priority="200" operator="containsText" text="▽">
      <formula>NOT(ISERROR(SEARCH("▽",AA20)))</formula>
    </cfRule>
  </conditionalFormatting>
  <conditionalFormatting sqref="AA21">
    <cfRule type="containsText" dxfId="1625" priority="138" operator="containsText" text="▽">
      <formula>NOT(ISERROR(SEARCH("▽",AA21)))</formula>
    </cfRule>
    <cfRule type="containsText" dxfId="1624" priority="137" operator="containsText" text="△">
      <formula>NOT(ISERROR(SEARCH("△",AA21)))</formula>
    </cfRule>
  </conditionalFormatting>
  <conditionalFormatting sqref="AA22:AA23">
    <cfRule type="containsText" dxfId="1623" priority="702" operator="containsText" text="▽">
      <formula>NOT(ISERROR(SEARCH("▽",AA22)))</formula>
    </cfRule>
    <cfRule type="containsText" dxfId="1622" priority="701" operator="containsText" text="△">
      <formula>NOT(ISERROR(SEARCH("△",AA22)))</formula>
    </cfRule>
    <cfRule type="containsText" dxfId="1621" priority="700" operator="containsText" text="▽">
      <formula>NOT(ISERROR(SEARCH("▽",AA22)))</formula>
    </cfRule>
    <cfRule type="containsText" dxfId="1620" priority="699" operator="containsText" text="△">
      <formula>NOT(ISERROR(SEARCH("△",AA22)))</formula>
    </cfRule>
    <cfRule type="containsText" dxfId="1619" priority="698" operator="containsText" text="▽">
      <formula>NOT(ISERROR(SEARCH("▽",AA22)))</formula>
    </cfRule>
    <cfRule type="containsText" dxfId="1618" priority="697" operator="containsText" text="△">
      <formula>NOT(ISERROR(SEARCH("△",AA22)))</formula>
    </cfRule>
  </conditionalFormatting>
  <conditionalFormatting sqref="AA23">
    <cfRule type="containsText" dxfId="1617" priority="696" operator="containsText" text="▽">
      <formula>NOT(ISERROR(SEARCH("▽",AA23)))</formula>
    </cfRule>
    <cfRule type="containsText" dxfId="1616" priority="695" operator="containsText" text="△">
      <formula>NOT(ISERROR(SEARCH("△",AA23)))</formula>
    </cfRule>
  </conditionalFormatting>
  <conditionalFormatting sqref="AA23:AA24">
    <cfRule type="containsText" dxfId="1615" priority="692" operator="containsText" text="▽">
      <formula>NOT(ISERROR(SEARCH("▽",AA23)))</formula>
    </cfRule>
    <cfRule type="containsText" dxfId="1614" priority="691" operator="containsText" text="△">
      <formula>NOT(ISERROR(SEARCH("△",AA23)))</formula>
    </cfRule>
  </conditionalFormatting>
  <conditionalFormatting sqref="AA24:AA96">
    <cfRule type="containsText" dxfId="1613" priority="688" operator="containsText" text="▽">
      <formula>NOT(ISERROR(SEARCH("▽",AA24)))</formula>
    </cfRule>
    <cfRule type="containsText" dxfId="1612" priority="687" operator="containsText" text="△">
      <formula>NOT(ISERROR(SEARCH("△",AA24)))</formula>
    </cfRule>
  </conditionalFormatting>
  <conditionalFormatting sqref="AA25:AA71">
    <cfRule type="containsText" dxfId="1611" priority="685" operator="containsText" text="△">
      <formula>NOT(ISERROR(SEARCH("△",AA25)))</formula>
    </cfRule>
    <cfRule type="containsText" dxfId="1610" priority="686" operator="containsText" text="▽">
      <formula>NOT(ISERROR(SEARCH("▽",AA25)))</formula>
    </cfRule>
  </conditionalFormatting>
  <conditionalFormatting sqref="AA26:AA71">
    <cfRule type="containsText" dxfId="1609" priority="671" operator="containsText" text="△">
      <formula>NOT(ISERROR(SEARCH("△",AA26)))</formula>
    </cfRule>
    <cfRule type="containsText" dxfId="1608" priority="670" operator="containsText" text="▽">
      <formula>NOT(ISERROR(SEARCH("▽",AA26)))</formula>
    </cfRule>
    <cfRule type="containsText" dxfId="1607" priority="672" operator="containsText" text="▽">
      <formula>NOT(ISERROR(SEARCH("▽",AA26)))</formula>
    </cfRule>
    <cfRule type="containsText" dxfId="1606" priority="669" operator="containsText" text="△">
      <formula>NOT(ISERROR(SEARCH("△",AA26)))</formula>
    </cfRule>
  </conditionalFormatting>
  <conditionalFormatting sqref="AA27:AA28">
    <cfRule type="containsText" dxfId="1605" priority="621" operator="containsText" text="△">
      <formula>NOT(ISERROR(SEARCH("△",AA27)))</formula>
    </cfRule>
    <cfRule type="containsText" dxfId="1604" priority="622" operator="containsText" text="▽">
      <formula>NOT(ISERROR(SEARCH("▽",AA27)))</formula>
    </cfRule>
  </conditionalFormatting>
  <conditionalFormatting sqref="AA27:AA71">
    <cfRule type="containsText" dxfId="1603" priority="623" operator="containsText" text="△">
      <formula>NOT(ISERROR(SEARCH("△",AA27)))</formula>
    </cfRule>
    <cfRule type="containsText" dxfId="1602" priority="624" operator="containsText" text="▽">
      <formula>NOT(ISERROR(SEARCH("▽",AA27)))</formula>
    </cfRule>
  </conditionalFormatting>
  <conditionalFormatting sqref="AA28">
    <cfRule type="containsText" dxfId="1601" priority="664" operator="containsText" text="▽">
      <formula>NOT(ISERROR(SEARCH("▽",AA28)))</formula>
    </cfRule>
    <cfRule type="containsText" dxfId="1600" priority="663" operator="containsText" text="△">
      <formula>NOT(ISERROR(SEARCH("△",AA28)))</formula>
    </cfRule>
  </conditionalFormatting>
  <conditionalFormatting sqref="AA28:AA71">
    <cfRule type="containsText" dxfId="1599" priority="627" operator="containsText" text="△">
      <formula>NOT(ISERROR(SEARCH("△",AA28)))</formula>
    </cfRule>
    <cfRule type="containsText" dxfId="1598" priority="628" operator="containsText" text="▽">
      <formula>NOT(ISERROR(SEARCH("▽",AA28)))</formula>
    </cfRule>
  </conditionalFormatting>
  <conditionalFormatting sqref="AA30:AA71">
    <cfRule type="containsText" dxfId="1597" priority="680" operator="containsText" text="▽">
      <formula>NOT(ISERROR(SEARCH("▽",AA30)))</formula>
    </cfRule>
    <cfRule type="containsText" dxfId="1596" priority="677" operator="containsText" text="△">
      <formula>NOT(ISERROR(SEARCH("△",AA30)))</formula>
    </cfRule>
    <cfRule type="containsText" dxfId="1595" priority="678" operator="containsText" text="▽">
      <formula>NOT(ISERROR(SEARCH("▽",AA30)))</formula>
    </cfRule>
    <cfRule type="containsText" dxfId="1594" priority="679" operator="containsText" text="△">
      <formula>NOT(ISERROR(SEARCH("△",AA30)))</formula>
    </cfRule>
  </conditionalFormatting>
  <conditionalFormatting sqref="AA31">
    <cfRule type="containsText" dxfId="1593" priority="673" operator="containsText" text="△">
      <formula>NOT(ISERROR(SEARCH("△",AA31)))</formula>
    </cfRule>
    <cfRule type="containsText" dxfId="1592" priority="675" operator="containsText" text="△">
      <formula>NOT(ISERROR(SEARCH("△",AA31)))</formula>
    </cfRule>
    <cfRule type="containsText" dxfId="1591" priority="676" operator="containsText" text="▽">
      <formula>NOT(ISERROR(SEARCH("▽",AA31)))</formula>
    </cfRule>
    <cfRule type="containsText" dxfId="1590" priority="674" operator="containsText" text="▽">
      <formula>NOT(ISERROR(SEARCH("▽",AA31)))</formula>
    </cfRule>
  </conditionalFormatting>
  <conditionalFormatting sqref="AA32">
    <cfRule type="containsText" dxfId="1589" priority="681" operator="containsText" text="△">
      <formula>NOT(ISERROR(SEARCH("△",AA32)))</formula>
    </cfRule>
    <cfRule type="containsText" dxfId="1588" priority="682" operator="containsText" text="▽">
      <formula>NOT(ISERROR(SEARCH("▽",AA32)))</formula>
    </cfRule>
    <cfRule type="containsText" dxfId="1587" priority="683" operator="containsText" text="△">
      <formula>NOT(ISERROR(SEARCH("△",AA32)))</formula>
    </cfRule>
    <cfRule type="containsText" dxfId="1586" priority="684" operator="containsText" text="▽">
      <formula>NOT(ISERROR(SEARCH("▽",AA32)))</formula>
    </cfRule>
  </conditionalFormatting>
  <conditionalFormatting sqref="AA33">
    <cfRule type="containsText" dxfId="1585" priority="665" operator="containsText" text="△">
      <formula>NOT(ISERROR(SEARCH("△",AA33)))</formula>
    </cfRule>
    <cfRule type="containsText" dxfId="1584" priority="667" operator="containsText" text="△">
      <formula>NOT(ISERROR(SEARCH("△",AA33)))</formula>
    </cfRule>
    <cfRule type="containsText" dxfId="1583" priority="668" operator="containsText" text="▽">
      <formula>NOT(ISERROR(SEARCH("▽",AA33)))</formula>
    </cfRule>
    <cfRule type="containsText" dxfId="1582" priority="666" operator="containsText" text="▽">
      <formula>NOT(ISERROR(SEARCH("▽",AA33)))</formula>
    </cfRule>
  </conditionalFormatting>
  <conditionalFormatting sqref="AA34">
    <cfRule type="containsText" dxfId="1581" priority="620" operator="containsText" text="▽">
      <formula>NOT(ISERROR(SEARCH("▽",AA34)))</formula>
    </cfRule>
    <cfRule type="containsText" dxfId="1580" priority="619" operator="containsText" text="△">
      <formula>NOT(ISERROR(SEARCH("△",AA34)))</formula>
    </cfRule>
    <cfRule type="containsText" dxfId="1579" priority="618" operator="containsText" text="▽">
      <formula>NOT(ISERROR(SEARCH("▽",AA34)))</formula>
    </cfRule>
    <cfRule type="containsText" dxfId="1578" priority="617" operator="containsText" text="△">
      <formula>NOT(ISERROR(SEARCH("△",AA34)))</formula>
    </cfRule>
  </conditionalFormatting>
  <conditionalFormatting sqref="AA35">
    <cfRule type="containsText" dxfId="1577" priority="630" operator="containsText" text="▽">
      <formula>NOT(ISERROR(SEARCH("▽",AA35)))</formula>
    </cfRule>
    <cfRule type="containsText" dxfId="1576" priority="629" operator="containsText" text="△">
      <formula>NOT(ISERROR(SEARCH("△",AA35)))</formula>
    </cfRule>
  </conditionalFormatting>
  <conditionalFormatting sqref="AA35:AA36">
    <cfRule type="containsText" dxfId="1575" priority="632" operator="containsText" text="▽">
      <formula>NOT(ISERROR(SEARCH("▽",AA35)))</formula>
    </cfRule>
    <cfRule type="containsText" dxfId="1574" priority="631" operator="containsText" text="△">
      <formula>NOT(ISERROR(SEARCH("△",AA35)))</formula>
    </cfRule>
  </conditionalFormatting>
  <conditionalFormatting sqref="AA36">
    <cfRule type="containsText" dxfId="1573" priority="636" operator="containsText" text="▽">
      <formula>NOT(ISERROR(SEARCH("▽",AA36)))</formula>
    </cfRule>
    <cfRule type="containsText" dxfId="1572" priority="635" operator="containsText" text="△">
      <formula>NOT(ISERROR(SEARCH("△",AA36)))</formula>
    </cfRule>
  </conditionalFormatting>
  <conditionalFormatting sqref="AA37">
    <cfRule type="containsText" dxfId="1571" priority="613" operator="containsText" text="△">
      <formula>NOT(ISERROR(SEARCH("△",AA37)))</formula>
    </cfRule>
    <cfRule type="containsText" dxfId="1570" priority="614" operator="containsText" text="▽">
      <formula>NOT(ISERROR(SEARCH("▽",AA37)))</formula>
    </cfRule>
    <cfRule type="containsText" dxfId="1569" priority="615" operator="containsText" text="△">
      <formula>NOT(ISERROR(SEARCH("△",AA37)))</formula>
    </cfRule>
    <cfRule type="containsText" dxfId="1568" priority="616" operator="containsText" text="▽">
      <formula>NOT(ISERROR(SEARCH("▽",AA37)))</formula>
    </cfRule>
  </conditionalFormatting>
  <conditionalFormatting sqref="AA38:AA71">
    <cfRule type="containsText" dxfId="1567" priority="640" operator="containsText" text="▽">
      <formula>NOT(ISERROR(SEARCH("▽",AA38)))</formula>
    </cfRule>
    <cfRule type="containsText" dxfId="1566" priority="638" operator="containsText" text="▽">
      <formula>NOT(ISERROR(SEARCH("▽",AA38)))</formula>
    </cfRule>
    <cfRule type="containsText" dxfId="1565" priority="639" operator="containsText" text="△">
      <formula>NOT(ISERROR(SEARCH("△",AA38)))</formula>
    </cfRule>
    <cfRule type="containsText" dxfId="1564" priority="637" operator="containsText" text="△">
      <formula>NOT(ISERROR(SEARCH("△",AA38)))</formula>
    </cfRule>
  </conditionalFormatting>
  <conditionalFormatting sqref="AA39">
    <cfRule type="containsText" dxfId="1563" priority="643" operator="containsText" text="△">
      <formula>NOT(ISERROR(SEARCH("△",AA39)))</formula>
    </cfRule>
    <cfRule type="containsText" dxfId="1562" priority="644" operator="containsText" text="▽">
      <formula>NOT(ISERROR(SEARCH("▽",AA39)))</formula>
    </cfRule>
    <cfRule type="containsText" dxfId="1561" priority="642" operator="containsText" text="▽">
      <formula>NOT(ISERROR(SEARCH("▽",AA39)))</formula>
    </cfRule>
    <cfRule type="containsText" dxfId="1560" priority="641" operator="containsText" text="△">
      <formula>NOT(ISERROR(SEARCH("△",AA39)))</formula>
    </cfRule>
  </conditionalFormatting>
  <conditionalFormatting sqref="AA40:AA71">
    <cfRule type="containsText" dxfId="1559" priority="611" operator="containsText" text="△">
      <formula>NOT(ISERROR(SEARCH("△",AA40)))</formula>
    </cfRule>
    <cfRule type="containsText" dxfId="1558" priority="610" operator="containsText" text="▽">
      <formula>NOT(ISERROR(SEARCH("▽",AA40)))</formula>
    </cfRule>
    <cfRule type="containsText" dxfId="1557" priority="609" operator="containsText" text="△">
      <formula>NOT(ISERROR(SEARCH("△",AA40)))</formula>
    </cfRule>
    <cfRule type="containsText" dxfId="1556" priority="612" operator="containsText" text="▽">
      <formula>NOT(ISERROR(SEARCH("▽",AA40)))</formula>
    </cfRule>
  </conditionalFormatting>
  <conditionalFormatting sqref="AA41">
    <cfRule type="containsText" dxfId="1555" priority="646" operator="containsText" text="▽">
      <formula>NOT(ISERROR(SEARCH("▽",AA41)))</formula>
    </cfRule>
    <cfRule type="containsText" dxfId="1554" priority="645" operator="containsText" text="△">
      <formula>NOT(ISERROR(SEARCH("△",AA41)))</formula>
    </cfRule>
  </conditionalFormatting>
  <conditionalFormatting sqref="AA41:AA42">
    <cfRule type="containsText" dxfId="1553" priority="647" operator="containsText" text="△">
      <formula>NOT(ISERROR(SEARCH("△",AA41)))</formula>
    </cfRule>
    <cfRule type="containsText" dxfId="1552" priority="648" operator="containsText" text="▽">
      <formula>NOT(ISERROR(SEARCH("▽",AA41)))</formula>
    </cfRule>
  </conditionalFormatting>
  <conditionalFormatting sqref="AA42">
    <cfRule type="containsText" dxfId="1551" priority="651" operator="containsText" text="△">
      <formula>NOT(ISERROR(SEARCH("△",AA42)))</formula>
    </cfRule>
    <cfRule type="containsText" dxfId="1550" priority="652" operator="containsText" text="▽">
      <formula>NOT(ISERROR(SEARCH("▽",AA42)))</formula>
    </cfRule>
  </conditionalFormatting>
  <conditionalFormatting sqref="AA43">
    <cfRule type="containsText" dxfId="1549" priority="601" operator="containsText" text="△">
      <formula>NOT(ISERROR(SEARCH("△",AA43)))</formula>
    </cfRule>
    <cfRule type="containsText" dxfId="1548" priority="602" operator="containsText" text="▽">
      <formula>NOT(ISERROR(SEARCH("▽",AA43)))</formula>
    </cfRule>
  </conditionalFormatting>
  <conditionalFormatting sqref="AA43:AA44">
    <cfRule type="containsText" dxfId="1547" priority="603" operator="containsText" text="△">
      <formula>NOT(ISERROR(SEARCH("△",AA43)))</formula>
    </cfRule>
    <cfRule type="containsText" dxfId="1546" priority="604" operator="containsText" text="▽">
      <formula>NOT(ISERROR(SEARCH("▽",AA43)))</formula>
    </cfRule>
  </conditionalFormatting>
  <conditionalFormatting sqref="AA44">
    <cfRule type="containsText" dxfId="1545" priority="607" operator="containsText" text="△">
      <formula>NOT(ISERROR(SEARCH("△",AA44)))</formula>
    </cfRule>
    <cfRule type="containsText" dxfId="1544" priority="608" operator="containsText" text="▽">
      <formula>NOT(ISERROR(SEARCH("▽",AA44)))</formula>
    </cfRule>
  </conditionalFormatting>
  <conditionalFormatting sqref="AA45:AA71">
    <cfRule type="containsText" dxfId="1543" priority="655" operator="containsText" text="△">
      <formula>NOT(ISERROR(SEARCH("△",AA45)))</formula>
    </cfRule>
    <cfRule type="containsText" dxfId="1542" priority="654" operator="containsText" text="▽">
      <formula>NOT(ISERROR(SEARCH("▽",AA45)))</formula>
    </cfRule>
    <cfRule type="containsText" dxfId="1541" priority="653" operator="containsText" text="△">
      <formula>NOT(ISERROR(SEARCH("△",AA45)))</formula>
    </cfRule>
    <cfRule type="containsText" dxfId="1540" priority="656" operator="containsText" text="▽">
      <formula>NOT(ISERROR(SEARCH("▽",AA45)))</formula>
    </cfRule>
  </conditionalFormatting>
  <conditionalFormatting sqref="AA46:AA71">
    <cfRule type="containsText" dxfId="1539" priority="589" operator="containsText" text="△">
      <formula>NOT(ISERROR(SEARCH("△",AA46)))</formula>
    </cfRule>
    <cfRule type="containsText" dxfId="1538" priority="591" operator="containsText" text="△">
      <formula>NOT(ISERROR(SEARCH("△",AA46)))</formula>
    </cfRule>
    <cfRule type="containsText" dxfId="1537" priority="590" operator="containsText" text="▽">
      <formula>NOT(ISERROR(SEARCH("▽",AA46)))</formula>
    </cfRule>
    <cfRule type="containsText" dxfId="1536" priority="592" operator="containsText" text="▽">
      <formula>NOT(ISERROR(SEARCH("▽",AA46)))</formula>
    </cfRule>
  </conditionalFormatting>
  <conditionalFormatting sqref="AA47:AA71">
    <cfRule type="containsText" dxfId="1535" priority="596" operator="containsText" text="▽">
      <formula>NOT(ISERROR(SEARCH("▽",AA47)))</formula>
    </cfRule>
    <cfRule type="containsText" dxfId="1534" priority="595" operator="containsText" text="△">
      <formula>NOT(ISERROR(SEARCH("△",AA47)))</formula>
    </cfRule>
    <cfRule type="containsText" dxfId="1533" priority="594" operator="containsText" text="▽">
      <formula>NOT(ISERROR(SEARCH("▽",AA47)))</formula>
    </cfRule>
    <cfRule type="containsText" dxfId="1532" priority="593" operator="containsText" text="△">
      <formula>NOT(ISERROR(SEARCH("△",AA47)))</formula>
    </cfRule>
  </conditionalFormatting>
  <conditionalFormatting sqref="AA48:AA71">
    <cfRule type="containsText" dxfId="1531" priority="576" operator="containsText" text="▽">
      <formula>NOT(ISERROR(SEARCH("▽",AA48)))</formula>
    </cfRule>
    <cfRule type="containsText" dxfId="1530" priority="575" operator="containsText" text="△">
      <formula>NOT(ISERROR(SEARCH("△",AA48)))</formula>
    </cfRule>
    <cfRule type="containsText" dxfId="1529" priority="574" operator="containsText" text="▽">
      <formula>NOT(ISERROR(SEARCH("▽",AA48)))</formula>
    </cfRule>
    <cfRule type="containsText" dxfId="1528" priority="573" operator="containsText" text="△">
      <formula>NOT(ISERROR(SEARCH("△",AA48)))</formula>
    </cfRule>
  </conditionalFormatting>
  <conditionalFormatting sqref="AA49:AA71">
    <cfRule type="containsText" dxfId="1527" priority="572" operator="containsText" text="▽">
      <formula>NOT(ISERROR(SEARCH("▽",AA49)))</formula>
    </cfRule>
    <cfRule type="containsText" dxfId="1526" priority="571" operator="containsText" text="△">
      <formula>NOT(ISERROR(SEARCH("△",AA49)))</formula>
    </cfRule>
    <cfRule type="containsText" dxfId="1525" priority="570" operator="containsText" text="▽">
      <formula>NOT(ISERROR(SEARCH("▽",AA49)))</formula>
    </cfRule>
    <cfRule type="containsText" dxfId="1524" priority="569" operator="containsText" text="△">
      <formula>NOT(ISERROR(SEARCH("△",AA49)))</formula>
    </cfRule>
  </conditionalFormatting>
  <conditionalFormatting sqref="AA50:AA71">
    <cfRule type="containsText" dxfId="1523" priority="600" operator="containsText" text="▽">
      <formula>NOT(ISERROR(SEARCH("▽",AA50)))</formula>
    </cfRule>
    <cfRule type="containsText" dxfId="1522" priority="599" operator="containsText" text="△">
      <formula>NOT(ISERROR(SEARCH("△",AA50)))</formula>
    </cfRule>
    <cfRule type="containsText" dxfId="1521" priority="598" operator="containsText" text="▽">
      <formula>NOT(ISERROR(SEARCH("▽",AA50)))</formula>
    </cfRule>
    <cfRule type="containsText" dxfId="1520" priority="597" operator="containsText" text="△">
      <formula>NOT(ISERROR(SEARCH("△",AA50)))</formula>
    </cfRule>
  </conditionalFormatting>
  <conditionalFormatting sqref="AA51:AA71">
    <cfRule type="containsText" dxfId="1519" priority="553" operator="containsText" text="△">
      <formula>NOT(ISERROR(SEARCH("△",AA51)))</formula>
    </cfRule>
    <cfRule type="containsText" dxfId="1518" priority="552" operator="containsText" text="▽">
      <formula>NOT(ISERROR(SEARCH("▽",AA51)))</formula>
    </cfRule>
    <cfRule type="containsText" dxfId="1517" priority="551" operator="containsText" text="△">
      <formula>NOT(ISERROR(SEARCH("△",AA51)))</formula>
    </cfRule>
    <cfRule type="containsText" dxfId="1516" priority="554" operator="containsText" text="▽">
      <formula>NOT(ISERROR(SEARCH("▽",AA51)))</formula>
    </cfRule>
  </conditionalFormatting>
  <conditionalFormatting sqref="AA52:AA71">
    <cfRule type="containsText" dxfId="1515" priority="579" operator="containsText" text="△">
      <formula>NOT(ISERROR(SEARCH("△",AA52)))</formula>
    </cfRule>
    <cfRule type="containsText" dxfId="1514" priority="580" operator="containsText" text="▽">
      <formula>NOT(ISERROR(SEARCH("▽",AA52)))</formula>
    </cfRule>
    <cfRule type="containsText" dxfId="1513" priority="578" operator="containsText" text="▽">
      <formula>NOT(ISERROR(SEARCH("▽",AA52)))</formula>
    </cfRule>
    <cfRule type="containsText" dxfId="1512" priority="577" operator="containsText" text="△">
      <formula>NOT(ISERROR(SEARCH("△",AA52)))</formula>
    </cfRule>
  </conditionalFormatting>
  <conditionalFormatting sqref="AA53">
    <cfRule type="containsText" dxfId="1511" priority="581" operator="containsText" text="△">
      <formula>NOT(ISERROR(SEARCH("△",AA53)))</formula>
    </cfRule>
    <cfRule type="containsText" dxfId="1510" priority="582" operator="containsText" text="▽">
      <formula>NOT(ISERROR(SEARCH("▽",AA53)))</formula>
    </cfRule>
    <cfRule type="containsText" dxfId="1509" priority="584" operator="containsText" text="▽">
      <formula>NOT(ISERROR(SEARCH("▽",AA53)))</formula>
    </cfRule>
    <cfRule type="containsText" dxfId="1508" priority="583" operator="containsText" text="△">
      <formula>NOT(ISERROR(SEARCH("△",AA53)))</formula>
    </cfRule>
  </conditionalFormatting>
  <conditionalFormatting sqref="AA54:AA71">
    <cfRule type="containsText" dxfId="1507" priority="568" operator="containsText" text="▽">
      <formula>NOT(ISERROR(SEARCH("▽",AA54)))</formula>
    </cfRule>
    <cfRule type="containsText" dxfId="1506" priority="567" operator="containsText" text="△">
      <formula>NOT(ISERROR(SEARCH("△",AA54)))</formula>
    </cfRule>
    <cfRule type="containsText" dxfId="1505" priority="566" operator="containsText" text="▽">
      <formula>NOT(ISERROR(SEARCH("▽",AA54)))</formula>
    </cfRule>
    <cfRule type="containsText" dxfId="1504" priority="565" operator="containsText" text="△">
      <formula>NOT(ISERROR(SEARCH("△",AA54)))</formula>
    </cfRule>
  </conditionalFormatting>
  <conditionalFormatting sqref="AA55:AA71">
    <cfRule type="containsText" dxfId="1503" priority="525" operator="containsText" text="△">
      <formula>NOT(ISERROR(SEARCH("△",AA55)))</formula>
    </cfRule>
    <cfRule type="containsText" dxfId="1502" priority="523" operator="containsText" text="△">
      <formula>NOT(ISERROR(SEARCH("△",AA55)))</formula>
    </cfRule>
    <cfRule type="containsText" dxfId="1501" priority="524" operator="containsText" text="▽">
      <formula>NOT(ISERROR(SEARCH("▽",AA55)))</formula>
    </cfRule>
    <cfRule type="containsText" dxfId="1500" priority="526" operator="containsText" text="▽">
      <formula>NOT(ISERROR(SEARCH("▽",AA55)))</formula>
    </cfRule>
  </conditionalFormatting>
  <conditionalFormatting sqref="AA56:AA71">
    <cfRule type="containsText" dxfId="1499" priority="532" operator="containsText" text="▽">
      <formula>NOT(ISERROR(SEARCH("▽",AA56)))</formula>
    </cfRule>
    <cfRule type="containsText" dxfId="1498" priority="533" operator="containsText" text="△">
      <formula>NOT(ISERROR(SEARCH("△",AA56)))</formula>
    </cfRule>
    <cfRule type="containsText" dxfId="1497" priority="534" operator="containsText" text="▽">
      <formula>NOT(ISERROR(SEARCH("▽",AA56)))</formula>
    </cfRule>
    <cfRule type="containsText" dxfId="1496" priority="531" operator="containsText" text="△">
      <formula>NOT(ISERROR(SEARCH("△",AA56)))</formula>
    </cfRule>
  </conditionalFormatting>
  <conditionalFormatting sqref="AA57:AA71">
    <cfRule type="containsText" dxfId="1495" priority="588" operator="containsText" text="▽">
      <formula>NOT(ISERROR(SEARCH("▽",AA57)))</formula>
    </cfRule>
    <cfRule type="containsText" dxfId="1494" priority="585" operator="containsText" text="△">
      <formula>NOT(ISERROR(SEARCH("△",AA57)))</formula>
    </cfRule>
    <cfRule type="containsText" dxfId="1493" priority="586" operator="containsText" text="▽">
      <formula>NOT(ISERROR(SEARCH("▽",AA57)))</formula>
    </cfRule>
    <cfRule type="containsText" dxfId="1492" priority="587" operator="containsText" text="△">
      <formula>NOT(ISERROR(SEARCH("△",AA57)))</formula>
    </cfRule>
  </conditionalFormatting>
  <conditionalFormatting sqref="AA58:AA71">
    <cfRule type="containsText" dxfId="1491" priority="520" operator="containsText" text="▽">
      <formula>NOT(ISERROR(SEARCH("▽",AA58)))</formula>
    </cfRule>
    <cfRule type="containsText" dxfId="1490" priority="521" operator="containsText" text="△">
      <formula>NOT(ISERROR(SEARCH("△",AA58)))</formula>
    </cfRule>
    <cfRule type="containsText" dxfId="1489" priority="522" operator="containsText" text="▽">
      <formula>NOT(ISERROR(SEARCH("▽",AA58)))</formula>
    </cfRule>
    <cfRule type="containsText" dxfId="1488" priority="519" operator="containsText" text="△">
      <formula>NOT(ISERROR(SEARCH("△",AA58)))</formula>
    </cfRule>
  </conditionalFormatting>
  <conditionalFormatting sqref="AA59:AA71">
    <cfRule type="containsText" dxfId="1487" priority="536" operator="containsText" text="▽">
      <formula>NOT(ISERROR(SEARCH("▽",AA59)))</formula>
    </cfRule>
    <cfRule type="containsText" dxfId="1486" priority="538" operator="containsText" text="▽">
      <formula>NOT(ISERROR(SEARCH("▽",AA59)))</formula>
    </cfRule>
    <cfRule type="containsText" dxfId="1485" priority="537" operator="containsText" text="△">
      <formula>NOT(ISERROR(SEARCH("△",AA59)))</formula>
    </cfRule>
    <cfRule type="containsText" dxfId="1484" priority="535" operator="containsText" text="△">
      <formula>NOT(ISERROR(SEARCH("△",AA59)))</formula>
    </cfRule>
  </conditionalFormatting>
  <conditionalFormatting sqref="AA60:AA71">
    <cfRule type="containsText" dxfId="1483" priority="559" operator="containsText" text="△">
      <formula>NOT(ISERROR(SEARCH("△",AA60)))</formula>
    </cfRule>
    <cfRule type="containsText" dxfId="1482" priority="560" operator="containsText" text="▽">
      <formula>NOT(ISERROR(SEARCH("▽",AA60)))</formula>
    </cfRule>
    <cfRule type="containsText" dxfId="1481" priority="561" operator="containsText" text="△">
      <formula>NOT(ISERROR(SEARCH("△",AA60)))</formula>
    </cfRule>
    <cfRule type="containsText" dxfId="1480" priority="562" operator="containsText" text="▽">
      <formula>NOT(ISERROR(SEARCH("▽",AA60)))</formula>
    </cfRule>
  </conditionalFormatting>
  <conditionalFormatting sqref="AA61:AA71">
    <cfRule type="containsText" dxfId="1479" priority="550" operator="containsText" text="▽">
      <formula>NOT(ISERROR(SEARCH("▽",AA61)))</formula>
    </cfRule>
    <cfRule type="containsText" dxfId="1478" priority="549" operator="containsText" text="△">
      <formula>NOT(ISERROR(SEARCH("△",AA61)))</formula>
    </cfRule>
    <cfRule type="containsText" dxfId="1477" priority="548" operator="containsText" text="▽">
      <formula>NOT(ISERROR(SEARCH("▽",AA61)))</formula>
    </cfRule>
    <cfRule type="containsText" dxfId="1476" priority="547" operator="containsText" text="△">
      <formula>NOT(ISERROR(SEARCH("△",AA61)))</formula>
    </cfRule>
  </conditionalFormatting>
  <conditionalFormatting sqref="AA62:AA71">
    <cfRule type="containsText" dxfId="1475" priority="495" operator="containsText" text="△">
      <formula>NOT(ISERROR(SEARCH("△",AA62)))</formula>
    </cfRule>
    <cfRule type="containsText" dxfId="1474" priority="497" operator="containsText" text="△">
      <formula>NOT(ISERROR(SEARCH("△",AA62)))</formula>
    </cfRule>
    <cfRule type="containsText" dxfId="1473" priority="498" operator="containsText" text="▽">
      <formula>NOT(ISERROR(SEARCH("▽",AA62)))</formula>
    </cfRule>
    <cfRule type="containsText" dxfId="1472" priority="496" operator="containsText" text="▽">
      <formula>NOT(ISERROR(SEARCH("▽",AA62)))</formula>
    </cfRule>
  </conditionalFormatting>
  <conditionalFormatting sqref="AA63:AA71">
    <cfRule type="containsText" dxfId="1471" priority="478" operator="containsText" text="▽">
      <formula>NOT(ISERROR(SEARCH("▽",AA63)))</formula>
    </cfRule>
    <cfRule type="containsText" dxfId="1470" priority="476" operator="containsText" text="▽">
      <formula>NOT(ISERROR(SEARCH("▽",AA63)))</formula>
    </cfRule>
    <cfRule type="containsText" dxfId="1469" priority="475" operator="containsText" text="△">
      <formula>NOT(ISERROR(SEARCH("△",AA63)))</formula>
    </cfRule>
    <cfRule type="containsText" dxfId="1468" priority="477" operator="containsText" text="△">
      <formula>NOT(ISERROR(SEARCH("△",AA63)))</formula>
    </cfRule>
  </conditionalFormatting>
  <conditionalFormatting sqref="AA64:AA71">
    <cfRule type="containsText" dxfId="1467" priority="515" operator="containsText" text="△">
      <formula>NOT(ISERROR(SEARCH("△",AA64)))</formula>
    </cfRule>
    <cfRule type="containsText" dxfId="1466" priority="518" operator="containsText" text="▽">
      <formula>NOT(ISERROR(SEARCH("▽",AA64)))</formula>
    </cfRule>
    <cfRule type="containsText" dxfId="1465" priority="517" operator="containsText" text="△">
      <formula>NOT(ISERROR(SEARCH("△",AA64)))</formula>
    </cfRule>
    <cfRule type="containsText" dxfId="1464" priority="516" operator="containsText" text="▽">
      <formula>NOT(ISERROR(SEARCH("▽",AA64)))</formula>
    </cfRule>
  </conditionalFormatting>
  <conditionalFormatting sqref="AA65:AA71">
    <cfRule type="containsText" dxfId="1463" priority="470" operator="containsText" text="▽">
      <formula>NOT(ISERROR(SEARCH("▽",AA65)))</formula>
    </cfRule>
    <cfRule type="containsText" dxfId="1462" priority="468" operator="containsText" text="▽">
      <formula>NOT(ISERROR(SEARCH("▽",AA65)))</formula>
    </cfRule>
    <cfRule type="containsText" dxfId="1461" priority="467" operator="containsText" text="△">
      <formula>NOT(ISERROR(SEARCH("△",AA65)))</formula>
    </cfRule>
    <cfRule type="containsText" dxfId="1460" priority="469" operator="containsText" text="△">
      <formula>NOT(ISERROR(SEARCH("△",AA65)))</formula>
    </cfRule>
  </conditionalFormatting>
  <conditionalFormatting sqref="AA66">
    <cfRule type="containsText" dxfId="1459" priority="458" operator="containsText" text="▽">
      <formula>NOT(ISERROR(SEARCH("▽",AA66)))</formula>
    </cfRule>
    <cfRule type="containsText" dxfId="1458" priority="457" operator="containsText" text="△">
      <formula>NOT(ISERROR(SEARCH("△",AA66)))</formula>
    </cfRule>
  </conditionalFormatting>
  <conditionalFormatting sqref="AA66:AA71">
    <cfRule type="containsText" dxfId="1457" priority="446" operator="containsText" text="▽">
      <formula>NOT(ISERROR(SEARCH("▽",AA66)))</formula>
    </cfRule>
    <cfRule type="containsText" dxfId="1456" priority="445" operator="containsText" text="△">
      <formula>NOT(ISERROR(SEARCH("△",AA66)))</formula>
    </cfRule>
  </conditionalFormatting>
  <conditionalFormatting sqref="AA67">
    <cfRule type="containsText" dxfId="1455" priority="444" operator="containsText" text="▽">
      <formula>NOT(ISERROR(SEARCH("▽",AA67)))</formula>
    </cfRule>
    <cfRule type="containsText" dxfId="1454" priority="443" operator="containsText" text="△">
      <formula>NOT(ISERROR(SEARCH("△",AA67)))</formula>
    </cfRule>
  </conditionalFormatting>
  <conditionalFormatting sqref="AA68:AA71">
    <cfRule type="containsText" dxfId="1453" priority="450" operator="containsText" text="▽">
      <formula>NOT(ISERROR(SEARCH("▽",AA68)))</formula>
    </cfRule>
    <cfRule type="containsText" dxfId="1452" priority="449" operator="containsText" text="△">
      <formula>NOT(ISERROR(SEARCH("△",AA68)))</formula>
    </cfRule>
  </conditionalFormatting>
  <conditionalFormatting sqref="AA69">
    <cfRule type="containsText" dxfId="1451" priority="441" operator="containsText" text="△">
      <formula>NOT(ISERROR(SEARCH("△",AA69)))</formula>
    </cfRule>
    <cfRule type="containsText" dxfId="1450" priority="442" operator="containsText" text="▽">
      <formula>NOT(ISERROR(SEARCH("▽",AA69)))</formula>
    </cfRule>
  </conditionalFormatting>
  <conditionalFormatting sqref="AA69:AA71">
    <cfRule type="containsText" dxfId="1449" priority="433" operator="containsText" text="△">
      <formula>NOT(ISERROR(SEARCH("△",AA69)))</formula>
    </cfRule>
    <cfRule type="containsText" dxfId="1448" priority="434" operator="containsText" text="▽">
      <formula>NOT(ISERROR(SEARCH("▽",AA69)))</formula>
    </cfRule>
  </conditionalFormatting>
  <conditionalFormatting sqref="AA70:AA71">
    <cfRule type="containsText" dxfId="1447" priority="432" operator="containsText" text="▽">
      <formula>NOT(ISERROR(SEARCH("▽",AA70)))</formula>
    </cfRule>
    <cfRule type="containsText" dxfId="1446" priority="431" operator="containsText" text="△">
      <formula>NOT(ISERROR(SEARCH("△",AA70)))</formula>
    </cfRule>
  </conditionalFormatting>
  <conditionalFormatting sqref="AA71">
    <cfRule type="containsText" dxfId="1445" priority="465" operator="containsText" text="△">
      <formula>NOT(ISERROR(SEARCH("△",AA71)))</formula>
    </cfRule>
    <cfRule type="containsText" dxfId="1444" priority="464" operator="containsText" text="▽">
      <formula>NOT(ISERROR(SEARCH("▽",AA71)))</formula>
    </cfRule>
    <cfRule type="containsText" dxfId="1443" priority="463" operator="containsText" text="△">
      <formula>NOT(ISERROR(SEARCH("△",AA71)))</formula>
    </cfRule>
    <cfRule type="containsText" dxfId="1442" priority="466" operator="containsText" text="▽">
      <formula>NOT(ISERROR(SEARCH("▽",AA71)))</formula>
    </cfRule>
  </conditionalFormatting>
  <conditionalFormatting sqref="AA77">
    <cfRule type="containsText" dxfId="1441" priority="555" operator="containsText" text="△">
      <formula>NOT(ISERROR(SEARCH("△",AA77)))</formula>
    </cfRule>
    <cfRule type="containsText" dxfId="1440" priority="557" operator="containsText" text="△">
      <formula>NOT(ISERROR(SEARCH("△",AA77)))</formula>
    </cfRule>
    <cfRule type="containsText" dxfId="1439" priority="556" operator="containsText" text="▽">
      <formula>NOT(ISERROR(SEARCH("▽",AA77)))</formula>
    </cfRule>
    <cfRule type="containsText" dxfId="1438" priority="558" operator="containsText" text="▽">
      <formula>NOT(ISERROR(SEARCH("▽",AA77)))</formula>
    </cfRule>
  </conditionalFormatting>
  <conditionalFormatting sqref="AA86">
    <cfRule type="containsText" dxfId="1437" priority="365" operator="containsText" text="△">
      <formula>NOT(ISERROR(SEARCH("△",AA86)))</formula>
    </cfRule>
    <cfRule type="containsText" dxfId="1436" priority="366" operator="containsText" text="▽">
      <formula>NOT(ISERROR(SEARCH("▽",AA86)))</formula>
    </cfRule>
    <cfRule type="containsText" dxfId="1435" priority="364" operator="containsText" text="▽">
      <formula>NOT(ISERROR(SEARCH("▽",AA86)))</formula>
    </cfRule>
    <cfRule type="containsText" dxfId="1434" priority="363" operator="containsText" text="△">
      <formula>NOT(ISERROR(SEARCH("△",AA86)))</formula>
    </cfRule>
  </conditionalFormatting>
  <conditionalFormatting sqref="AA91:AA92">
    <cfRule type="containsText" dxfId="1433" priority="488" operator="containsText" text="▽">
      <formula>NOT(ISERROR(SEARCH("▽",AA91)))</formula>
    </cfRule>
    <cfRule type="containsText" dxfId="1432" priority="489" operator="containsText" text="△">
      <formula>NOT(ISERROR(SEARCH("△",AA91)))</formula>
    </cfRule>
    <cfRule type="containsText" dxfId="1431" priority="490" operator="containsText" text="▽">
      <formula>NOT(ISERROR(SEARCH("▽",AA91)))</formula>
    </cfRule>
    <cfRule type="containsText" dxfId="1430" priority="487" operator="containsText" text="△">
      <formula>NOT(ISERROR(SEARCH("△",AA91)))</formula>
    </cfRule>
  </conditionalFormatting>
  <conditionalFormatting sqref="AA92">
    <cfRule type="containsText" dxfId="1429" priority="417" operator="containsText" text="△">
      <formula>NOT(ISERROR(SEARCH("△",AA92)))</formula>
    </cfRule>
    <cfRule type="containsText" dxfId="1428" priority="418" operator="containsText" text="▽">
      <formula>NOT(ISERROR(SEARCH("▽",AA92)))</formula>
    </cfRule>
  </conditionalFormatting>
  <conditionalFormatting sqref="AA92:AA93">
    <cfRule type="containsText" dxfId="1427" priority="279" operator="containsText" text="△">
      <formula>NOT(ISERROR(SEARCH("△",AA92)))</formula>
    </cfRule>
    <cfRule type="containsText" dxfId="1426" priority="280" operator="containsText" text="▽">
      <formula>NOT(ISERROR(SEARCH("▽",AA92)))</formula>
    </cfRule>
  </conditionalFormatting>
  <conditionalFormatting sqref="AA93:AA95">
    <cfRule type="containsText" dxfId="1425" priority="259" operator="containsText" text="△">
      <formula>NOT(ISERROR(SEARCH("△",AA93)))</formula>
    </cfRule>
    <cfRule type="containsText" dxfId="1424" priority="260" operator="containsText" text="▽">
      <formula>NOT(ISERROR(SEARCH("▽",AA93)))</formula>
    </cfRule>
  </conditionalFormatting>
  <conditionalFormatting sqref="AA94">
    <cfRule type="containsText" dxfId="1423" priority="258" operator="containsText" text="▽">
      <formula>NOT(ISERROR(SEARCH("▽",AA94)))</formula>
    </cfRule>
    <cfRule type="containsText" dxfId="1422" priority="257" operator="containsText" text="△">
      <formula>NOT(ISERROR(SEARCH("△",AA94)))</formula>
    </cfRule>
  </conditionalFormatting>
  <conditionalFormatting sqref="AA95">
    <cfRule type="containsText" dxfId="1421" priority="268" operator="containsText" text="▽">
      <formula>NOT(ISERROR(SEARCH("▽",AA95)))</formula>
    </cfRule>
    <cfRule type="containsText" dxfId="1420" priority="267" operator="containsText" text="△">
      <formula>NOT(ISERROR(SEARCH("△",AA95)))</formula>
    </cfRule>
  </conditionalFormatting>
  <conditionalFormatting sqref="AA97:AA99">
    <cfRule type="containsText" dxfId="1419" priority="128" operator="containsText" text="▽">
      <formula>NOT(ISERROR(SEARCH("▽",AA97)))</formula>
    </cfRule>
    <cfRule type="containsText" dxfId="1418" priority="127" operator="containsText" text="△">
      <formula>NOT(ISERROR(SEARCH("△",AA97)))</formula>
    </cfRule>
    <cfRule type="containsText" dxfId="1417" priority="126" operator="containsText" text="▽">
      <formula>NOT(ISERROR(SEARCH("▽",AA97)))</formula>
    </cfRule>
    <cfRule type="containsText" dxfId="1416" priority="125" operator="containsText" text="△">
      <formula>NOT(ISERROR(SEARCH("△",AA97)))</formula>
    </cfRule>
  </conditionalFormatting>
  <conditionalFormatting sqref="AA98:AA99">
    <cfRule type="containsText" dxfId="1415" priority="124" operator="containsText" text="▽">
      <formula>NOT(ISERROR(SEARCH("▽",AA98)))</formula>
    </cfRule>
    <cfRule type="containsText" dxfId="1414" priority="123" operator="containsText" text="△">
      <formula>NOT(ISERROR(SEARCH("△",AA98)))</formula>
    </cfRule>
    <cfRule type="containsText" dxfId="1413" priority="122" operator="containsText" text="▽">
      <formula>NOT(ISERROR(SEARCH("▽",AA98)))</formula>
    </cfRule>
    <cfRule type="containsText" dxfId="1412" priority="121" operator="containsText" text="△">
      <formula>NOT(ISERROR(SEARCH("△",AA98)))</formula>
    </cfRule>
  </conditionalFormatting>
  <conditionalFormatting sqref="AA99">
    <cfRule type="containsText" dxfId="1411" priority="119" operator="containsText" text="△">
      <formula>NOT(ISERROR(SEARCH("△",AA99)))</formula>
    </cfRule>
    <cfRule type="containsText" dxfId="1410" priority="120" operator="containsText" text="▽">
      <formula>NOT(ISERROR(SEARCH("▽",AA99)))</formula>
    </cfRule>
  </conditionalFormatting>
  <conditionalFormatting sqref="AA99:AA102">
    <cfRule type="containsText" dxfId="1409" priority="113" operator="containsText" text="△">
      <formula>NOT(ISERROR(SEARCH("△",AA99)))</formula>
    </cfRule>
    <cfRule type="containsText" dxfId="1408" priority="114" operator="containsText" text="▽">
      <formula>NOT(ISERROR(SEARCH("▽",AA99)))</formula>
    </cfRule>
  </conditionalFormatting>
  <conditionalFormatting sqref="AA100:AA102">
    <cfRule type="containsText" dxfId="1407" priority="102" operator="containsText" text="▽">
      <formula>NOT(ISERROR(SEARCH("▽",AA100)))</formula>
    </cfRule>
    <cfRule type="containsText" dxfId="1406" priority="92" operator="containsText" text="▽">
      <formula>NOT(ISERROR(SEARCH("▽",AA100)))</formula>
    </cfRule>
    <cfRule type="containsText" dxfId="1405" priority="91" operator="containsText" text="△">
      <formula>NOT(ISERROR(SEARCH("△",AA100)))</formula>
    </cfRule>
    <cfRule type="containsText" dxfId="1404" priority="90" operator="containsText" text="▽">
      <formula>NOT(ISERROR(SEARCH("▽",AA100)))</formula>
    </cfRule>
    <cfRule type="containsText" dxfId="1403" priority="89" operator="containsText" text="△">
      <formula>NOT(ISERROR(SEARCH("△",AA100)))</formula>
    </cfRule>
    <cfRule type="containsText" dxfId="1402" priority="88" operator="containsText" text="▽">
      <formula>NOT(ISERROR(SEARCH("▽",AA100)))</formula>
    </cfRule>
    <cfRule type="containsText" dxfId="1401" priority="87" operator="containsText" text="△">
      <formula>NOT(ISERROR(SEARCH("△",AA100)))</formula>
    </cfRule>
    <cfRule type="containsText" dxfId="1400" priority="97" operator="containsText" text="△">
      <formula>NOT(ISERROR(SEARCH("△",AA100)))</formula>
    </cfRule>
    <cfRule type="containsText" dxfId="1399" priority="98" operator="containsText" text="▽">
      <formula>NOT(ISERROR(SEARCH("▽",AA100)))</formula>
    </cfRule>
    <cfRule type="containsText" dxfId="1398" priority="99" operator="containsText" text="△">
      <formula>NOT(ISERROR(SEARCH("△",AA100)))</formula>
    </cfRule>
    <cfRule type="containsText" dxfId="1397" priority="100" operator="containsText" text="▽">
      <formula>NOT(ISERROR(SEARCH("▽",AA100)))</formula>
    </cfRule>
    <cfRule type="containsText" dxfId="1396" priority="101" operator="containsText" text="△">
      <formula>NOT(ISERROR(SEARCH("△",AA100)))</formula>
    </cfRule>
    <cfRule type="containsText" dxfId="1395" priority="103" operator="containsText" text="△">
      <formula>NOT(ISERROR(SEARCH("△",AA100)))</formula>
    </cfRule>
    <cfRule type="containsText" dxfId="1394" priority="104" operator="containsText" text="▽">
      <formula>NOT(ISERROR(SEARCH("▽",AA100)))</formula>
    </cfRule>
  </conditionalFormatting>
  <conditionalFormatting sqref="AA100:AA103">
    <cfRule type="containsText" dxfId="1393" priority="78" operator="containsText" text="▽">
      <formula>NOT(ISERROR(SEARCH("▽",AA100)))</formula>
    </cfRule>
    <cfRule type="containsText" dxfId="1392" priority="77" operator="containsText" text="△">
      <formula>NOT(ISERROR(SEARCH("△",AA100)))</formula>
    </cfRule>
  </conditionalFormatting>
  <conditionalFormatting sqref="AA102">
    <cfRule type="containsText" dxfId="1391" priority="95" operator="containsText" text="△">
      <formula>NOT(ISERROR(SEARCH("△",AA102)))</formula>
    </cfRule>
    <cfRule type="containsText" dxfId="1390" priority="96" operator="containsText" text="▽">
      <formula>NOT(ISERROR(SEARCH("▽",AA102)))</formula>
    </cfRule>
    <cfRule type="containsText" dxfId="1389" priority="94" operator="containsText" text="▽">
      <formula>NOT(ISERROR(SEARCH("▽",AA102)))</formula>
    </cfRule>
    <cfRule type="containsText" dxfId="1388" priority="93" operator="containsText" text="△">
      <formula>NOT(ISERROR(SEARCH("△",AA102)))</formula>
    </cfRule>
  </conditionalFormatting>
  <conditionalFormatting sqref="AA103">
    <cfRule type="containsText" dxfId="1387" priority="61" operator="containsText" text="△">
      <formula>NOT(ISERROR(SEARCH("△",AA103)))</formula>
    </cfRule>
    <cfRule type="containsText" dxfId="1386" priority="60" operator="containsText" text="▽">
      <formula>NOT(ISERROR(SEARCH("▽",AA103)))</formula>
    </cfRule>
    <cfRule type="containsText" dxfId="1385" priority="59" operator="containsText" text="△">
      <formula>NOT(ISERROR(SEARCH("△",AA103)))</formula>
    </cfRule>
    <cfRule type="containsText" dxfId="1384" priority="58" operator="containsText" text="▽">
      <formula>NOT(ISERROR(SEARCH("▽",AA103)))</formula>
    </cfRule>
    <cfRule type="containsText" dxfId="1383" priority="57" operator="containsText" text="△">
      <formula>NOT(ISERROR(SEARCH("△",AA103)))</formula>
    </cfRule>
    <cfRule type="containsText" dxfId="1382" priority="56" operator="containsText" text="▽">
      <formula>NOT(ISERROR(SEARCH("▽",AA103)))</formula>
    </cfRule>
    <cfRule type="containsText" dxfId="1381" priority="55" operator="containsText" text="△">
      <formula>NOT(ISERROR(SEARCH("△",AA103)))</formula>
    </cfRule>
    <cfRule type="containsText" dxfId="1380" priority="72" operator="containsText" text="▽">
      <formula>NOT(ISERROR(SEARCH("▽",AA103)))</formula>
    </cfRule>
    <cfRule type="containsText" dxfId="1379" priority="76" operator="containsText" text="▽">
      <formula>NOT(ISERROR(SEARCH("▽",AA103)))</formula>
    </cfRule>
    <cfRule type="containsText" dxfId="1378" priority="75" operator="containsText" text="△">
      <formula>NOT(ISERROR(SEARCH("△",AA103)))</formula>
    </cfRule>
    <cfRule type="containsText" dxfId="1377" priority="74" operator="containsText" text="▽">
      <formula>NOT(ISERROR(SEARCH("▽",AA103)))</formula>
    </cfRule>
    <cfRule type="containsText" dxfId="1376" priority="73" operator="containsText" text="△">
      <formula>NOT(ISERROR(SEARCH("△",AA103)))</formula>
    </cfRule>
    <cfRule type="containsText" dxfId="1375" priority="71" operator="containsText" text="△">
      <formula>NOT(ISERROR(SEARCH("△",AA103)))</formula>
    </cfRule>
    <cfRule type="containsText" dxfId="1374" priority="70" operator="containsText" text="▽">
      <formula>NOT(ISERROR(SEARCH("▽",AA103)))</formula>
    </cfRule>
    <cfRule type="containsText" dxfId="1373" priority="69" operator="containsText" text="△">
      <formula>NOT(ISERROR(SEARCH("△",AA103)))</formula>
    </cfRule>
    <cfRule type="containsText" dxfId="1372" priority="68" operator="containsText" text="▽">
      <formula>NOT(ISERROR(SEARCH("▽",AA103)))</formula>
    </cfRule>
    <cfRule type="containsText" dxfId="1371" priority="67" operator="containsText" text="△">
      <formula>NOT(ISERROR(SEARCH("△",AA103)))</formula>
    </cfRule>
    <cfRule type="containsText" dxfId="1370" priority="66" operator="containsText" text="▽">
      <formula>NOT(ISERROR(SEARCH("▽",AA103)))</formula>
    </cfRule>
    <cfRule type="containsText" dxfId="1369" priority="65" operator="containsText" text="△">
      <formula>NOT(ISERROR(SEARCH("△",AA103)))</formula>
    </cfRule>
    <cfRule type="containsText" dxfId="1368" priority="64" operator="containsText" text="▽">
      <formula>NOT(ISERROR(SEARCH("▽",AA103)))</formula>
    </cfRule>
    <cfRule type="containsText" dxfId="1367" priority="63" operator="containsText" text="△">
      <formula>NOT(ISERROR(SEARCH("△",AA103)))</formula>
    </cfRule>
    <cfRule type="containsText" dxfId="1366" priority="62" operator="containsText" text="▽">
      <formula>NOT(ISERROR(SEARCH("▽",AA103)))</formula>
    </cfRule>
  </conditionalFormatting>
  <conditionalFormatting sqref="AA104">
    <cfRule type="containsText" dxfId="1365" priority="46" operator="containsText" text="▽">
      <formula>NOT(ISERROR(SEARCH("▽",AA104)))</formula>
    </cfRule>
    <cfRule type="containsText" dxfId="1364" priority="45" operator="containsText" text="△">
      <formula>NOT(ISERROR(SEARCH("△",AA104)))</formula>
    </cfRule>
  </conditionalFormatting>
  <conditionalFormatting sqref="AA104:AA106">
    <cfRule type="containsText" dxfId="1363" priority="32" operator="containsText" text="▽">
      <formula>NOT(ISERROR(SEARCH("▽",AA104)))</formula>
    </cfRule>
    <cfRule type="containsText" dxfId="1362" priority="31" operator="containsText" text="△">
      <formula>NOT(ISERROR(SEARCH("△",AA104)))</formula>
    </cfRule>
  </conditionalFormatting>
  <conditionalFormatting sqref="AA105">
    <cfRule type="containsText" dxfId="1361" priority="30" operator="containsText" text="▽">
      <formula>NOT(ISERROR(SEARCH("▽",AA105)))</formula>
    </cfRule>
    <cfRule type="containsText" dxfId="1360" priority="29" operator="containsText" text="△">
      <formula>NOT(ISERROR(SEARCH("△",AA105)))</formula>
    </cfRule>
  </conditionalFormatting>
  <conditionalFormatting sqref="AA106">
    <cfRule type="containsText" dxfId="1359" priority="38" operator="containsText" text="▽">
      <formula>NOT(ISERROR(SEARCH("▽",AA106)))</formula>
    </cfRule>
    <cfRule type="containsText" dxfId="1358" priority="37" operator="containsText" text="△">
      <formula>NOT(ISERROR(SEARCH("△",AA106)))</formula>
    </cfRule>
  </conditionalFormatting>
  <conditionalFormatting sqref="AA107">
    <cfRule type="containsText" dxfId="1357" priority="21" operator="containsText" text="△">
      <formula>NOT(ISERROR(SEARCH("△",AA107)))</formula>
    </cfRule>
    <cfRule type="containsText" dxfId="1356" priority="22" operator="containsText" text="▽">
      <formula>NOT(ISERROR(SEARCH("▽",AA107)))</formula>
    </cfRule>
  </conditionalFormatting>
  <conditionalFormatting sqref="AA107:AA108">
    <cfRule type="containsText" dxfId="1355" priority="12" operator="containsText" text="▽">
      <formula>NOT(ISERROR(SEARCH("▽",AA107)))</formula>
    </cfRule>
    <cfRule type="containsText" dxfId="1354" priority="11" operator="containsText" text="△">
      <formula>NOT(ISERROR(SEARCH("△",AA107)))</formula>
    </cfRule>
  </conditionalFormatting>
  <conditionalFormatting sqref="AA108">
    <cfRule type="containsText" dxfId="1353" priority="9" operator="containsText" text="△">
      <formula>NOT(ISERROR(SEARCH("△",AA108)))</formula>
    </cfRule>
    <cfRule type="containsText" dxfId="1352" priority="10" operator="containsText" text="▽">
      <formula>NOT(ISERROR(SEARCH("▽",AA108)))</formula>
    </cfRule>
  </conditionalFormatting>
  <conditionalFormatting sqref="AA120:AA125">
    <cfRule type="containsText" dxfId="1351" priority="246" operator="containsText" text="▽">
      <formula>NOT(ISERROR(SEARCH("▽",AA120)))</formula>
    </cfRule>
    <cfRule type="containsText" dxfId="135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82.6</v>
      </c>
      <c r="Z2" s="38">
        <f>VLOOKUP(C2,台股行情!A:E,5,FALSE)</f>
        <v>0.5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999</v>
      </c>
      <c r="Z3" s="38">
        <f>VLOOKUP(C3,台股行情!A:E,5,FALSE)</f>
        <v>34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20.2</v>
      </c>
      <c r="Z4" s="38">
        <f>VLOOKUP(C4,台股行情!A:E,5,FALSE)</f>
        <v>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20.2</v>
      </c>
      <c r="Z5" s="38">
        <f>VLOOKUP(C5,台股行情!A:E,5,FALSE)</f>
        <v>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10.9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53.4</v>
      </c>
      <c r="Z7" s="38">
        <f>VLOOKUP(C7,台股行情!A:E,5,FALSE)</f>
        <v>-0.9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39.700000000000003</v>
      </c>
      <c r="Z8" s="38">
        <f>VLOOKUP(C8,台股行情!A:E,5,FALSE)</f>
        <v>0.2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540</v>
      </c>
      <c r="Z10" s="38">
        <f>VLOOKUP(C10,台股行情!A:E,5,FALSE)</f>
        <v>-5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20.3</v>
      </c>
      <c r="Z11" s="38">
        <f>VLOOKUP(C11,台股行情!A:E,5,FALSE)</f>
        <v>0.1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1005</v>
      </c>
      <c r="Z12" s="38">
        <f>VLOOKUP(C12,台股行情!A:E,5,FALSE)</f>
        <v>88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20.25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21.1</v>
      </c>
      <c r="Z14" s="38">
        <f>VLOOKUP(C14,台股行情!A:E,5,FALSE)</f>
        <v>-0.2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129</v>
      </c>
      <c r="Z15" s="38">
        <f>VLOOKUP(C15,台股行情!A:E,5,FALSE)</f>
        <v>-1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151.5</v>
      </c>
      <c r="Z16" s="38">
        <f>VLOOKUP(C16,台股行情!A:E,5,FALSE)</f>
        <v>-1.5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92.5</v>
      </c>
      <c r="Z18" s="38">
        <f>VLOOKUP(C18,台股行情!A:E,5,FALSE)</f>
        <v>0.4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31.1</v>
      </c>
      <c r="Z19" s="38">
        <f>VLOOKUP(C19,台股行情!A:E,5,FALSE)</f>
        <v>-0.75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62.5</v>
      </c>
      <c r="Z20" s="38">
        <f>VLOOKUP(C20,台股行情!A:E,5,FALSE)</f>
        <v>-1.3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4" t="s">
        <v>4094</v>
      </c>
      <c r="B28" s="415"/>
      <c r="C28" s="420"/>
      <c r="D28" s="61" t="s">
        <v>21</v>
      </c>
      <c r="E28" s="433"/>
      <c r="F28" s="401"/>
      <c r="G28" s="62">
        <f>SUM(G24:G26)</f>
        <v>0</v>
      </c>
      <c r="H28" s="62">
        <f>SUM(H24:H26)</f>
        <v>0</v>
      </c>
      <c r="I28" s="433"/>
      <c r="J28" s="401"/>
      <c r="K28" s="426"/>
      <c r="L28" s="427"/>
      <c r="M28" s="427"/>
      <c r="N28" s="428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6"/>
      <c r="B29" s="417"/>
      <c r="C29" s="421"/>
      <c r="D29" s="61" t="s">
        <v>112</v>
      </c>
      <c r="E29" s="400"/>
      <c r="F29" s="401"/>
      <c r="G29" s="63">
        <f>SUM(G2:G26)</f>
        <v>1770540</v>
      </c>
      <c r="H29" s="63">
        <f>SUM(H2:H26)</f>
        <v>2519</v>
      </c>
      <c r="I29" s="400"/>
      <c r="J29" s="401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8"/>
      <c r="B30" s="419"/>
      <c r="C30" s="422"/>
      <c r="D30" s="61" t="s">
        <v>20</v>
      </c>
      <c r="E30" s="400"/>
      <c r="F30" s="401"/>
      <c r="G30" s="63">
        <f>SUM(G2:G26)</f>
        <v>1770540</v>
      </c>
      <c r="H30" s="63">
        <f>SUM(H2:H26)</f>
        <v>2519</v>
      </c>
      <c r="I30" s="400"/>
      <c r="J30" s="401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4095</v>
      </c>
      <c r="B32" s="403"/>
      <c r="C32" s="403"/>
      <c r="D32" s="251" t="s">
        <v>4093</v>
      </c>
      <c r="E32" s="402"/>
      <c r="F32" s="403"/>
      <c r="G32" s="251" t="s">
        <v>4087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4088</v>
      </c>
      <c r="P32" s="251" t="s">
        <v>4089</v>
      </c>
      <c r="Q32" s="251" t="s">
        <v>4090</v>
      </c>
      <c r="R32" s="251" t="s">
        <v>4091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4092</v>
      </c>
      <c r="Y32" s="251" t="s">
        <v>23</v>
      </c>
      <c r="Z32" s="251" t="s">
        <v>168</v>
      </c>
      <c r="AA32" s="89"/>
    </row>
    <row r="33" spans="1:27">
      <c r="A33" s="406"/>
      <c r="B33" s="406"/>
      <c r="C33" s="406"/>
      <c r="D33" s="264" t="s">
        <v>219</v>
      </c>
      <c r="E33" s="406"/>
      <c r="F33" s="406"/>
      <c r="G33" s="265">
        <f>SUMIF(AB$2:AB$22,D33,G$2:G$22)</f>
        <v>411250</v>
      </c>
      <c r="H33" s="265">
        <f>SUMIF(AB$2:AB$22,D33,H$2:H$22)</f>
        <v>580</v>
      </c>
      <c r="I33" s="40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1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6"/>
      <c r="B34" s="406"/>
      <c r="C34" s="406"/>
      <c r="D34" s="247" t="s">
        <v>169</v>
      </c>
      <c r="E34" s="406"/>
      <c r="F34" s="406"/>
      <c r="G34" s="256">
        <f>SUMIF(AB$2:AB$22,D34,G$2:G$22)</f>
        <v>286250</v>
      </c>
      <c r="H34" s="256">
        <f>SUMIF(AB$2:AB$22,D34,H$2:H$22)</f>
        <v>407</v>
      </c>
      <c r="I34" s="40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1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8"/>
      <c r="B35" s="408"/>
      <c r="C35" s="408"/>
      <c r="D35" s="248" t="s">
        <v>209</v>
      </c>
      <c r="E35" s="408"/>
      <c r="F35" s="408"/>
      <c r="G35" s="260">
        <f>SUMIF(AB$2:AB$22,D35,G$2:G$22)</f>
        <v>1073040</v>
      </c>
      <c r="H35" s="260">
        <f>SUMIF(AB$2:AB$22,D35,H$2:H$22)</f>
        <v>1532</v>
      </c>
      <c r="I35" s="40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3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9" priority="219">
      <formula>$I21&gt;(TODAY()-7)</formula>
    </cfRule>
    <cfRule type="expression" dxfId="1348" priority="220">
      <formula>$I21&gt;(TODAY()-30)</formula>
    </cfRule>
  </conditionalFormatting>
  <conditionalFormatting sqref="Z2:Z20">
    <cfRule type="cellIs" dxfId="1347" priority="5" operator="lessThan">
      <formula>0</formula>
    </cfRule>
    <cfRule type="cellIs" dxfId="1346" priority="6" operator="greaterThan">
      <formula>0</formula>
    </cfRule>
    <cfRule type="containsText" dxfId="1345" priority="7" operator="containsText" text="▲">
      <formula>NOT(ISERROR(SEARCH("▲",Z2)))</formula>
    </cfRule>
    <cfRule type="containsText" dxfId="1344" priority="8" operator="containsText" text="▼">
      <formula>NOT(ISERROR(SEARCH("▼",Z2)))</formula>
    </cfRule>
  </conditionalFormatting>
  <conditionalFormatting sqref="Z1:AA1 AA2:AA3 AA11:AA20 Z21:AA31 Z36:AA1048576">
    <cfRule type="containsText" dxfId="1343" priority="222" operator="containsText" text="▽">
      <formula>NOT(ISERROR(SEARCH("▽",Z1)))</formula>
    </cfRule>
  </conditionalFormatting>
  <conditionalFormatting sqref="Z25:AA25">
    <cfRule type="containsText" dxfId="1342" priority="149" operator="containsText" text="△">
      <formula>NOT(ISERROR(SEARCH("△",Z25)))</formula>
    </cfRule>
    <cfRule type="containsText" dxfId="1341" priority="150" operator="containsText" text="▽">
      <formula>NOT(ISERROR(SEARCH("▽",Z25)))</formula>
    </cfRule>
  </conditionalFormatting>
  <conditionalFormatting sqref="AA2:AA3 AA11:AA20 Z21:AA31 Z1:AA1 Z36:AA1048576">
    <cfRule type="containsText" dxfId="1340" priority="221" operator="containsText" text="△">
      <formula>NOT(ISERROR(SEARCH("△",Z1)))</formula>
    </cfRule>
  </conditionalFormatting>
  <conditionalFormatting sqref="AA2:AA3">
    <cfRule type="containsText" dxfId="1339" priority="173" operator="containsText" text="△">
      <formula>NOT(ISERROR(SEARCH("△",AA2)))</formula>
    </cfRule>
    <cfRule type="containsText" dxfId="1338" priority="174" operator="containsText" text="▽">
      <formula>NOT(ISERROR(SEARCH("▽",AA2)))</formula>
    </cfRule>
  </conditionalFormatting>
  <conditionalFormatting sqref="AA2:AA20">
    <cfRule type="containsText" dxfId="1337" priority="168" operator="containsText" text="▽">
      <formula>NOT(ISERROR(SEARCH("▽",AA2)))</formula>
    </cfRule>
    <cfRule type="containsText" dxfId="1336" priority="167" operator="containsText" text="△">
      <formula>NOT(ISERROR(SEARCH("△",AA2)))</formula>
    </cfRule>
    <cfRule type="containsText" dxfId="1335" priority="166" operator="containsText" text="▽">
      <formula>NOT(ISERROR(SEARCH("▽",AA2)))</formula>
    </cfRule>
    <cfRule type="containsText" dxfId="1334" priority="165" operator="containsText" text="△">
      <formula>NOT(ISERROR(SEARCH("△",AA2)))</formula>
    </cfRule>
    <cfRule type="containsText" dxfId="1333" priority="162" operator="containsText" text="▽">
      <formula>NOT(ISERROR(SEARCH("▽",AA2)))</formula>
    </cfRule>
    <cfRule type="containsText" dxfId="1332" priority="161" operator="containsText" text="△">
      <formula>NOT(ISERROR(SEARCH("△",AA2)))</formula>
    </cfRule>
  </conditionalFormatting>
  <conditionalFormatting sqref="AA3">
    <cfRule type="containsText" dxfId="1331" priority="172" operator="containsText" text="▽">
      <formula>NOT(ISERROR(SEARCH("▽",AA3)))</formula>
    </cfRule>
    <cfRule type="containsText" dxfId="1330" priority="171" operator="containsText" text="△">
      <formula>NOT(ISERROR(SEARCH("△",AA3)))</formula>
    </cfRule>
  </conditionalFormatting>
  <conditionalFormatting sqref="AA7:AA20">
    <cfRule type="containsText" dxfId="1329" priority="160" operator="containsText" text="▽">
      <formula>NOT(ISERROR(SEARCH("▽",AA7)))</formula>
    </cfRule>
    <cfRule type="containsText" dxfId="1328" priority="159" operator="containsText" text="△">
      <formula>NOT(ISERROR(SEARCH("△",AA7)))</formula>
    </cfRule>
  </conditionalFormatting>
  <conditionalFormatting sqref="AA8:AA20">
    <cfRule type="containsText" dxfId="1327" priority="163" operator="containsText" text="△">
      <formula>NOT(ISERROR(SEARCH("△",AA8)))</formula>
    </cfRule>
    <cfRule type="containsText" dxfId="1326" priority="164" operator="containsText" text="▽">
      <formula>NOT(ISERROR(SEARCH("▽",AA8)))</formula>
    </cfRule>
  </conditionalFormatting>
  <conditionalFormatting sqref="AA9:AA20">
    <cfRule type="containsText" dxfId="1325" priority="169" operator="containsText" text="△">
      <formula>NOT(ISERROR(SEARCH("△",AA9)))</formula>
    </cfRule>
    <cfRule type="containsText" dxfId="1324" priority="170" operator="containsText" text="▽">
      <formula>NOT(ISERROR(SEARCH("▽",AA9)))</formula>
    </cfRule>
  </conditionalFormatting>
  <conditionalFormatting sqref="AA10:AA20">
    <cfRule type="containsText" dxfId="1323" priority="155" operator="containsText" text="△">
      <formula>NOT(ISERROR(SEARCH("△",AA10)))</formula>
    </cfRule>
    <cfRule type="containsText" dxfId="1322" priority="156" operator="containsText" text="▽">
      <formula>NOT(ISERROR(SEARCH("▽",AA10)))</formula>
    </cfRule>
  </conditionalFormatting>
  <conditionalFormatting sqref="AA11:AA20">
    <cfRule type="containsText" dxfId="1321" priority="141" operator="containsText" text="△">
      <formula>NOT(ISERROR(SEARCH("△",AA11)))</formula>
    </cfRule>
    <cfRule type="containsText" dxfId="1320" priority="142" operator="containsText" text="▽">
      <formula>NOT(ISERROR(SEARCH("▽",AA11)))</formula>
    </cfRule>
  </conditionalFormatting>
  <conditionalFormatting sqref="AA12:AA20">
    <cfRule type="containsText" dxfId="1319" priority="131" operator="containsText" text="△">
      <formula>NOT(ISERROR(SEARCH("△",AA12)))</formula>
    </cfRule>
    <cfRule type="containsText" dxfId="1318" priority="132" operator="containsText" text="▽">
      <formula>NOT(ISERROR(SEARCH("▽",AA12)))</formula>
    </cfRule>
  </conditionalFormatting>
  <conditionalFormatting sqref="AA14:AA20">
    <cfRule type="containsText" dxfId="1317" priority="152" operator="containsText" text="▽">
      <formula>NOT(ISERROR(SEARCH("▽",AA14)))</formula>
    </cfRule>
    <cfRule type="containsText" dxfId="1316" priority="151" operator="containsText" text="△">
      <formula>NOT(ISERROR(SEARCH("△",AA14)))</formula>
    </cfRule>
  </conditionalFormatting>
  <conditionalFormatting sqref="AA15:AA20">
    <cfRule type="containsText" dxfId="1315" priority="143" operator="containsText" text="△">
      <formula>NOT(ISERROR(SEARCH("△",AA15)))</formula>
    </cfRule>
    <cfRule type="containsText" dxfId="1314" priority="144" operator="containsText" text="▽">
      <formula>NOT(ISERROR(SEARCH("▽",AA15)))</formula>
    </cfRule>
  </conditionalFormatting>
  <conditionalFormatting sqref="AA16:AA20">
    <cfRule type="containsText" dxfId="1313" priority="128" operator="containsText" text="▽">
      <formula>NOT(ISERROR(SEARCH("▽",AA16)))</formula>
    </cfRule>
    <cfRule type="containsText" dxfId="1312" priority="127" operator="containsText" text="△">
      <formula>NOT(ISERROR(SEARCH("△",AA16)))</formula>
    </cfRule>
  </conditionalFormatting>
  <conditionalFormatting sqref="AA17:AA20">
    <cfRule type="containsText" dxfId="1311" priority="102" operator="containsText" text="▽">
      <formula>NOT(ISERROR(SEARCH("▽",AA17)))</formula>
    </cfRule>
    <cfRule type="containsText" dxfId="1310" priority="101" operator="containsText" text="△">
      <formula>NOT(ISERROR(SEARCH("△",AA17)))</formula>
    </cfRule>
    <cfRule type="containsText" dxfId="1309" priority="100" operator="containsText" text="▽">
      <formula>NOT(ISERROR(SEARCH("▽",AA17)))</formula>
    </cfRule>
    <cfRule type="containsText" dxfId="1308" priority="99" operator="containsText" text="△">
      <formula>NOT(ISERROR(SEARCH("△",AA17)))</formula>
    </cfRule>
  </conditionalFormatting>
  <conditionalFormatting sqref="AA18:AA20">
    <cfRule type="containsText" dxfId="1307" priority="109" operator="containsText" text="△">
      <formula>NOT(ISERROR(SEARCH("△",AA18)))</formula>
    </cfRule>
    <cfRule type="containsText" dxfId="1306" priority="108" operator="containsText" text="▽">
      <formula>NOT(ISERROR(SEARCH("▽",AA18)))</formula>
    </cfRule>
    <cfRule type="containsText" dxfId="1305" priority="107" operator="containsText" text="△">
      <formula>NOT(ISERROR(SEARCH("△",AA18)))</formula>
    </cfRule>
    <cfRule type="containsText" dxfId="1304" priority="110" operator="containsText" text="▽">
      <formula>NOT(ISERROR(SEARCH("▽",AA18)))</formula>
    </cfRule>
  </conditionalFormatting>
  <conditionalFormatting sqref="AA19:AA20">
    <cfRule type="containsText" dxfId="1303" priority="106" operator="containsText" text="▽">
      <formula>NOT(ISERROR(SEARCH("▽",AA19)))</formula>
    </cfRule>
    <cfRule type="containsText" dxfId="1302" priority="105" operator="containsText" text="△">
      <formula>NOT(ISERROR(SEARCH("△",AA19)))</formula>
    </cfRule>
    <cfRule type="containsText" dxfId="1301" priority="104" operator="containsText" text="▽">
      <formula>NOT(ISERROR(SEARCH("▽",AA19)))</formula>
    </cfRule>
    <cfRule type="containsText" dxfId="1300" priority="103" operator="containsText" text="△">
      <formula>NOT(ISERROR(SEARCH("△",AA19)))</formula>
    </cfRule>
  </conditionalFormatting>
  <conditionalFormatting sqref="AA20">
    <cfRule type="containsText" dxfId="1299" priority="78" operator="containsText" text="▽">
      <formula>NOT(ISERROR(SEARCH("▽",AA20)))</formula>
    </cfRule>
    <cfRule type="containsText" dxfId="1298" priority="77" operator="containsText" text="△">
      <formula>NOT(ISERROR(SEARCH("△",AA20)))</formula>
    </cfRule>
    <cfRule type="containsText" dxfId="1297" priority="75" operator="containsText" text="△">
      <formula>NOT(ISERROR(SEARCH("△",AA20)))</formula>
    </cfRule>
    <cfRule type="containsText" dxfId="1296" priority="76" operator="containsText" text="▽">
      <formula>NOT(ISERROR(SEARCH("▽",AA20)))</formula>
    </cfRule>
  </conditionalFormatting>
  <conditionalFormatting sqref="AA32:AA35">
    <cfRule type="containsText" dxfId="1295" priority="1" operator="containsText" text="△">
      <formula>NOT(ISERROR(SEARCH("△",AA32)))</formula>
    </cfRule>
    <cfRule type="containsText" dxfId="129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4264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43.9</v>
      </c>
      <c r="Z3" s="38">
        <f>VLOOKUP(C3,台股行情!A:E,5,FALSE)</f>
        <v>-0.6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214</v>
      </c>
      <c r="Z5" s="38">
        <f>VLOOKUP(C5,台股行情!A:E,5,FALSE)</f>
        <v>-3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23.85</v>
      </c>
      <c r="Z6" s="38">
        <f>VLOOKUP(C6,台股行情!A:E,5,FALSE)</f>
        <v>-1.85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294.5</v>
      </c>
      <c r="Z7" s="38">
        <f>VLOOKUP(C7,台股行情!A:E,5,FALSE)</f>
        <v>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126.5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83.1</v>
      </c>
      <c r="Z9" s="38">
        <f>VLOOKUP(C9,台股行情!A:E,5,FALSE)</f>
        <v>-1.7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41.2</v>
      </c>
      <c r="Z10" s="38">
        <f>VLOOKUP(C10,台股行情!A:E,5,FALSE)</f>
        <v>-1.1000000000000001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278.5</v>
      </c>
      <c r="Z11" s="38">
        <f>VLOOKUP(C11,台股行情!A:E,5,FALSE)</f>
        <v>3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32.450000000000003</v>
      </c>
      <c r="Z12" s="38">
        <f>VLOOKUP(C12,台股行情!A:E,5,FALSE)</f>
        <v>-0.8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106.5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41</v>
      </c>
      <c r="Z14" s="38">
        <f>VLOOKUP(C14,台股行情!A:E,5,FALSE)</f>
        <v>-0.1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53.5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543</v>
      </c>
      <c r="Z17" s="38">
        <f>VLOOKUP(C17,台股行情!A:E,5,FALSE)</f>
        <v>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37.4</v>
      </c>
      <c r="Z18" s="38">
        <f>VLOOKUP(C18,台股行情!A:E,5,FALSE)</f>
        <v>-0.9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91.2</v>
      </c>
      <c r="Z19" s="38">
        <f>VLOOKUP(C19,台股行情!A:E,5,FALSE)</f>
        <v>-1.9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147.5</v>
      </c>
      <c r="Z20" s="38">
        <f>VLOOKUP(C20,台股行情!A:E,5,FALSE)</f>
        <v>-4.5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4"/>
      <c r="B29" s="415"/>
      <c r="C29" s="420"/>
      <c r="D29" s="61" t="s">
        <v>21</v>
      </c>
      <c r="E29" s="433"/>
      <c r="F29" s="401"/>
      <c r="G29" s="62">
        <f>SUM(G25:G27)</f>
        <v>0</v>
      </c>
      <c r="H29" s="62">
        <f>SUM(H25:H27)</f>
        <v>0</v>
      </c>
      <c r="I29" s="433"/>
      <c r="J29" s="401"/>
      <c r="K29" s="426"/>
      <c r="L29" s="427"/>
      <c r="M29" s="427"/>
      <c r="N29" s="428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6"/>
      <c r="B30" s="417"/>
      <c r="C30" s="421"/>
      <c r="D30" s="61" t="s">
        <v>42</v>
      </c>
      <c r="E30" s="400"/>
      <c r="F30" s="401"/>
      <c r="G30" s="63">
        <f>SUM(G2:G27)</f>
        <v>1457600</v>
      </c>
      <c r="H30" s="63">
        <f>SUM(H2:H27)</f>
        <v>2067</v>
      </c>
      <c r="I30" s="400"/>
      <c r="J30" s="401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8"/>
      <c r="B31" s="419"/>
      <c r="C31" s="422"/>
      <c r="D31" s="61" t="s">
        <v>20</v>
      </c>
      <c r="E31" s="400"/>
      <c r="F31" s="401"/>
      <c r="G31" s="63">
        <f>SUM(G2:G27)</f>
        <v>1457600</v>
      </c>
      <c r="H31" s="63">
        <f>SUM(H2:H27)</f>
        <v>2067</v>
      </c>
      <c r="I31" s="400"/>
      <c r="J31" s="401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3" priority="73">
      <formula>$I22&gt;(TODAY()-7)</formula>
    </cfRule>
    <cfRule type="expression" dxfId="1292" priority="74">
      <formula>$I22&gt;(TODAY()-30)</formula>
    </cfRule>
  </conditionalFormatting>
  <conditionalFormatting sqref="Z2:Z21">
    <cfRule type="cellIs" dxfId="1291" priority="1" operator="lessThan">
      <formula>0</formula>
    </cfRule>
    <cfRule type="cellIs" dxfId="1290" priority="2" operator="greaterThan">
      <formula>0</formula>
    </cfRule>
    <cfRule type="containsText" dxfId="1289" priority="3" operator="containsText" text="▲">
      <formula>NOT(ISERROR(SEARCH("▲",Z2)))</formula>
    </cfRule>
    <cfRule type="containsText" dxfId="1288" priority="4" operator="containsText" text="▼">
      <formula>NOT(ISERROR(SEARCH("▼",Z2)))</formula>
    </cfRule>
  </conditionalFormatting>
  <conditionalFormatting sqref="Z1:AA1 Z22:AA31 AA32:AA70 Z34:Z70 Z71:AA1048576">
    <cfRule type="containsText" dxfId="1287" priority="76" operator="containsText" text="▽">
      <formula>NOT(ISERROR(SEARCH("▽",Z1)))</formula>
    </cfRule>
    <cfRule type="containsText" dxfId="1286" priority="75" operator="containsText" text="△">
      <formula>NOT(ISERROR(SEARCH("△",Z1)))</formula>
    </cfRule>
  </conditionalFormatting>
  <conditionalFormatting sqref="AA2:AA8">
    <cfRule type="containsText" dxfId="1285" priority="50" operator="containsText" text="▽">
      <formula>NOT(ISERROR(SEARCH("▽",AA2)))</formula>
    </cfRule>
    <cfRule type="containsText" dxfId="1284" priority="49" operator="containsText" text="△">
      <formula>NOT(ISERROR(SEARCH("△",AA2)))</formula>
    </cfRule>
  </conditionalFormatting>
  <conditionalFormatting sqref="AA3:AA4">
    <cfRule type="containsText" dxfId="1283" priority="62" operator="containsText" text="▽">
      <formula>NOT(ISERROR(SEARCH("▽",AA3)))</formula>
    </cfRule>
    <cfRule type="containsText" dxfId="1282" priority="61" operator="containsText" text="△">
      <formula>NOT(ISERROR(SEARCH("△",AA3)))</formula>
    </cfRule>
  </conditionalFormatting>
  <conditionalFormatting sqref="AA4">
    <cfRule type="containsText" dxfId="1281" priority="64" operator="containsText" text="▽">
      <formula>NOT(ISERROR(SEARCH("▽",AA4)))</formula>
    </cfRule>
    <cfRule type="containsText" dxfId="1280" priority="63" operator="containsText" text="△">
      <formula>NOT(ISERROR(SEARCH("△",AA4)))</formula>
    </cfRule>
  </conditionalFormatting>
  <conditionalFormatting sqref="AA6:AA21">
    <cfRule type="containsText" dxfId="1279" priority="44" operator="containsText" text="▽">
      <formula>NOT(ISERROR(SEARCH("▽",AA6)))</formula>
    </cfRule>
    <cfRule type="containsText" dxfId="1278" priority="43" operator="containsText" text="△">
      <formula>NOT(ISERROR(SEARCH("△",AA6)))</formula>
    </cfRule>
  </conditionalFormatting>
  <conditionalFormatting sqref="AA7:AA8">
    <cfRule type="containsText" dxfId="1277" priority="58" operator="containsText" text="▽">
      <formula>NOT(ISERROR(SEARCH("▽",AA7)))</formula>
    </cfRule>
    <cfRule type="containsText" dxfId="1276" priority="57" operator="containsText" text="△">
      <formula>NOT(ISERROR(SEARCH("△",AA7)))</formula>
    </cfRule>
  </conditionalFormatting>
  <conditionalFormatting sqref="AA8">
    <cfRule type="containsText" dxfId="1275" priority="53" operator="containsText" text="△">
      <formula>NOT(ISERROR(SEARCH("△",AA8)))</formula>
    </cfRule>
    <cfRule type="containsText" dxfId="1274" priority="54" operator="containsText" text="▽">
      <formula>NOT(ISERROR(SEARCH("▽",AA8)))</formula>
    </cfRule>
  </conditionalFormatting>
  <conditionalFormatting sqref="AA10">
    <cfRule type="containsText" dxfId="1273" priority="42" operator="containsText" text="▽">
      <formula>NOT(ISERROR(SEARCH("▽",AA10)))</formula>
    </cfRule>
    <cfRule type="containsText" dxfId="1272" priority="41" operator="containsText" text="△">
      <formula>NOT(ISERROR(SEARCH("△",AA10)))</formula>
    </cfRule>
  </conditionalFormatting>
  <conditionalFormatting sqref="AA11:AA21">
    <cfRule type="containsText" dxfId="1271" priority="52" operator="containsText" text="▽">
      <formula>NOT(ISERROR(SEARCH("▽",AA11)))</formula>
    </cfRule>
    <cfRule type="containsText" dxfId="1270" priority="51" operator="containsText" text="△">
      <formula>NOT(ISERROR(SEARCH("△",AA11)))</formula>
    </cfRule>
  </conditionalFormatting>
  <conditionalFormatting sqref="AA12:AA21">
    <cfRule type="containsText" dxfId="1269" priority="39" operator="containsText" text="△">
      <formula>NOT(ISERROR(SEARCH("△",AA12)))</formula>
    </cfRule>
    <cfRule type="containsText" dxfId="1268" priority="40" operator="containsText" text="▽">
      <formula>NOT(ISERROR(SEARCH("▽",AA12)))</formula>
    </cfRule>
  </conditionalFormatting>
  <conditionalFormatting sqref="AA13:AA21">
    <cfRule type="containsText" dxfId="1267" priority="36" operator="containsText" text="▽">
      <formula>NOT(ISERROR(SEARCH("▽",AA13)))</formula>
    </cfRule>
    <cfRule type="containsText" dxfId="1266" priority="35" operator="containsText" text="△">
      <formula>NOT(ISERROR(SEARCH("△",AA13)))</formula>
    </cfRule>
  </conditionalFormatting>
  <conditionalFormatting sqref="AA15:AA21">
    <cfRule type="containsText" dxfId="1265" priority="28" operator="containsText" text="▽">
      <formula>NOT(ISERROR(SEARCH("▽",AA15)))</formula>
    </cfRule>
    <cfRule type="containsText" dxfId="1264" priority="27" operator="containsText" text="△">
      <formula>NOT(ISERROR(SEARCH("△",AA15)))</formula>
    </cfRule>
  </conditionalFormatting>
  <conditionalFormatting sqref="AA16:AA21">
    <cfRule type="containsText" dxfId="1263" priority="33" operator="containsText" text="△">
      <formula>NOT(ISERROR(SEARCH("△",AA16)))</formula>
    </cfRule>
    <cfRule type="containsText" dxfId="1262" priority="34" operator="containsText" text="▽">
      <formula>NOT(ISERROR(SEARCH("▽",AA16)))</formula>
    </cfRule>
  </conditionalFormatting>
  <conditionalFormatting sqref="AA17:AA21">
    <cfRule type="containsText" dxfId="1261" priority="26" operator="containsText" text="▽">
      <formula>NOT(ISERROR(SEARCH("▽",AA17)))</formula>
    </cfRule>
    <cfRule type="containsText" dxfId="1260" priority="25" operator="containsText" text="△">
      <formula>NOT(ISERROR(SEARCH("△",AA17)))</formula>
    </cfRule>
  </conditionalFormatting>
  <conditionalFormatting sqref="AA18:AA21">
    <cfRule type="containsText" dxfId="1259" priority="31" operator="containsText" text="△">
      <formula>NOT(ISERROR(SEARCH("△",AA18)))</formula>
    </cfRule>
    <cfRule type="containsText" dxfId="1258" priority="32" operator="containsText" text="▽">
      <formula>NOT(ISERROR(SEARCH("▽",AA18)))</formula>
    </cfRule>
  </conditionalFormatting>
  <conditionalFormatting sqref="AA19:AA21">
    <cfRule type="containsText" dxfId="1257" priority="30" operator="containsText" text="▽">
      <formula>NOT(ISERROR(SEARCH("▽",AA19)))</formula>
    </cfRule>
    <cfRule type="containsText" dxfId="1256" priority="29" operator="containsText" text="△">
      <formula>NOT(ISERROR(SEARCH("△",AA19)))</formula>
    </cfRule>
  </conditionalFormatting>
  <conditionalFormatting sqref="AA20:AA21">
    <cfRule type="containsText" dxfId="1255" priority="20" operator="containsText" text="▽">
      <formula>NOT(ISERROR(SEARCH("▽",AA20)))</formula>
    </cfRule>
    <cfRule type="containsText" dxfId="1254" priority="19" operator="containsText" text="△">
      <formula>NOT(ISERROR(SEARCH("△",AA20)))</formula>
    </cfRule>
  </conditionalFormatting>
  <conditionalFormatting sqref="AA21">
    <cfRule type="containsText" dxfId="1253" priority="24" operator="containsText" text="▽">
      <formula>NOT(ISERROR(SEARCH("▽",AA21)))</formula>
    </cfRule>
    <cfRule type="containsText" dxfId="125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5"/>
  <sheetViews>
    <sheetView zoomScale="85" zoomScaleNormal="85" workbookViewId="0">
      <pane xSplit="4" ySplit="1" topLeftCell="E320" activePane="bottomRight" state="frozen"/>
      <selection activeCell="F42" sqref="F42"/>
      <selection pane="topRight" activeCell="F42" sqref="F42"/>
      <selection pane="bottomLeft" activeCell="F42" sqref="F42"/>
      <selection pane="bottomRight" activeCell="A340" sqref="A340:XFD34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4275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4276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4276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5041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4276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4276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4276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4276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4276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4276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4276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4276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4276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4276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4276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4276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4276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4276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4276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4276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4276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4276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4276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4276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4276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4276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4276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4276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4276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4276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4276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4276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4276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4276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4276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4276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4276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4276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4276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4276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4276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114</v>
      </c>
      <c r="Z41" s="38">
        <f>VLOOKUP(C41,台股行情!A:E,5,FALSE)</f>
        <v>2.5</v>
      </c>
      <c r="AA41" s="90">
        <f t="shared" ca="1" si="1"/>
        <v>4595.8821596758298</v>
      </c>
      <c r="AB41" s="103" t="s">
        <v>4276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66.900000000000006</v>
      </c>
      <c r="Z42" s="38">
        <f>VLOOKUP(C42,台股行情!A:E,5,FALSE)</f>
        <v>-0.9</v>
      </c>
      <c r="AA42" s="90">
        <f t="shared" ca="1" si="1"/>
        <v>3505.6401270397546</v>
      </c>
      <c r="AB42" s="103" t="s">
        <v>4276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61.7</v>
      </c>
      <c r="Z43" s="38">
        <f>VLOOKUP(C43,台股行情!A:E,5,FALSE)</f>
        <v>-1.1000000000000001</v>
      </c>
      <c r="AA43" s="90">
        <f t="shared" ca="1" si="1"/>
        <v>2273.2997481108314</v>
      </c>
      <c r="AB43" s="103" t="s">
        <v>4276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110.5</v>
      </c>
      <c r="Z44" s="38">
        <f>VLOOKUP(C44,台股行情!A:E,5,FALSE)</f>
        <v>5</v>
      </c>
      <c r="AA44" s="90">
        <f t="shared" ca="1" si="1"/>
        <v>5587.6957616909431</v>
      </c>
      <c r="AB44" s="103" t="s">
        <v>4276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12.65</v>
      </c>
      <c r="Z45" s="38">
        <f>VLOOKUP(C45,台股行情!A:E,5,FALSE)</f>
        <v>0.6</v>
      </c>
      <c r="AA45" s="90">
        <f t="shared" ca="1" si="1"/>
        <v>5697.0758953017194</v>
      </c>
      <c r="AB45" s="103" t="s">
        <v>4276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233.5</v>
      </c>
      <c r="Z46" s="38">
        <f>VLOOKUP(C46,台股行情!A:E,5,FALSE)</f>
        <v>2</v>
      </c>
      <c r="AA46" s="90">
        <f t="shared" ca="1" si="1"/>
        <v>2952.9898149162195</v>
      </c>
      <c r="AB46" s="103" t="s">
        <v>4276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228.3</v>
      </c>
      <c r="Z47" s="38">
        <f>VLOOKUP(C47,台股行情!A:E,5,FALSE)</f>
        <v>-2.4</v>
      </c>
      <c r="AA47" s="90">
        <f t="shared" ca="1" si="1"/>
        <v>11047.530390975797</v>
      </c>
      <c r="AB47" s="103" t="s">
        <v>4276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-0.1</v>
      </c>
      <c r="AA48" s="90">
        <f t="shared" ca="1" si="1"/>
        <v>2045.2305333479355</v>
      </c>
      <c r="AB48" s="103" t="s">
        <v>4276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80.8</v>
      </c>
      <c r="Z49" s="38">
        <f>VLOOKUP(C49,台股行情!A:E,5,FALSE)</f>
        <v>0.2</v>
      </c>
      <c r="AA49" s="90">
        <f t="shared" ca="1" si="1"/>
        <v>6037.1262731354727</v>
      </c>
      <c r="AB49" s="103" t="s">
        <v>4276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742</v>
      </c>
      <c r="Z50" s="38">
        <f>VLOOKUP(C50,台股行情!A:E,5,FALSE)</f>
        <v>0</v>
      </c>
      <c r="AA50" s="90">
        <f t="shared" ca="1" si="1"/>
        <v>19220.238747125179</v>
      </c>
      <c r="AB50" s="103" t="s">
        <v>4276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3925</v>
      </c>
      <c r="Z51" s="38">
        <f>VLOOKUP(C51,台股行情!A:E,5,FALSE)</f>
        <v>-60</v>
      </c>
      <c r="AA51" s="90">
        <f t="shared" ca="1" si="1"/>
        <v>14824.22516701347</v>
      </c>
      <c r="AB51" s="103" t="s">
        <v>4276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3925</v>
      </c>
      <c r="Z52" s="38">
        <f>VLOOKUP(C52,台股行情!A:E,5,FALSE)</f>
        <v>-60</v>
      </c>
      <c r="AA52" s="90">
        <f t="shared" ca="1" si="1"/>
        <v>13516.591830029569</v>
      </c>
      <c r="AB52" s="103" t="s">
        <v>4276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-3</v>
      </c>
      <c r="AA53" s="90">
        <f t="shared" ca="1" si="1"/>
        <v>13889.497316832767</v>
      </c>
      <c r="AB53" s="103" t="s">
        <v>4276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3925</v>
      </c>
      <c r="Z54" s="38">
        <f>VLOOKUP(C54,台股行情!A:E,5,FALSE)</f>
        <v>-60</v>
      </c>
      <c r="AA54" s="90">
        <f t="shared" ca="1" si="1"/>
        <v>11299.96714489103</v>
      </c>
      <c r="AB54" s="103" t="s">
        <v>4276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49.85</v>
      </c>
      <c r="Z55" s="38">
        <f>VLOOKUP(C55,台股行情!A:E,5,FALSE)</f>
        <v>1.25</v>
      </c>
      <c r="AA55" s="90">
        <f t="shared" ca="1" si="1"/>
        <v>2047.694666520644</v>
      </c>
      <c r="AB55" s="103" t="s">
        <v>4276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49.85</v>
      </c>
      <c r="Z56" s="38">
        <f>VLOOKUP(C56,台股行情!A:E,5,FALSE)</f>
        <v>1.25</v>
      </c>
      <c r="AA56" s="90">
        <f t="shared" ca="1" si="1"/>
        <v>18429.251998685795</v>
      </c>
      <c r="AB56" s="103" t="s">
        <v>4276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999</v>
      </c>
      <c r="Z57" s="38">
        <f>VLOOKUP(C57,台股行情!A:E,5,FALSE)</f>
        <v>-111</v>
      </c>
      <c r="AA57" s="90">
        <f t="shared" ca="1" si="1"/>
        <v>11631.529952907676</v>
      </c>
      <c r="AB57" s="103" t="s">
        <v>4276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7650</v>
      </c>
      <c r="Z58" s="38">
        <f>VLOOKUP(C58,台股行情!A:E,5,FALSE)</f>
        <v>585</v>
      </c>
      <c r="AA58" s="90">
        <f t="shared" ca="1" si="1"/>
        <v>9975.6324608476607</v>
      </c>
      <c r="AB58" s="103" t="s">
        <v>4276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584</v>
      </c>
      <c r="Z59" s="38">
        <f>VLOOKUP(C59,台股行情!A:E,5,FALSE)</f>
        <v>-37</v>
      </c>
      <c r="AA59" s="90">
        <f t="shared" ca="1" si="1"/>
        <v>19739.897053991896</v>
      </c>
      <c r="AB59" s="103" t="s">
        <v>4276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39.75</v>
      </c>
      <c r="Z60" s="38">
        <f>VLOOKUP(C60,台股行情!A:E,5,FALSE)</f>
        <v>1</v>
      </c>
      <c r="AA60" s="90">
        <f t="shared" ca="1" si="1"/>
        <v>7429.6353082904388</v>
      </c>
      <c r="AB60" s="103" t="s">
        <v>4276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151.5</v>
      </c>
      <c r="Z61" s="38">
        <f>VLOOKUP(C61,台股行情!A:E,5,FALSE)</f>
        <v>-1.5</v>
      </c>
      <c r="AA61" s="90">
        <f t="shared" ca="1" si="1"/>
        <v>1330.6319132625124</v>
      </c>
      <c r="AB61" s="103" t="s">
        <v>4276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1037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53.3</v>
      </c>
      <c r="Z62" s="38">
        <f>VLOOKUP(C62,台股行情!A:E,5,FALSE)</f>
        <v>-1.2</v>
      </c>
      <c r="AA62" s="90">
        <f t="shared" ca="1" si="1"/>
        <v>847.66181141167453</v>
      </c>
      <c r="AB62" s="103" t="s">
        <v>4276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1448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21.45</v>
      </c>
      <c r="Z63" s="38">
        <f>VLOOKUP(C63,台股行情!A:E,5,FALSE)</f>
        <v>-0.35</v>
      </c>
      <c r="AA63" s="90">
        <f t="shared" ca="1" si="1"/>
        <v>1823.4585478041836</v>
      </c>
      <c r="AB63" s="103" t="s">
        <v>4276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129</v>
      </c>
      <c r="Z64" s="38">
        <f>VLOOKUP(C64,台股行情!A:E,5,FALSE)</f>
        <v>-1</v>
      </c>
      <c r="AA64" s="90">
        <f t="shared" ca="1" si="1"/>
        <v>3101.3853904282114</v>
      </c>
      <c r="AB64" s="103" t="s">
        <v>4276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233.5</v>
      </c>
      <c r="Z65" s="38">
        <f>VLOOKUP(C65,台股行情!A:E,5,FALSE)</f>
        <v>2</v>
      </c>
      <c r="AA65" s="90">
        <f t="shared" ca="1" si="1"/>
        <v>2924.1046982805824</v>
      </c>
      <c r="AB65" s="103" t="s">
        <v>4276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33.4</v>
      </c>
      <c r="Z66" s="38">
        <f>VLOOKUP(C66,台股行情!A:E,5,FALSE)</f>
        <v>-1.3</v>
      </c>
      <c r="AA66" s="90">
        <f t="shared" ca="1" si="1"/>
        <v>2887.9640784141934</v>
      </c>
      <c r="AB66" s="103" t="s">
        <v>4276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1600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40.85</v>
      </c>
      <c r="Z67" s="38">
        <f>VLOOKUP(C67,台股行情!A:E,5,FALSE)</f>
        <v>-0.45</v>
      </c>
      <c r="AA67" s="90">
        <f t="shared" ca="1" si="1"/>
        <v>665.04216405651073</v>
      </c>
      <c r="AB67" s="103" t="s">
        <v>4276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22.6</v>
      </c>
      <c r="Z68" s="38">
        <f>VLOOKUP(C68,台股行情!A:E,5,FALSE)</f>
        <v>-0.3</v>
      </c>
      <c r="AA68" s="90">
        <f t="shared" ca="1" si="1"/>
        <v>957.72642645931444</v>
      </c>
      <c r="AB68" s="103" t="s">
        <v>4276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1140</v>
      </c>
      <c r="Z69" s="38">
        <f>VLOOKUP(C69,台股行情!A:E,5,FALSE)</f>
        <v>80</v>
      </c>
      <c r="AA69" s="90">
        <f t="shared" ca="1" si="1"/>
        <v>216.29613404884458</v>
      </c>
      <c r="AB69" s="103" t="s">
        <v>4276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750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477</v>
      </c>
      <c r="Z70" s="38">
        <f>VLOOKUP(C70,台股行情!A:E,5,FALSE)</f>
        <v>43</v>
      </c>
      <c r="AA70" s="90">
        <f t="shared" ca="1" si="1"/>
        <v>17947.103274559195</v>
      </c>
      <c r="AB70" s="103" t="s">
        <v>4276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2184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26.65</v>
      </c>
      <c r="Z71" s="38">
        <f>VLOOKUP(C71,台股行情!A:E,5,FALSE)</f>
        <v>0.8</v>
      </c>
      <c r="AA71" s="90">
        <f t="shared" ca="1" si="1"/>
        <v>4175.3367648669364</v>
      </c>
      <c r="AB71" s="103" t="s">
        <v>4276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233.5</v>
      </c>
      <c r="Z72" s="38">
        <f>VLOOKUP(C72,台股行情!A:E,5,FALSE)</f>
        <v>2</v>
      </c>
      <c r="AA72" s="90">
        <f t="shared" ca="1" si="1"/>
        <v>3833.3698390099657</v>
      </c>
      <c r="AB72" s="103" t="s">
        <v>4276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999</v>
      </c>
      <c r="Z73" s="38">
        <f>VLOOKUP(C73,台股行情!A:E,5,FALSE)</f>
        <v>34</v>
      </c>
      <c r="AA73" s="90">
        <f t="shared" ca="1" si="1"/>
        <v>22001.971306538166</v>
      </c>
      <c r="AB73" s="103" t="s">
        <v>4276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164</v>
      </c>
      <c r="Z74" s="38">
        <f>VLOOKUP(C74,台股行情!A:E,5,FALSE)</f>
        <v>-4</v>
      </c>
      <c r="AA74" s="90">
        <f t="shared" ca="1" si="1"/>
        <v>1551.0349359325376</v>
      </c>
      <c r="AB74" s="103" t="s">
        <v>4276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66.099999999999994</v>
      </c>
      <c r="Z75" s="38">
        <f>VLOOKUP(C75,台股行情!A:E,5,FALSE)</f>
        <v>-0.1</v>
      </c>
      <c r="AA75" s="90">
        <f t="shared" ca="1" si="1"/>
        <v>1438.0954988500712</v>
      </c>
      <c r="AB75" s="103" t="s">
        <v>4276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4276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1631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182.5</v>
      </c>
      <c r="Z77" s="38">
        <f>VLOOKUP(C77,台股行情!A:E,5,FALSE)</f>
        <v>1</v>
      </c>
      <c r="AA77" s="90">
        <f t="shared" ca="1" si="1"/>
        <v>836.4363158471142</v>
      </c>
      <c r="AB77" s="103" t="s">
        <v>4276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859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41.1</v>
      </c>
      <c r="Z78" s="38">
        <f>VLOOKUP(C78,台股行情!A:E,5,FALSE)</f>
        <v>1.3</v>
      </c>
      <c r="AA78" s="90">
        <f t="shared" ca="1" si="1"/>
        <v>290.76771437958604</v>
      </c>
      <c r="AB78" s="103" t="s">
        <v>4276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860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64.7</v>
      </c>
      <c r="Z79" s="38">
        <f>VLOOKUP(C79,台股行情!A:E,5,FALSE)</f>
        <v>0.3</v>
      </c>
      <c r="AA79" s="90">
        <f t="shared" ca="1" si="1"/>
        <v>512.53969992333805</v>
      </c>
      <c r="AB79" s="103" t="s">
        <v>4276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66.2</v>
      </c>
      <c r="Z80" s="38">
        <f>VLOOKUP(C80,台股行情!A:E,5,FALSE)</f>
        <v>3.5</v>
      </c>
      <c r="AA80" s="90">
        <f t="shared" ca="1" si="1"/>
        <v>4380.6811959259667</v>
      </c>
      <c r="AB80" s="103" t="s">
        <v>4276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12.55</v>
      </c>
      <c r="Z81" s="38">
        <f>VLOOKUP(C81,台股行情!A:E,5,FALSE)</f>
        <v>0.45</v>
      </c>
      <c r="AA81" s="90">
        <f t="shared" ca="1" si="1"/>
        <v>1307.633336983901</v>
      </c>
      <c r="AB81" s="103" t="s">
        <v>4276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612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60.8</v>
      </c>
      <c r="Z82" s="38">
        <f>VLOOKUP(C82,台股行情!A:E,5,FALSE)</f>
        <v>0</v>
      </c>
      <c r="AA82" s="90">
        <f t="shared" ca="1" si="1"/>
        <v>1721.6077099989047</v>
      </c>
      <c r="AB82" s="103" t="s">
        <v>4276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-0.1</v>
      </c>
      <c r="AA83" s="90">
        <f t="shared" ca="1" si="1"/>
        <v>1114.8833643631585</v>
      </c>
      <c r="AB83" s="103" t="s">
        <v>4276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687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39.049999999999997</v>
      </c>
      <c r="Z84" s="38">
        <f>VLOOKUP(C84,台股行情!A:E,5,FALSE)</f>
        <v>-0.95</v>
      </c>
      <c r="AA84" s="90">
        <f t="shared" ca="1" si="1"/>
        <v>0</v>
      </c>
      <c r="AB84" s="103" t="s">
        <v>4276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1380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292</v>
      </c>
      <c r="Z85" s="38">
        <f>VLOOKUP(C85,台股行情!A:E,5,FALSE)</f>
        <v>-5</v>
      </c>
      <c r="AA85" s="90">
        <f t="shared" ca="1" si="1"/>
        <v>0</v>
      </c>
      <c r="AB85" s="103" t="s">
        <v>4276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1226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122.5</v>
      </c>
      <c r="Z86" s="38">
        <f>VLOOKUP(C86,台股行情!A:E,5,FALSE)</f>
        <v>-2</v>
      </c>
      <c r="AA86" s="90">
        <f t="shared" ref="AA86:AA143" ca="1" si="11">IF(I86="",((TODAY()-A86)*G86)/365.24,((I86-A86)*G86)/365.24)</f>
        <v>0</v>
      </c>
      <c r="AB86" s="103" t="s">
        <v>4276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687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39.049999999999997</v>
      </c>
      <c r="Z87" s="38">
        <f>VLOOKUP(C87,台股行情!A:E,5,FALSE)</f>
        <v>-0.95</v>
      </c>
      <c r="AA87" s="90">
        <f t="shared" ca="1" si="11"/>
        <v>147.57419778775599</v>
      </c>
      <c r="AB87" s="103" t="s">
        <v>4276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921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24.4</v>
      </c>
      <c r="Z88" s="38">
        <f>VLOOKUP(C88,台股行情!A:E,5,FALSE)</f>
        <v>-0.3</v>
      </c>
      <c r="AA88" s="90">
        <f t="shared" ca="1" si="11"/>
        <v>1078.7427444967693</v>
      </c>
      <c r="AB88" s="103" t="s">
        <v>4276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1261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90.3</v>
      </c>
      <c r="Z89" s="38">
        <f>VLOOKUP(C89,台股行情!A:E,5,FALSE)</f>
        <v>-1</v>
      </c>
      <c r="AA89" s="90">
        <f t="shared" ca="1" si="11"/>
        <v>974.7015660935275</v>
      </c>
      <c r="AB89" s="103" t="s">
        <v>4276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1261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90.3</v>
      </c>
      <c r="Z90" s="38">
        <f>VLOOKUP(C90,台股行情!A:E,5,FALSE)</f>
        <v>-1</v>
      </c>
      <c r="AA90" s="90">
        <f t="shared" ca="1" si="11"/>
        <v>1158.1425911729273</v>
      </c>
      <c r="AB90" s="103" t="s">
        <v>4276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1226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122.5</v>
      </c>
      <c r="Z91" s="38">
        <f>VLOOKUP(C91,台股行情!A:E,5,FALSE)</f>
        <v>-2</v>
      </c>
      <c r="AA91" s="90">
        <f t="shared" ca="1" si="11"/>
        <v>2943.2701785127588</v>
      </c>
      <c r="AB91" s="103" t="s">
        <v>4276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1479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26</v>
      </c>
      <c r="Z92" s="38">
        <f>VLOOKUP(C92,台股行情!A:E,5,FALSE)</f>
        <v>-0.65</v>
      </c>
      <c r="AA92" s="90">
        <f t="shared" ca="1" si="11"/>
        <v>1980.4785894206548</v>
      </c>
      <c r="AB92" s="103" t="s">
        <v>4276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683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46.8</v>
      </c>
      <c r="Z93" s="38">
        <f>VLOOKUP(C93,台股行情!A:E,5,FALSE)</f>
        <v>0.2</v>
      </c>
      <c r="AA93" s="90">
        <f t="shared" ca="1" si="11"/>
        <v>1790.6034388347387</v>
      </c>
      <c r="AB93" s="103" t="s">
        <v>4276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879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117</v>
      </c>
      <c r="Z94" s="38">
        <f>VLOOKUP(C94,台股行情!A:E,5,FALSE)</f>
        <v>1</v>
      </c>
      <c r="AA94" s="90">
        <f t="shared" ca="1" si="11"/>
        <v>1234.2569269521412</v>
      </c>
      <c r="AB94" s="103" t="s">
        <v>4276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1327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4276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62.5</v>
      </c>
      <c r="Z96" s="38">
        <f>VLOOKUP(C96,台股行情!A:E,5,FALSE)</f>
        <v>-1.3</v>
      </c>
      <c r="AA96" s="90">
        <f t="shared" ca="1" si="11"/>
        <v>2809.1118168875259</v>
      </c>
      <c r="AB96" s="103" t="s">
        <v>4276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12.15</v>
      </c>
      <c r="Z97" s="38">
        <f>VLOOKUP(C97,台股行情!A:E,5,FALSE)</f>
        <v>0.3</v>
      </c>
      <c r="AA97" s="90">
        <f t="shared" ca="1" si="11"/>
        <v>565.38166684919508</v>
      </c>
      <c r="AB97" s="103" t="s">
        <v>4276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1630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2405</v>
      </c>
      <c r="Z98" s="38">
        <f>VLOOKUP(C98,台股行情!A:E,5,FALSE)</f>
        <v>-15</v>
      </c>
      <c r="AA98" s="90">
        <f t="shared" ca="1" si="11"/>
        <v>13098.236775818639</v>
      </c>
      <c r="AB98" s="103" t="s">
        <v>4276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647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</v>
      </c>
      <c r="Z99" s="38">
        <f>VLOOKUP(C99,台股行情!A:E,5,FALSE)</f>
        <v>0.05</v>
      </c>
      <c r="AA99" s="90">
        <f t="shared" ca="1" si="11"/>
        <v>684.20764428868688</v>
      </c>
      <c r="AB99" s="103" t="s">
        <v>4276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632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21.8</v>
      </c>
      <c r="Z100" s="38">
        <f>VLOOKUP(C100,台股行情!A:E,5,FALSE)</f>
        <v>-0.05</v>
      </c>
      <c r="AA100" s="90">
        <f t="shared" ca="1" si="11"/>
        <v>0</v>
      </c>
      <c r="AB100" s="103" t="s">
        <v>4276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708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358</v>
      </c>
      <c r="Z101" s="38">
        <f>VLOOKUP(C101,台股行情!A:E,5,FALSE)</f>
        <v>9</v>
      </c>
      <c r="AA101" s="90">
        <f t="shared" ca="1" si="11"/>
        <v>1650.9692257145987</v>
      </c>
      <c r="AB101" s="103" t="s">
        <v>4276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1757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158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4276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1673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144</v>
      </c>
      <c r="Z103" s="38">
        <f>VLOOKUP(C103,台股行情!A:E,5,FALSE)</f>
        <v>0</v>
      </c>
      <c r="AA103" s="90">
        <f t="shared" ca="1" si="11"/>
        <v>2523.2723688533565</v>
      </c>
      <c r="AB103" s="103" t="s">
        <v>4276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1568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</v>
      </c>
      <c r="Z104" s="38">
        <f>VLOOKUP(C104,台股行情!A:E,5,FALSE)</f>
        <v>0.2</v>
      </c>
      <c r="AA104" s="90">
        <f t="shared" ca="1" si="11"/>
        <v>607.40882707260982</v>
      </c>
      <c r="AB104" s="103" t="s">
        <v>4276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1697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185.5</v>
      </c>
      <c r="Z105" s="38">
        <f>VLOOKUP(C105,台股行情!A:E,5,FALSE)</f>
        <v>-3</v>
      </c>
      <c r="AA105" s="90">
        <f t="shared" ca="1" si="11"/>
        <v>2387.4712517796515</v>
      </c>
      <c r="AB105" s="103" t="s">
        <v>4276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1757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158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4276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1614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28.4</v>
      </c>
      <c r="Z107" s="38">
        <f>VLOOKUP(C107,台股行情!A:E,5,FALSE)</f>
        <v>0.2</v>
      </c>
      <c r="AA107" s="90">
        <f t="shared" ca="1" si="11"/>
        <v>505.147300405213</v>
      </c>
      <c r="AB107" s="103" t="s">
        <v>4276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1600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40.85</v>
      </c>
      <c r="Z108" s="38">
        <f>VLOOKUP(C108,台股行情!A:E,5,FALSE)</f>
        <v>-0.45</v>
      </c>
      <c r="AA108" s="90">
        <f t="shared" ca="1" si="11"/>
        <v>253.25813163946992</v>
      </c>
      <c r="AB108" s="103" t="s">
        <v>4276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1873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178</v>
      </c>
      <c r="Z109" s="38">
        <f>VLOOKUP(C109,台股行情!A:E,5,FALSE)</f>
        <v>-5.5</v>
      </c>
      <c r="AA109" s="90">
        <f t="shared" ca="1" si="11"/>
        <v>525.681743511116</v>
      </c>
      <c r="AB109" s="103" t="s">
        <v>4276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12.65</v>
      </c>
      <c r="Z110" s="38">
        <f>VLOOKUP(C110,台股行情!A:E,5,FALSE)</f>
        <v>0.6</v>
      </c>
      <c r="AA110" s="90">
        <f t="shared" ca="1" si="11"/>
        <v>1046.4352206768151</v>
      </c>
      <c r="AB110" s="103" t="s">
        <v>4276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1566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13.45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4276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1694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290.5</v>
      </c>
      <c r="Z112" s="38">
        <f>VLOOKUP(C112,台股行情!A:E,5,FALSE)</f>
        <v>-3</v>
      </c>
      <c r="AA112" s="90">
        <f t="shared" ca="1" si="11"/>
        <v>1502.5736502026064</v>
      </c>
      <c r="AB112" s="103" t="s">
        <v>4276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12.65</v>
      </c>
      <c r="Z113" s="38">
        <f>VLOOKUP(C113,台股行情!A:E,5,FALSE)</f>
        <v>0.6</v>
      </c>
      <c r="AA113" s="90">
        <f t="shared" ca="1" si="11"/>
        <v>1931.8804074033512</v>
      </c>
      <c r="AB113" s="103" t="s">
        <v>4276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1663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94.1</v>
      </c>
      <c r="Z114" s="38">
        <f>VLOOKUP(C114,台股行情!A:E,5,FALSE)</f>
        <v>2</v>
      </c>
      <c r="AA114" s="90">
        <f t="shared" ca="1" si="11"/>
        <v>2213.6129668163398</v>
      </c>
      <c r="AB114" s="103" t="s">
        <v>4276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1568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</v>
      </c>
      <c r="Z115" s="38">
        <f>VLOOKUP(C115,台股行情!A:E,5,FALSE)</f>
        <v>0.2</v>
      </c>
      <c r="AA115" s="90">
        <f t="shared" ca="1" si="11"/>
        <v>2092.1859599167669</v>
      </c>
      <c r="AB115" s="103" t="s">
        <v>4276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1824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91.1</v>
      </c>
      <c r="Z116" s="38">
        <f>VLOOKUP(C116,台股行情!A:E,5,FALSE)</f>
        <v>2.6</v>
      </c>
      <c r="AA116" s="90">
        <f t="shared" ca="1" si="11"/>
        <v>22863.596539261856</v>
      </c>
      <c r="AB116" s="103" t="s">
        <v>4276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584</v>
      </c>
      <c r="Z117" s="38">
        <f>VLOOKUP(C117,台股行情!A:E,5,FALSE)</f>
        <v>-37</v>
      </c>
      <c r="AA117" s="90">
        <f t="shared" ca="1" si="11"/>
        <v>40473.387361734749</v>
      </c>
      <c r="AB117" s="103" t="s">
        <v>4276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-3</v>
      </c>
      <c r="AA118" s="90">
        <f t="shared" ca="1" si="11"/>
        <v>3968.62337093418</v>
      </c>
      <c r="AB118" s="103" t="s">
        <v>4276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1597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13.7</v>
      </c>
      <c r="Z119" s="38">
        <f>VLOOKUP(C119,台股行情!A:E,5,FALSE)</f>
        <v>0</v>
      </c>
      <c r="AA119" s="90">
        <f t="shared" ca="1" si="11"/>
        <v>9468.8424049939767</v>
      </c>
      <c r="AB119" s="103" t="s">
        <v>4276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2855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20.350000000000001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4276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2184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26.65</v>
      </c>
      <c r="Z121" s="38">
        <f>VLOOKUP(C121,台股行情!A:E,5,FALSE)</f>
        <v>0.8</v>
      </c>
      <c r="AA121" s="90">
        <f t="shared" ca="1" si="11"/>
        <v>11079.837914795751</v>
      </c>
      <c r="AB121" s="103" t="s">
        <v>4276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49.85</v>
      </c>
      <c r="Z122" s="38">
        <f>VLOOKUP(C122,台股行情!A:E,5,FALSE)</f>
        <v>1.25</v>
      </c>
      <c r="AA122" s="90">
        <f t="shared" ca="1" si="11"/>
        <v>10767.988172160771</v>
      </c>
      <c r="AB122" s="103" t="s">
        <v>4276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1662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</v>
      </c>
      <c r="Z123" s="38">
        <f>VLOOKUP(C123,台股行情!A:E,5,FALSE)</f>
        <v>0.2</v>
      </c>
      <c r="AA123" s="90">
        <f t="shared" ca="1" si="11"/>
        <v>6978.6989376848096</v>
      </c>
      <c r="AB123" s="103" t="s">
        <v>4276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1605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</v>
      </c>
      <c r="Z124" s="38">
        <f>VLOOKUP(C124,台股行情!A:E,5,FALSE)</f>
        <v>-0.4</v>
      </c>
      <c r="AA124" s="90">
        <f t="shared" ca="1" si="11"/>
        <v>22955.864636951046</v>
      </c>
      <c r="AB124" s="103" t="s">
        <v>4276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1693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113</v>
      </c>
      <c r="Z125" s="38">
        <f>VLOOKUP(C125,台股行情!A:E,5,FALSE)</f>
        <v>1.5</v>
      </c>
      <c r="AA125" s="90">
        <f t="shared" ca="1" si="11"/>
        <v>8944.8034169313323</v>
      </c>
      <c r="AB125" s="103" t="s">
        <v>4276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1662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</v>
      </c>
      <c r="Z126" s="38">
        <f>VLOOKUP(C126,台股行情!A:E,5,FALSE)</f>
        <v>0.2</v>
      </c>
      <c r="AA126" s="90">
        <f t="shared" ca="1" si="11"/>
        <v>39906.36293943708</v>
      </c>
      <c r="AB126" s="103" t="s">
        <v>4276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2855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20.350000000000001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4276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1924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485</v>
      </c>
      <c r="Z128" s="38">
        <f>VLOOKUP(C128,台股行情!A:E,5,FALSE)</f>
        <v>-7.5</v>
      </c>
      <c r="AA128" s="90">
        <f t="shared" ca="1" si="11"/>
        <v>31759.938670463256</v>
      </c>
      <c r="AB128" s="103" t="s">
        <v>4276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49.85</v>
      </c>
      <c r="Z129" s="38">
        <f>VLOOKUP(C129,台股行情!A:E,5,FALSE)</f>
        <v>1.25</v>
      </c>
      <c r="AA129" s="90">
        <f t="shared" ca="1" si="11"/>
        <v>1512.5670791808125</v>
      </c>
      <c r="AB129" s="103" t="s">
        <v>4276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1692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312.5</v>
      </c>
      <c r="Z130" s="38">
        <f>VLOOKUP(C130,台股行情!A:E,5,FALSE)</f>
        <v>-4.5</v>
      </c>
      <c r="AA130" s="90">
        <f t="shared" ca="1" si="11"/>
        <v>200444.91293396123</v>
      </c>
      <c r="AB130" s="103" t="s">
        <v>4276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1619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19.3</v>
      </c>
      <c r="Z131" s="38">
        <f>VLOOKUP(C131,台股行情!A:E,5,FALSE)</f>
        <v>0.1</v>
      </c>
      <c r="AA131" s="90">
        <f t="shared" ca="1" si="11"/>
        <v>39536.195378381337</v>
      </c>
      <c r="AB131" s="103" t="s">
        <v>4276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2184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26.65</v>
      </c>
      <c r="Z132" s="38">
        <f>VLOOKUP(C132,台股行情!A:E,5,FALSE)</f>
        <v>0.8</v>
      </c>
      <c r="AA132" s="90">
        <f t="shared" ca="1" si="11"/>
        <v>1923.1190450114993</v>
      </c>
      <c r="AB132" s="103" t="s">
        <v>4276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3656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151</v>
      </c>
      <c r="Z133" s="38">
        <f>VLOOKUP(C133,台股行情!A:E,5,FALSE)</f>
        <v>-3</v>
      </c>
      <c r="AA133" s="90">
        <f t="shared" ca="1" si="11"/>
        <v>9166.575402475084</v>
      </c>
      <c r="AB133" s="103" t="s">
        <v>4276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1614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28.4</v>
      </c>
      <c r="Z134" s="38">
        <f>VLOOKUP(C134,台股行情!A:E,5,FALSE)</f>
        <v>0.2</v>
      </c>
      <c r="AA134" s="90">
        <f t="shared" ca="1" si="11"/>
        <v>734.03789289234476</v>
      </c>
      <c r="AB134" s="103" t="s">
        <v>4276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911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26.5</v>
      </c>
      <c r="Z135" s="38">
        <f>VLOOKUP(C135,台股行情!A:E,5,FALSE)</f>
        <v>-0.4</v>
      </c>
      <c r="AA135" s="90">
        <f t="shared" ca="1" si="11"/>
        <v>535.67517248932211</v>
      </c>
      <c r="AB135" s="103" t="s">
        <v>4276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1631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182.5</v>
      </c>
      <c r="Z136" s="38">
        <f>VLOOKUP(C136,台股行情!A:E,5,FALSE)</f>
        <v>1</v>
      </c>
      <c r="AA136" s="90">
        <f t="shared" ca="1" si="11"/>
        <v>23240.061329536744</v>
      </c>
      <c r="AB136" s="103" t="s">
        <v>4276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1630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2405</v>
      </c>
      <c r="Z137" s="38">
        <f>VLOOKUP(C137,台股行情!A:E,5,FALSE)</f>
        <v>-15</v>
      </c>
      <c r="AA137" s="90">
        <f t="shared" ca="1" si="11"/>
        <v>443732.8879640784</v>
      </c>
      <c r="AB137" s="103" t="s">
        <v>4276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540</v>
      </c>
      <c r="Z138" s="38">
        <f>VLOOKUP(C138,台股行情!A:E,5,FALSE)</f>
        <v>-5</v>
      </c>
      <c r="AA138" s="90">
        <f t="shared" ca="1" si="11"/>
        <v>156653.15956631256</v>
      </c>
      <c r="AB138" s="103" t="s">
        <v>4276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72.5</v>
      </c>
      <c r="Z139" s="38">
        <f>VLOOKUP(C139,台股行情!A:E,5,FALSE)</f>
        <v>-0.1</v>
      </c>
      <c r="AA139" s="90">
        <f t="shared" ca="1" si="11"/>
        <v>42547.776804293069</v>
      </c>
      <c r="AB139" s="103" t="s">
        <v>4276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72.5</v>
      </c>
      <c r="Z140" s="38">
        <f>VLOOKUP(C140,台股行情!A:E,5,FALSE)</f>
        <v>-0.1</v>
      </c>
      <c r="AA140" s="90">
        <f t="shared" ca="1" si="11"/>
        <v>42807.742854013799</v>
      </c>
      <c r="AB140" s="103" t="s">
        <v>4276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1702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175</v>
      </c>
      <c r="Z141" s="38">
        <f>VLOOKUP(C141,台股行情!A:E,5,FALSE)</f>
        <v>1</v>
      </c>
      <c r="AA141" s="90">
        <f t="shared" ca="1" si="11"/>
        <v>129019.82258241157</v>
      </c>
      <c r="AB141" s="103" t="s">
        <v>4276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16.05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4276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1038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-0.4</v>
      </c>
      <c r="AA143" s="90">
        <f t="shared" ca="1" si="11"/>
        <v>679816.01138977113</v>
      </c>
      <c r="AB143" s="103" t="s">
        <v>4276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4276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4276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118</v>
      </c>
      <c r="Z146" s="38">
        <f>VLOOKUP(C146,台股行情!A:E,5,FALSE)</f>
        <v>0.5</v>
      </c>
      <c r="AA146" s="90">
        <f ca="1">IF(I146="",((TODAY()-A146)*G146)/365.24,((I146-A146)*G146)/365.24)</f>
        <v>814268.70003285503</v>
      </c>
      <c r="AB146" s="103" t="s">
        <v>4276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26.65</v>
      </c>
      <c r="Z147" s="38">
        <f>VLOOKUP(C147,台股行情!A:E,5,FALSE)</f>
        <v>0.8</v>
      </c>
      <c r="AA147" s="90">
        <f ca="1">IF(I147="",((TODAY()-A147)*G147)/365.24,((I147-A147)*G147)/365.24)</f>
        <v>150239.0209177527</v>
      </c>
      <c r="AB147" s="103" t="s">
        <v>4276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17.75</v>
      </c>
      <c r="Z148" s="38">
        <f>VLOOKUP(C148,台股行情!A:E,5,FALSE)</f>
        <v>0</v>
      </c>
      <c r="AA148" s="90">
        <f ca="1">IF(I148="",((TODAY()-A148)*G148)/365.24,((I148-A148)*G148)/365.24)</f>
        <v>580909.53893330402</v>
      </c>
      <c r="AB148" s="103" t="s">
        <v>4276</v>
      </c>
    </row>
    <row r="149" spans="1:28">
      <c r="A149" s="99">
        <v>44571</v>
      </c>
      <c r="B149" s="11" t="s">
        <v>19</v>
      </c>
      <c r="C149" s="11">
        <v>2358</v>
      </c>
      <c r="D149" s="11" t="s">
        <v>697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4276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697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4276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1196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402</v>
      </c>
      <c r="Z151" s="38">
        <f>VLOOKUP(C151,台股行情!A:E,5,FALSE)</f>
        <v>2</v>
      </c>
      <c r="AA151" s="90">
        <f t="shared" ca="1" si="28"/>
        <v>2486.0365786879861</v>
      </c>
      <c r="AB151" s="103" t="s">
        <v>4276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985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64.099999999999994</v>
      </c>
      <c r="Z152" s="38">
        <f>VLOOKUP(C152,台股行情!A:E,5,FALSE)</f>
        <v>-0.1</v>
      </c>
      <c r="AA152" s="90">
        <f t="shared" ca="1" si="28"/>
        <v>5634.6511882597742</v>
      </c>
      <c r="AB152" s="103" t="s">
        <v>4276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12.65</v>
      </c>
      <c r="Z153" s="38">
        <f>VLOOKUP(C153,台股行情!A:E,5,FALSE)</f>
        <v>0.6</v>
      </c>
      <c r="AA153" s="90">
        <f t="shared" ca="1" si="28"/>
        <v>0</v>
      </c>
      <c r="AB153" s="103" t="s">
        <v>4276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1620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82.6</v>
      </c>
      <c r="Z154" s="38">
        <f>VLOOKUP(C154,台股行情!A:E,5,FALSE)</f>
        <v>-0.5</v>
      </c>
      <c r="AA154" s="90">
        <f t="shared" ca="1" si="28"/>
        <v>0</v>
      </c>
      <c r="AB154" s="103" t="s">
        <v>4276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61.7</v>
      </c>
      <c r="Z155" s="38">
        <f>VLOOKUP(C155,台股行情!A:E,5,FALSE)</f>
        <v>-1.1000000000000001</v>
      </c>
      <c r="AA155" s="90">
        <f t="shared" ca="1" si="28"/>
        <v>0</v>
      </c>
      <c r="AB155" s="103" t="s">
        <v>4276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886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3425</v>
      </c>
      <c r="Z156" s="38">
        <f>VLOOKUP(C156,台股行情!A:E,5,FALSE)</f>
        <v>65</v>
      </c>
      <c r="AA156" s="90">
        <f t="shared" ca="1" si="28"/>
        <v>6612.0906801007559</v>
      </c>
      <c r="AB156" s="103" t="s">
        <v>4276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4276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80.8</v>
      </c>
      <c r="Z158" s="38">
        <f>VLOOKUP(C158,台股行情!A:E,5,FALSE)</f>
        <v>0.2</v>
      </c>
      <c r="AA158" s="90">
        <f t="shared" ca="1" si="28"/>
        <v>4724.5646698061546</v>
      </c>
      <c r="AB158" s="103" t="s">
        <v>4276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677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32.35</v>
      </c>
      <c r="Z159" s="38">
        <f>VLOOKUP(C159,台股行情!A:E,5,FALSE)</f>
        <v>0.55000000000000004</v>
      </c>
      <c r="AA159" s="90">
        <f t="shared" ca="1" si="28"/>
        <v>326.77143795860258</v>
      </c>
      <c r="AB159" s="103" t="s">
        <v>4276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677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32.35</v>
      </c>
      <c r="Z160" s="38">
        <f>VLOOKUP(C160,台股行情!A:E,5,FALSE)</f>
        <v>0.55000000000000004</v>
      </c>
      <c r="AA160" s="90">
        <f t="shared" ca="1" si="28"/>
        <v>513.49797393494691</v>
      </c>
      <c r="AB160" s="103" t="s">
        <v>4276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1355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20.7</v>
      </c>
      <c r="Z161" s="38">
        <f>VLOOKUP(C161,台股行情!A:E,5,FALSE)</f>
        <v>-0.15</v>
      </c>
      <c r="AA161" s="90">
        <f t="shared" ca="1" si="28"/>
        <v>65.436425364144128</v>
      </c>
      <c r="AB161" s="103" t="s">
        <v>4276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1307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24.5</v>
      </c>
      <c r="Z162" s="38">
        <f>VLOOKUP(C162,台股行情!A:E,5,FALSE)</f>
        <v>-0.85</v>
      </c>
      <c r="AA162" s="90">
        <f t="shared" ca="1" si="28"/>
        <v>4821.487241266017</v>
      </c>
      <c r="AB162" s="103" t="s">
        <v>4276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1307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24.5</v>
      </c>
      <c r="Z163" s="38">
        <f>VLOOKUP(C163,台股行情!A:E,5,FALSE)</f>
        <v>-0.85</v>
      </c>
      <c r="AA163" s="90">
        <f t="shared" ca="1" si="28"/>
        <v>4982.2034826415511</v>
      </c>
      <c r="AB163" s="103" t="s">
        <v>4276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91.2</v>
      </c>
      <c r="Z164" s="38">
        <f>VLOOKUP(C164,台股行情!A:E,5,FALSE)</f>
        <v>-1.9</v>
      </c>
      <c r="AA164" s="90">
        <f t="shared" ca="1" si="28"/>
        <v>19362.61088599277</v>
      </c>
      <c r="AB164" s="103" t="s">
        <v>4276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1040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87.7</v>
      </c>
      <c r="Z165" s="38">
        <f>VLOOKUP(C165,台股行情!A:E,5,FALSE)</f>
        <v>-3.2</v>
      </c>
      <c r="AA165" s="90">
        <f t="shared" ca="1" si="28"/>
        <v>28644.726755010404</v>
      </c>
      <c r="AB165" s="103" t="s">
        <v>4276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2163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1165</v>
      </c>
      <c r="Z166" s="38">
        <f>VLOOKUP(C166,台股行情!A:E,5,FALSE)</f>
        <v>35</v>
      </c>
      <c r="AA166" s="90">
        <f t="shared" ca="1" si="28"/>
        <v>35132.241813602013</v>
      </c>
      <c r="AB166" s="103" t="s">
        <v>4276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1370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43.5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4276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669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171</v>
      </c>
      <c r="Z168" s="38">
        <f>VLOOKUP(C168,台股行情!A:E,5,FALSE)</f>
        <v>-1.5</v>
      </c>
      <c r="AA168" s="90">
        <f t="shared" ca="1" si="28"/>
        <v>217106.5600700909</v>
      </c>
      <c r="AB168" s="103" t="s">
        <v>4276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2806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2165</v>
      </c>
      <c r="Z169" s="38">
        <f>VLOOKUP(C169,台股行情!A:E,5,FALSE)</f>
        <v>15</v>
      </c>
      <c r="AA169" s="90">
        <f t="shared" ca="1" si="28"/>
        <v>1075574.9644069653</v>
      </c>
      <c r="AB169" s="103" t="s">
        <v>4276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861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35.299999999999997</v>
      </c>
      <c r="Z170" s="38">
        <f>VLOOKUP(C170,台股行情!A:E,5,FALSE)</f>
        <v>0.9</v>
      </c>
      <c r="AA170" s="90">
        <f t="shared" ca="1" si="28"/>
        <v>63370.660387690281</v>
      </c>
      <c r="AB170" s="103" t="s">
        <v>4276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25.55</v>
      </c>
      <c r="Z171" s="38">
        <f>VLOOKUP(C171,台股行情!A:E,5,FALSE)</f>
        <v>0.3</v>
      </c>
      <c r="AA171" s="90">
        <f t="shared" ca="1" si="28"/>
        <v>72690.833424597527</v>
      </c>
      <c r="AB171" s="103" t="s">
        <v>4276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1355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20.7</v>
      </c>
      <c r="Z172" s="38">
        <f>VLOOKUP(C172,台股行情!A:E,5,FALSE)</f>
        <v>-0.15</v>
      </c>
      <c r="AA172" s="90">
        <f t="shared" ref="AA172" ca="1" si="35">IF(I172="",((TODAY()-A172)*G172)/365.24,((I172-A172)*G172)/365.24)</f>
        <v>51131.995400284744</v>
      </c>
      <c r="AB172" s="103" t="s">
        <v>4276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63.8</v>
      </c>
      <c r="Z173" s="38">
        <f>VLOOKUP(C173,台股行情!A:E,5,FALSE)</f>
        <v>-0.7</v>
      </c>
      <c r="AA173" s="90">
        <f t="shared" ca="1" si="28"/>
        <v>366437.41101741319</v>
      </c>
      <c r="AB173" s="103" t="s">
        <v>4276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1239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50</v>
      </c>
      <c r="Z174" s="38">
        <f>VLOOKUP(C174,台股行情!A:E,5,FALSE)</f>
        <v>-0.5</v>
      </c>
      <c r="AA174" s="90">
        <f t="shared" ca="1" si="28"/>
        <v>2866.334465009309</v>
      </c>
      <c r="AB174" s="103" t="s">
        <v>4276</v>
      </c>
    </row>
    <row r="175" spans="1:28" outlineLevel="1">
      <c r="A175" s="99">
        <v>45103</v>
      </c>
      <c r="B175" s="11"/>
      <c r="C175" s="11">
        <v>5426</v>
      </c>
      <c r="D175" s="189" t="s">
        <v>1296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30.6</v>
      </c>
      <c r="Z175" s="38">
        <f>VLOOKUP(C175,台股行情!A:E,5,FALSE)</f>
        <v>2</v>
      </c>
      <c r="AA175" s="90">
        <f t="shared" ca="1" si="28"/>
        <v>601.79607929032966</v>
      </c>
      <c r="AB175" s="103" t="s">
        <v>4276</v>
      </c>
    </row>
    <row r="176" spans="1:28" outlineLevel="1">
      <c r="A176" s="99">
        <v>45103</v>
      </c>
      <c r="B176" s="11"/>
      <c r="C176" s="11">
        <v>5426</v>
      </c>
      <c r="D176" s="189" t="s">
        <v>1296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30.6</v>
      </c>
      <c r="Z176" s="38">
        <f>VLOOKUP(C176,台股行情!A:E,5,FALSE)</f>
        <v>2</v>
      </c>
      <c r="AA176" s="90">
        <f t="shared" ca="1" si="28"/>
        <v>601.79607929032966</v>
      </c>
      <c r="AB176" s="103" t="s">
        <v>4276</v>
      </c>
    </row>
    <row r="177" spans="1:28" outlineLevel="1">
      <c r="A177" s="99">
        <v>45103</v>
      </c>
      <c r="B177" s="11"/>
      <c r="C177" s="11">
        <v>5426</v>
      </c>
      <c r="D177" s="189" t="s">
        <v>1296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30.6</v>
      </c>
      <c r="Z177" s="38">
        <f>VLOOKUP(C177,台股行情!A:E,5,FALSE)</f>
        <v>2</v>
      </c>
      <c r="AA177" s="90">
        <f t="shared" ca="1" si="28"/>
        <v>644.78151352535315</v>
      </c>
      <c r="AB177" s="103" t="s">
        <v>4276</v>
      </c>
    </row>
    <row r="178" spans="1:28" outlineLevel="1">
      <c r="A178" s="99">
        <v>45103</v>
      </c>
      <c r="B178" s="11"/>
      <c r="C178" s="11">
        <v>6695</v>
      </c>
      <c r="D178" s="189" t="s">
        <v>2611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48.6</v>
      </c>
      <c r="Z178" s="38">
        <f>VLOOKUP(C178,台股行情!A:E,5,FALSE)</f>
        <v>-0.6</v>
      </c>
      <c r="AA178" s="90">
        <f t="shared" ca="1" si="28"/>
        <v>1281.3492498083451</v>
      </c>
      <c r="AB178" s="103" t="s">
        <v>4276</v>
      </c>
    </row>
    <row r="179" spans="1:28" outlineLevel="1">
      <c r="A179" s="99">
        <v>45138</v>
      </c>
      <c r="B179" s="11"/>
      <c r="C179" s="11">
        <v>9927</v>
      </c>
      <c r="D179" s="189" t="s">
        <v>2967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0.7</v>
      </c>
      <c r="AA179" s="90">
        <f t="shared" ca="1" si="28"/>
        <v>1034.9359325375096</v>
      </c>
      <c r="AB179" s="103" t="s">
        <v>4276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33.4</v>
      </c>
      <c r="Z180" s="38">
        <f>VLOOKUP(C180,台股行情!A:E,5,FALSE)</f>
        <v>-1.3</v>
      </c>
      <c r="AA180" s="90">
        <f t="shared" ca="1" si="28"/>
        <v>3950.8268535757311</v>
      </c>
      <c r="AB180" s="103" t="s">
        <v>4276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33.4</v>
      </c>
      <c r="Z181" s="38">
        <f>VLOOKUP(C181,台股行情!A:E,5,FALSE)</f>
        <v>-1.3</v>
      </c>
      <c r="AA181" s="90">
        <f t="shared" ca="1" si="28"/>
        <v>4963.859380133611</v>
      </c>
      <c r="AB181" s="103" t="s">
        <v>4276</v>
      </c>
    </row>
    <row r="182" spans="1:28" outlineLevel="1">
      <c r="A182" s="99">
        <v>45287</v>
      </c>
      <c r="B182" s="11"/>
      <c r="C182" s="11">
        <v>2832</v>
      </c>
      <c r="D182" s="189" t="s">
        <v>845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58.3</v>
      </c>
      <c r="Z182" s="38">
        <f>VLOOKUP(C182,台股行情!A:E,5,FALSE)</f>
        <v>-1.6</v>
      </c>
      <c r="AA182" s="90">
        <f t="shared" ca="1" si="28"/>
        <v>3822.6919285948966</v>
      </c>
      <c r="AB182" s="103" t="s">
        <v>4276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729</v>
      </c>
      <c r="Z183" s="38">
        <f>VLOOKUP(C183,台股行情!A:E,5,FALSE)</f>
        <v>-26</v>
      </c>
      <c r="AA183" s="90">
        <f t="shared" ca="1" si="28"/>
        <v>46583.068667177744</v>
      </c>
      <c r="AB183" s="103" t="s">
        <v>4276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20.25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4276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</v>
      </c>
      <c r="Z185" s="38">
        <f>VLOOKUP(C185,台股行情!A:E,5,FALSE)</f>
        <v>0.2</v>
      </c>
      <c r="AA185" s="90">
        <f t="shared" ca="1" si="28"/>
        <v>44795.476946665207</v>
      </c>
      <c r="AB185" s="103" t="s">
        <v>4276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29.15</v>
      </c>
      <c r="Z186" s="38">
        <f>VLOOKUP(C186,台股行情!A:E,5,FALSE)</f>
        <v>0.02</v>
      </c>
      <c r="AA186" s="90">
        <f t="shared" ca="1" si="28"/>
        <v>70930.237651954871</v>
      </c>
      <c r="AB186" s="103" t="s">
        <v>4280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29.15</v>
      </c>
      <c r="Z187" s="38">
        <f>VLOOKUP(C187,台股行情!A:E,5,FALSE)</f>
        <v>0.02</v>
      </c>
      <c r="AA187" s="90">
        <f t="shared" ca="1" si="28"/>
        <v>23715.9128244442</v>
      </c>
      <c r="AB187" s="103" t="s">
        <v>4280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29.15</v>
      </c>
      <c r="Z188" s="38">
        <f>VLOOKUP(C188,台股行情!A:E,5,FALSE)</f>
        <v>0.02</v>
      </c>
      <c r="AA188" s="90">
        <f t="shared" ca="1" si="28"/>
        <v>22017.522724783703</v>
      </c>
      <c r="AB188" s="103" t="s">
        <v>4280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29.15</v>
      </c>
      <c r="Z189" s="38">
        <f>VLOOKUP(C189,台股行情!A:E,5,FALSE)</f>
        <v>0.02</v>
      </c>
      <c r="AA189" s="90">
        <f t="shared" ca="1" si="28"/>
        <v>39718.979301281346</v>
      </c>
      <c r="AB189" s="103" t="s">
        <v>4280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20.2</v>
      </c>
      <c r="Z190" s="38">
        <f>VLOOKUP(C190,台股行情!A:E,5,FALSE)</f>
        <v>0.05</v>
      </c>
      <c r="AA190" s="90">
        <f t="shared" ca="1" si="28"/>
        <v>91062.041397437293</v>
      </c>
      <c r="AB190" s="103" t="s">
        <v>4276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741</v>
      </c>
      <c r="Z191" s="38">
        <f>VLOOKUP(C191,台股行情!A:E,5,FALSE)</f>
        <v>-13</v>
      </c>
      <c r="AA191" s="90">
        <f t="shared" ca="1" si="28"/>
        <v>4910.4698280582634</v>
      </c>
      <c r="AB191" s="103" t="s">
        <v>4276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91.2</v>
      </c>
      <c r="Z192" s="38">
        <f>VLOOKUP(C192,台股行情!A:E,5,FALSE)</f>
        <v>-1.9</v>
      </c>
      <c r="AA192" s="90">
        <f t="shared" ca="1" si="28"/>
        <v>3229.3834191216733</v>
      </c>
      <c r="AB192" s="103" t="s">
        <v>4276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63</v>
      </c>
      <c r="Z193" s="38">
        <f>VLOOKUP(C193,台股行情!A:E,5,FALSE)</f>
        <v>-0.3</v>
      </c>
      <c r="AA193" s="90">
        <f t="shared" ca="1" si="28"/>
        <v>1574.5810973606394</v>
      </c>
      <c r="AB193" s="103" t="s">
        <v>4276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96.3</v>
      </c>
      <c r="Z194" s="38">
        <f>VLOOKUP(C194,台股行情!A:E,5,FALSE)</f>
        <v>-0.1</v>
      </c>
      <c r="AA194" s="90">
        <f t="shared" ca="1" si="28"/>
        <v>5585.3685248056072</v>
      </c>
      <c r="AB194" s="103" t="s">
        <v>4276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50</v>
      </c>
      <c r="Z195" s="38">
        <f>VLOOKUP(C195,台股行情!A:E,5,FALSE)</f>
        <v>-0.5</v>
      </c>
      <c r="AA195" s="90">
        <f t="shared" ca="1" si="28"/>
        <v>410.68886211805938</v>
      </c>
      <c r="AB195" s="103" t="s">
        <v>4276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62.5</v>
      </c>
      <c r="Z196" s="38">
        <f>VLOOKUP(C196,台股行情!A:E,5,FALSE)</f>
        <v>0.5</v>
      </c>
      <c r="AA196" s="90">
        <f t="shared" ca="1" si="28"/>
        <v>6017.9607929032964</v>
      </c>
      <c r="AB196" s="103" t="s">
        <v>4276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51.1</v>
      </c>
      <c r="Z197" s="38">
        <f>VLOOKUP(C197,台股行情!A:E,5,FALSE)</f>
        <v>-0.5</v>
      </c>
      <c r="AA197" s="90">
        <f t="shared" ca="1" si="28"/>
        <v>7608.695652173913</v>
      </c>
      <c r="AB197" s="103" t="s">
        <v>4276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164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4276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52.1</v>
      </c>
      <c r="Z199" s="38">
        <f>VLOOKUP(C199,台股行情!A:E,5,FALSE)</f>
        <v>-1.2</v>
      </c>
      <c r="AA199" s="90">
        <f t="shared" ca="1" si="28"/>
        <v>1815.2447705618224</v>
      </c>
      <c r="AB199" s="103" t="s">
        <v>4276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148.5</v>
      </c>
      <c r="Z200" s="38">
        <f>VLOOKUP(C200,台股行情!A:E,5,FALSE)</f>
        <v>-2</v>
      </c>
      <c r="AA200" s="90">
        <f t="shared" ca="1" si="28"/>
        <v>1471.9088818311247</v>
      </c>
      <c r="AB200" s="103" t="s">
        <v>4276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4276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48.15</v>
      </c>
      <c r="Z202" s="38">
        <f>VLOOKUP(C202,台股行情!A:E,5,FALSE)</f>
        <v>-1.7</v>
      </c>
      <c r="AA202" s="90">
        <f t="shared" ca="1" si="28"/>
        <v>6438.779980286934</v>
      </c>
      <c r="AB202" s="103" t="s">
        <v>4276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26.05</v>
      </c>
      <c r="Z203" s="38">
        <f>VLOOKUP(C203,台股行情!A:E,5,FALSE)</f>
        <v>-0.25</v>
      </c>
      <c r="AA203" s="90">
        <f t="shared" ca="1" si="28"/>
        <v>4524.1485050925421</v>
      </c>
      <c r="AB203" s="103" t="s">
        <v>4276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159.5</v>
      </c>
      <c r="Z204" s="38">
        <f>VLOOKUP(C204,台股行情!A:E,5,FALSE)</f>
        <v>-4.5</v>
      </c>
      <c r="AA204" s="90">
        <f t="shared" ca="1" si="28"/>
        <v>3750.9582740116089</v>
      </c>
      <c r="AB204" s="103" t="s">
        <v>4276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4276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45</v>
      </c>
      <c r="Z206" s="38">
        <f>VLOOKUP(C206,台股行情!A:E,5,FALSE)</f>
        <v>0.5</v>
      </c>
      <c r="AA206" s="90">
        <f t="shared" ca="1" si="28"/>
        <v>1503.1212353520973</v>
      </c>
      <c r="AB206" s="103" t="s">
        <v>4276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61.8</v>
      </c>
      <c r="Z207" s="38">
        <f>VLOOKUP(C207,台股行情!A:E,5,FALSE)</f>
        <v>-0.5</v>
      </c>
      <c r="AA207" s="90">
        <f t="shared" ca="1" si="28"/>
        <v>6985.8175446281894</v>
      </c>
      <c r="AB207" s="103" t="s">
        <v>4276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66.900000000000006</v>
      </c>
      <c r="Z208" s="38">
        <f>VLOOKUP(C208,台股行情!A:E,5,FALSE)</f>
        <v>-0.2</v>
      </c>
      <c r="AA208" s="90">
        <f t="shared" ca="1" si="28"/>
        <v>7800.3504544956741</v>
      </c>
      <c r="AB208" s="103" t="s">
        <v>4276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10.95</v>
      </c>
      <c r="Z209" s="38">
        <f>VLOOKUP(C209,台股行情!A:E,5,FALSE)</f>
        <v>-0.2</v>
      </c>
      <c r="AA209" s="90">
        <f t="shared" ca="1" si="28"/>
        <v>2661.2638265250248</v>
      </c>
      <c r="AB209" s="103" t="s">
        <v>4276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99.4</v>
      </c>
      <c r="Z210" s="38">
        <f>VLOOKUP(C210,台股行情!A:E,5,FALSE)</f>
        <v>-0.1</v>
      </c>
      <c r="AA210" s="90">
        <f t="shared" ca="1" si="28"/>
        <v>22407.184317161318</v>
      </c>
      <c r="AB210" s="103" t="s">
        <v>4276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422.5</v>
      </c>
      <c r="Z211" s="38">
        <f>VLOOKUP(C211,台股行情!A:E,5,FALSE)</f>
        <v>36.5</v>
      </c>
      <c r="AA211" s="90">
        <f t="shared" ca="1" si="28"/>
        <v>34094.020370167564</v>
      </c>
      <c r="AB211" s="103" t="s">
        <v>4276</v>
      </c>
    </row>
    <row r="212" spans="1:28" outlineLevel="1">
      <c r="A212" s="99">
        <v>45484</v>
      </c>
      <c r="B212" s="11"/>
      <c r="C212" s="11">
        <v>3284</v>
      </c>
      <c r="D212" s="189" t="s">
        <v>964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20.5</v>
      </c>
      <c r="Z212" s="38">
        <f>VLOOKUP(C212,台股行情!A:E,5,FALSE)</f>
        <v>-0.5</v>
      </c>
      <c r="AA212" s="90">
        <f t="shared" ca="1" si="28"/>
        <v>14883.364363158471</v>
      </c>
      <c r="AB212" s="103" t="s">
        <v>4276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157</v>
      </c>
      <c r="Z213" s="38">
        <f>VLOOKUP(C213,台股行情!A:E,5,FALSE)</f>
        <v>0.5</v>
      </c>
      <c r="AA213" s="90">
        <f t="shared" ca="1" si="28"/>
        <v>0</v>
      </c>
      <c r="AB213" s="103" t="s">
        <v>4276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20.55</v>
      </c>
      <c r="Z214" s="38">
        <f>VLOOKUP(C214,台股行情!A:E,5,FALSE)</f>
        <v>0.15</v>
      </c>
      <c r="AA214" s="90">
        <f t="shared" ref="AA214:AA251" ca="1" si="46">IF(I214="",((TODAY()-A214)*G214)/365.24,((I214-A214)*G214)/365.24)</f>
        <v>7451.5387142700692</v>
      </c>
      <c r="AB214" s="103" t="s">
        <v>4276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65.7</v>
      </c>
      <c r="Z215" s="38">
        <f>VLOOKUP(C215,台股行情!A:E,5,FALSE)</f>
        <v>-1.8</v>
      </c>
      <c r="AA215" s="90">
        <f t="shared" ref="AA215" ca="1" si="47">IF(I215="",((TODAY()-A215)*G215)/365.24,((I215-A215)*G215)/365.24)</f>
        <v>19841.200306647683</v>
      </c>
      <c r="AB215" s="103" t="s">
        <v>4276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</v>
      </c>
      <c r="Z216" s="38">
        <f>VLOOKUP(C216,台股行情!A:E,5,FALSE)</f>
        <v>0</v>
      </c>
      <c r="AA216" s="90">
        <f t="shared" ca="1" si="46"/>
        <v>15964.845033402693</v>
      </c>
      <c r="AB216" s="103" t="s">
        <v>4276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285</v>
      </c>
      <c r="Z217" s="38">
        <f>VLOOKUP(C217,台股行情!A:E,5,FALSE)</f>
        <v>-5</v>
      </c>
      <c r="AA217" s="90">
        <f t="shared" ca="1" si="46"/>
        <v>44507.720950607822</v>
      </c>
      <c r="AB217" s="103" t="s">
        <v>4276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157</v>
      </c>
      <c r="Z218" s="38">
        <f>VLOOKUP(C218,台股行情!A:E,5,FALSE)</f>
        <v>0.5</v>
      </c>
      <c r="AA218" s="90">
        <f t="shared" ca="1" si="46"/>
        <v>106231.51900120468</v>
      </c>
      <c r="AB218" s="103" t="s">
        <v>4276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29.15</v>
      </c>
      <c r="Z219" s="38">
        <f>VLOOKUP(C219,台股行情!A:E,5,FALSE)</f>
        <v>0.02</v>
      </c>
      <c r="AA219" s="90">
        <f t="shared" ca="1" si="46"/>
        <v>16914.083890044902</v>
      </c>
      <c r="AB219" s="103" t="s">
        <v>4280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</v>
      </c>
      <c r="Z220" s="38">
        <f>VLOOKUP(C220,台股行情!A:E,5,FALSE)</f>
        <v>-1.5</v>
      </c>
      <c r="AA220" s="90">
        <f t="shared" ca="1" si="46"/>
        <v>63048.954112364474</v>
      </c>
      <c r="AB220" s="103" t="s">
        <v>4276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114</v>
      </c>
      <c r="Z221" s="38">
        <f>VLOOKUP(C221,台股行情!A:E,5,FALSE)</f>
        <v>2.5</v>
      </c>
      <c r="AA221" s="90">
        <f t="shared" ref="AA221:AA222" ca="1" si="55">IF(I221="",((TODAY()-A221)*G221)/365.24,((I221-A221)*G221)/365.24)</f>
        <v>61085.861351440144</v>
      </c>
      <c r="AB221" s="103" t="s">
        <v>4276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233.5</v>
      </c>
      <c r="Z222" s="38">
        <f>VLOOKUP(C222,台股行情!A:E,5,FALSE)</f>
        <v>2</v>
      </c>
      <c r="AA222" s="90">
        <f t="shared" ca="1" si="55"/>
        <v>219578.9070200416</v>
      </c>
      <c r="AB222" s="103" t="s">
        <v>4276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338.5</v>
      </c>
      <c r="Z223" s="38">
        <f>VLOOKUP(C223,台股行情!A:E,5,FALSE)</f>
        <v>6</v>
      </c>
      <c r="AA223" s="90">
        <f t="shared" ca="1" si="46"/>
        <v>549337.4219691162</v>
      </c>
      <c r="AB223" s="103" t="s">
        <v>4276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11.7</v>
      </c>
      <c r="Z224" s="38">
        <f>VLOOKUP(C224,台股行情!A:E,5,FALSE)</f>
        <v>-0.1</v>
      </c>
      <c r="AA224" s="90">
        <f t="shared" ref="AA224" ca="1" si="56">IF(I224="",((TODAY()-A224)*G224)/365.24,((I224-A224)*G224)/365.24)</f>
        <v>153463.7498631037</v>
      </c>
      <c r="AB224" s="103" t="s">
        <v>4276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38.6</v>
      </c>
      <c r="Z225" s="38">
        <f>VLOOKUP(C225,台股行情!A:E,5,FALSE)</f>
        <v>-1.75</v>
      </c>
      <c r="AA225" s="90">
        <f t="shared" ca="1" si="46"/>
        <v>113335.34114554813</v>
      </c>
      <c r="AB225" s="103" t="s">
        <v>4276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148.5</v>
      </c>
      <c r="Z226" s="38">
        <f>VLOOKUP(C226,台股行情!A:E,5,FALSE)</f>
        <v>-2.5</v>
      </c>
      <c r="AA226" s="90">
        <f t="shared" ca="1" si="46"/>
        <v>4762.6218376957613</v>
      </c>
      <c r="AB226" s="103" t="s">
        <v>4276</v>
      </c>
    </row>
    <row r="227" spans="1:28" outlineLevel="1">
      <c r="A227" s="99">
        <v>45696</v>
      </c>
      <c r="B227" s="11"/>
      <c r="C227" s="11">
        <v>6245</v>
      </c>
      <c r="D227" s="189" t="s">
        <v>1458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81.8</v>
      </c>
      <c r="Z227" s="38">
        <f>VLOOKUP(C227,台股行情!A:E,5,FALSE)</f>
        <v>-1.4</v>
      </c>
      <c r="AA227" s="90">
        <f t="shared" ca="1" si="46"/>
        <v>2809.1118168875259</v>
      </c>
      <c r="AB227" s="103" t="s">
        <v>4276</v>
      </c>
    </row>
    <row r="228" spans="1:28" outlineLevel="1">
      <c r="A228" s="99">
        <v>45707</v>
      </c>
      <c r="B228" s="11"/>
      <c r="C228" s="11">
        <v>2377</v>
      </c>
      <c r="D228" s="189" t="s">
        <v>709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10</v>
      </c>
      <c r="AA228" s="90">
        <f t="shared" ca="1" si="46"/>
        <v>3326.5797831562809</v>
      </c>
      <c r="AB228" s="103" t="s">
        <v>4276</v>
      </c>
    </row>
    <row r="229" spans="1:28" outlineLevel="1">
      <c r="A229" s="99">
        <v>45702</v>
      </c>
      <c r="B229" s="11"/>
      <c r="C229" s="11">
        <v>2301</v>
      </c>
      <c r="D229" s="189" t="s">
        <v>673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305</v>
      </c>
      <c r="Z229" s="38">
        <f>VLOOKUP(C229,台股行情!A:E,5,FALSE)</f>
        <v>-12.5</v>
      </c>
      <c r="AA229" s="90">
        <f t="shared" ca="1" si="46"/>
        <v>3915.2338188588324</v>
      </c>
      <c r="AB229" s="103" t="s">
        <v>4276</v>
      </c>
    </row>
    <row r="230" spans="1:28" outlineLevel="1">
      <c r="A230" s="99">
        <v>45696</v>
      </c>
      <c r="B230" s="11"/>
      <c r="C230" s="11">
        <v>6206</v>
      </c>
      <c r="D230" s="189" t="s">
        <v>2266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37.75</v>
      </c>
      <c r="Z230" s="38">
        <f>VLOOKUP(C230,台股行情!A:E,5,FALSE)</f>
        <v>0.03</v>
      </c>
      <c r="AA230" s="90">
        <f t="shared" ca="1" si="46"/>
        <v>6086.4089365896398</v>
      </c>
      <c r="AB230" s="103" t="s">
        <v>4276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39.200000000000003</v>
      </c>
      <c r="Z231" s="38">
        <f>VLOOKUP(C231,台股行情!A:E,5,FALSE)</f>
        <v>0.2</v>
      </c>
      <c r="AA231" s="90">
        <f t="shared" ca="1" si="46"/>
        <v>1323.2395137443873</v>
      </c>
      <c r="AB231" s="103" t="s">
        <v>4276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39.200000000000003</v>
      </c>
      <c r="Z232" s="38">
        <f>VLOOKUP(C232,台股行情!A:E,5,FALSE)</f>
        <v>0.2</v>
      </c>
      <c r="AA232" s="90">
        <f t="shared" ca="1" si="46"/>
        <v>1318.3112473989704</v>
      </c>
      <c r="AB232" s="103" t="s">
        <v>4276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49.6</v>
      </c>
      <c r="Z233" s="38">
        <f>VLOOKUP(C233,台股行情!A:E,5,FALSE)</f>
        <v>-0.7</v>
      </c>
      <c r="AA233" s="90">
        <f t="shared" ca="1" si="46"/>
        <v>3120.1401817982696</v>
      </c>
      <c r="AB233" s="103" t="s">
        <v>4276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39.75</v>
      </c>
      <c r="Z234" s="38">
        <f>VLOOKUP(C234,台股行情!A:E,5,FALSE)</f>
        <v>1</v>
      </c>
      <c r="AA234" s="90">
        <f t="shared" ca="1" si="46"/>
        <v>3027.5982915343334</v>
      </c>
      <c r="AB234" s="103" t="s">
        <v>4276</v>
      </c>
    </row>
    <row r="235" spans="1:28" outlineLevel="1">
      <c r="A235" s="99">
        <v>45722</v>
      </c>
      <c r="B235" s="11"/>
      <c r="C235" s="11">
        <v>6104</v>
      </c>
      <c r="D235" s="189" t="s">
        <v>1361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97.2</v>
      </c>
      <c r="Z235" s="38">
        <f>VLOOKUP(C235,台股行情!A:E,5,FALSE)</f>
        <v>-2.1</v>
      </c>
      <c r="AA235" s="90">
        <f ca="1">IF(I235="",((TODAY()-A235)*G235)/365.24,((I235-A235)*G235)/365.24)</f>
        <v>1943.9272806921476</v>
      </c>
      <c r="AB235" s="103" t="s">
        <v>4276</v>
      </c>
    </row>
    <row r="236" spans="1:28" outlineLevel="1">
      <c r="A236" s="99">
        <v>45702</v>
      </c>
      <c r="B236" s="11"/>
      <c r="C236" s="11">
        <v>2606</v>
      </c>
      <c r="D236" s="189" t="s">
        <v>811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76.099999999999994</v>
      </c>
      <c r="Z236" s="38">
        <f>VLOOKUP(C236,台股行情!A:E,5,FALSE)</f>
        <v>3.9</v>
      </c>
      <c r="AA236" s="90">
        <f t="shared" ca="1" si="46"/>
        <v>4947.4318256488887</v>
      </c>
      <c r="AB236" s="103" t="s">
        <v>4276</v>
      </c>
    </row>
    <row r="237" spans="1:28" outlineLevel="1">
      <c r="A237" s="99">
        <v>45713</v>
      </c>
      <c r="B237" s="11"/>
      <c r="C237" s="11">
        <v>2637</v>
      </c>
      <c r="D237" s="189" t="s">
        <v>1663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94.1</v>
      </c>
      <c r="Z237" s="38">
        <f>VLOOKUP(C237,台股行情!A:E,5,FALSE)</f>
        <v>2</v>
      </c>
      <c r="AA237" s="90">
        <f t="shared" ca="1" si="46"/>
        <v>3466.2139962764209</v>
      </c>
      <c r="AB237" s="103" t="s">
        <v>4276</v>
      </c>
    </row>
    <row r="238" spans="1:28" outlineLevel="1">
      <c r="A238" s="99">
        <v>45722</v>
      </c>
      <c r="B238" s="11"/>
      <c r="C238" s="11">
        <v>2014</v>
      </c>
      <c r="D238" s="189" t="s">
        <v>629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17.05</v>
      </c>
      <c r="Z238" s="38">
        <f>VLOOKUP(C238,台股行情!A:E,5,FALSE)</f>
        <v>0</v>
      </c>
      <c r="AA238" s="90">
        <f t="shared" ca="1" si="46"/>
        <v>954.44091556236992</v>
      </c>
      <c r="AB238" s="103" t="s">
        <v>4276</v>
      </c>
    </row>
    <row r="239" spans="1:28" outlineLevel="1">
      <c r="A239" s="99">
        <v>45713</v>
      </c>
      <c r="B239" s="11"/>
      <c r="C239" s="11">
        <v>9958</v>
      </c>
      <c r="D239" s="189" t="s">
        <v>3006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90.3</v>
      </c>
      <c r="Z239" s="38">
        <f>VLOOKUP(C239,台股行情!A:E,5,FALSE)</f>
        <v>-1.9</v>
      </c>
      <c r="AA239" s="90">
        <f t="shared" ca="1" si="46"/>
        <v>14847.771328441573</v>
      </c>
      <c r="AB239" s="103" t="s">
        <v>4276</v>
      </c>
    </row>
    <row r="240" spans="1:28" outlineLevel="1">
      <c r="A240" s="99">
        <v>45835</v>
      </c>
      <c r="B240" s="11"/>
      <c r="C240" s="11">
        <v>3265</v>
      </c>
      <c r="D240" s="189" t="s">
        <v>959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178</v>
      </c>
      <c r="Z240" s="38">
        <f>VLOOKUP(C240,台股行情!A:E,5,FALSE)</f>
        <v>-8.5</v>
      </c>
      <c r="AA240" s="90">
        <f t="shared" ca="1" si="46"/>
        <v>5503.2307523819954</v>
      </c>
      <c r="AB240" s="103" t="s">
        <v>4276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-3</v>
      </c>
      <c r="AA241" s="90">
        <f ca="1">IF(I241="",((TODAY()-A241)*G241)/365.24,((I241-A241)*G241)/365.24)</f>
        <v>82262160.497207314</v>
      </c>
      <c r="AB241" s="103" t="s">
        <v>4276</v>
      </c>
    </row>
    <row r="242" spans="1:28" outlineLevel="1">
      <c r="A242" s="99">
        <v>45835</v>
      </c>
      <c r="B242" s="11"/>
      <c r="C242" s="11">
        <v>9935</v>
      </c>
      <c r="D242" s="189" t="s">
        <v>2980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19.600000000000001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4276</v>
      </c>
    </row>
    <row r="243" spans="1:28" outlineLevel="1">
      <c r="A243" s="99">
        <v>45747</v>
      </c>
      <c r="B243" s="11"/>
      <c r="C243" s="11">
        <v>3661</v>
      </c>
      <c r="D243" s="189" t="s">
        <v>1078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4075</v>
      </c>
      <c r="Z243" s="38">
        <f>VLOOKUP(C243,台股行情!A:E,5,FALSE)</f>
        <v>10</v>
      </c>
      <c r="AA243" s="90">
        <f t="shared" ca="1" si="46"/>
        <v>9019.8225824115652</v>
      </c>
      <c r="AB243" s="103" t="s">
        <v>4276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43.9</v>
      </c>
      <c r="Z244" s="38">
        <f>VLOOKUP(C244,台股行情!A:E,5,FALSE)</f>
        <v>-0.6</v>
      </c>
      <c r="AA244" s="90">
        <f t="shared" ca="1" si="46"/>
        <v>3011.4445296243566</v>
      </c>
      <c r="AB244" s="103" t="s">
        <v>4276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66.900000000000006</v>
      </c>
      <c r="Z245" s="38">
        <f>VLOOKUP(C245,台股行情!A:E,5,FALSE)</f>
        <v>-0.9</v>
      </c>
      <c r="AA245" s="90">
        <f t="shared" ca="1" si="46"/>
        <v>3919.0669149052678</v>
      </c>
      <c r="AB245" s="103" t="s">
        <v>4276</v>
      </c>
    </row>
    <row r="246" spans="1:28" outlineLevel="1">
      <c r="A246" s="99">
        <v>45695</v>
      </c>
      <c r="B246" s="11"/>
      <c r="C246" s="11">
        <v>3661</v>
      </c>
      <c r="D246" s="189" t="s">
        <v>1078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4075</v>
      </c>
      <c r="Z246" s="38">
        <f>VLOOKUP(C246,台股行情!A:E,5,FALSE)</f>
        <v>10</v>
      </c>
      <c r="AA246" s="90">
        <f t="shared" ca="1" si="46"/>
        <v>16459.588215967582</v>
      </c>
      <c r="AB246" s="103" t="s">
        <v>4276</v>
      </c>
    </row>
    <row r="247" spans="1:28" outlineLevel="1">
      <c r="A247" s="99">
        <v>45868</v>
      </c>
      <c r="B247" s="11"/>
      <c r="C247" s="11">
        <v>3661</v>
      </c>
      <c r="D247" s="189" t="s">
        <v>1078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4075</v>
      </c>
      <c r="Z247" s="38">
        <f>VLOOKUP(C247,台股行情!A:E,5,FALSE)</f>
        <v>10</v>
      </c>
      <c r="AA247" s="90">
        <f t="shared" ca="1" si="46"/>
        <v>102.94600810426022</v>
      </c>
      <c r="AB247" s="103" t="s">
        <v>4276</v>
      </c>
    </row>
    <row r="248" spans="1:28" outlineLevel="1">
      <c r="A248" s="99">
        <v>45695</v>
      </c>
      <c r="B248" s="11"/>
      <c r="C248" s="11">
        <v>3661</v>
      </c>
      <c r="D248" s="189" t="s">
        <v>1078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4075</v>
      </c>
      <c r="Z248" s="38">
        <f>VLOOKUP(C248,台股行情!A:E,5,FALSE)</f>
        <v>10</v>
      </c>
      <c r="AA248" s="90">
        <f t="shared" ca="1" si="46"/>
        <v>17594.732230861897</v>
      </c>
      <c r="AB248" s="103" t="s">
        <v>4276</v>
      </c>
    </row>
    <row r="249" spans="1:28" outlineLevel="1">
      <c r="A249" s="99">
        <v>45695</v>
      </c>
      <c r="B249" s="11"/>
      <c r="C249" s="11">
        <v>3661</v>
      </c>
      <c r="D249" s="189" t="s">
        <v>1078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4075</v>
      </c>
      <c r="Z249" s="38">
        <f>VLOOKUP(C249,台股行情!A:E,5,FALSE)</f>
        <v>10</v>
      </c>
      <c r="AA249" s="90">
        <f t="shared" ca="1" si="46"/>
        <v>38405.705837257694</v>
      </c>
      <c r="AB249" s="103" t="s">
        <v>4276</v>
      </c>
    </row>
    <row r="250" spans="1:28" outlineLevel="1">
      <c r="A250" s="99">
        <v>45695</v>
      </c>
      <c r="B250" s="11"/>
      <c r="C250" s="11">
        <v>3661</v>
      </c>
      <c r="D250" s="189" t="s">
        <v>1078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4075</v>
      </c>
      <c r="Z250" s="38">
        <f>VLOOKUP(C250,台股行情!A:E,5,FALSE)</f>
        <v>10</v>
      </c>
      <c r="AA250" s="90">
        <f t="shared" ca="1" si="46"/>
        <v>40486.803197897272</v>
      </c>
      <c r="AB250" s="103" t="s">
        <v>4276</v>
      </c>
    </row>
    <row r="251" spans="1:28" outlineLevel="1">
      <c r="A251" s="99">
        <v>45695</v>
      </c>
      <c r="B251" s="11"/>
      <c r="C251" s="11">
        <v>3661</v>
      </c>
      <c r="D251" s="189" t="s">
        <v>1078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4075</v>
      </c>
      <c r="Z251" s="38">
        <f>VLOOKUP(C251,台股行情!A:E,5,FALSE)</f>
        <v>10</v>
      </c>
      <c r="AA251" s="90">
        <f t="shared" ca="1" si="46"/>
        <v>20243.401598948636</v>
      </c>
      <c r="AB251" s="103" t="s">
        <v>4276</v>
      </c>
    </row>
    <row r="252" spans="1:28" outlineLevel="1">
      <c r="A252" s="99">
        <v>45917</v>
      </c>
      <c r="B252" s="11"/>
      <c r="C252" s="11">
        <v>2542</v>
      </c>
      <c r="D252" s="189" t="s">
        <v>801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46.65</v>
      </c>
      <c r="Z252" s="38">
        <f>VLOOKUP(C252,台股行情!A:E,5,FALSE)</f>
        <v>-0.35</v>
      </c>
      <c r="AA252" s="90">
        <f ca="1">IF(I252="",((TODAY()-A252)*G252)/365.24,((I252-A252)*G252)/365.24)</f>
        <v>1517.9060343883473</v>
      </c>
      <c r="AB252" s="103" t="s">
        <v>4276</v>
      </c>
    </row>
    <row r="253" spans="1:28" outlineLevel="1">
      <c r="A253" s="99">
        <v>45889</v>
      </c>
      <c r="B253" s="11"/>
      <c r="C253" s="11">
        <v>3661</v>
      </c>
      <c r="D253" s="189" t="s">
        <v>1078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4075</v>
      </c>
      <c r="Z253" s="38">
        <f>VLOOKUP(C253,台股行情!A:E,5,FALSE)</f>
        <v>10</v>
      </c>
      <c r="AA253" s="90">
        <f ca="1">IF(I253="",((TODAY()-A253)*G253)/365.24,((I253-A253)*G253)/365.24)</f>
        <v>5202.0589201620851</v>
      </c>
      <c r="AB253" s="103" t="s">
        <v>4276</v>
      </c>
    </row>
    <row r="254" spans="1:28" outlineLevel="1">
      <c r="A254" s="99">
        <v>45924</v>
      </c>
      <c r="B254" s="11"/>
      <c r="C254" s="11">
        <v>3661</v>
      </c>
      <c r="D254" s="189" t="s">
        <v>1078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4075</v>
      </c>
      <c r="Z254" s="38">
        <f>VLOOKUP(C254,台股行情!A:E,5,FALSE)</f>
        <v>10</v>
      </c>
      <c r="AA254" s="90">
        <f ca="1">IF(I254="",((TODAY()-A254)*G254)/365.24,((I254-A254)*G254)/365.24)</f>
        <v>8228.0144562479472</v>
      </c>
      <c r="AB254" s="103" t="s">
        <v>4276</v>
      </c>
    </row>
    <row r="255" spans="1:28" outlineLevel="1">
      <c r="A255" s="99">
        <v>45695</v>
      </c>
      <c r="B255" s="11"/>
      <c r="C255" s="11">
        <v>3661</v>
      </c>
      <c r="D255" s="189" t="s">
        <v>1078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4075</v>
      </c>
      <c r="Z255" s="38">
        <f>VLOOKUP(C255,台股行情!A:E,5,FALSE)</f>
        <v>10</v>
      </c>
      <c r="AA255" s="90">
        <f t="shared" ref="AA255" ca="1" si="57">IF(I255="",((TODAY()-A255)*G255)/365.24,((I255-A255)*G255)/365.24)</f>
        <v>26202.907677143794</v>
      </c>
      <c r="AB255" s="103" t="s">
        <v>4276</v>
      </c>
    </row>
    <row r="256" spans="1:28" outlineLevel="1">
      <c r="A256" s="99">
        <v>45944</v>
      </c>
      <c r="B256" s="11"/>
      <c r="C256" s="11">
        <v>3661</v>
      </c>
      <c r="D256" s="189" t="s">
        <v>1078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4075</v>
      </c>
      <c r="Z256" s="38">
        <f>VLOOKUP(C256,台股行情!A:E,5,FALSE)</f>
        <v>10</v>
      </c>
      <c r="AA256" s="90">
        <f ca="1">IF(I256="",((TODAY()-A256)*G256)/365.24,((I256-A256)*G256)/365.24)</f>
        <v>2950.9363706056292</v>
      </c>
      <c r="AB256" s="103" t="s">
        <v>4276</v>
      </c>
    </row>
    <row r="257" spans="1:28" outlineLevel="1">
      <c r="A257" s="99">
        <v>45695</v>
      </c>
      <c r="B257" s="11"/>
      <c r="C257" s="11">
        <v>3661</v>
      </c>
      <c r="D257" s="189" t="s">
        <v>1078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4075</v>
      </c>
      <c r="Z257" s="38">
        <f>VLOOKUP(C257,台股行情!A:E,5,FALSE)</f>
        <v>10</v>
      </c>
      <c r="AA257" s="90">
        <f t="shared" ref="AA257" ca="1" si="58">IF(I257="",((TODAY()-A257)*G257)/365.24,((I257-A257)*G257)/365.24)</f>
        <v>57892.344759610118</v>
      </c>
      <c r="AB257" s="103" t="s">
        <v>4276</v>
      </c>
    </row>
    <row r="258" spans="1:28" outlineLevel="1">
      <c r="A258" s="99">
        <v>45666</v>
      </c>
      <c r="B258" s="11"/>
      <c r="C258" s="11">
        <v>926</v>
      </c>
      <c r="D258" s="189" t="s">
        <v>2594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26.26</v>
      </c>
      <c r="Z258" s="38">
        <f>VLOOKUP(C258,台股行情!A:E,5,FALSE)</f>
        <v>0.03</v>
      </c>
      <c r="AA258" s="90">
        <f ca="1">IF(I258="",((TODAY()-A258)*G258)/365.24,((I258-A258)*G258)/365.24)</f>
        <v>81601.905596320226</v>
      </c>
      <c r="AB258" s="103" t="s">
        <v>4280</v>
      </c>
    </row>
    <row r="259" spans="1:28">
      <c r="A259" s="99">
        <v>45915</v>
      </c>
      <c r="B259" s="11"/>
      <c r="C259" s="11">
        <v>3661</v>
      </c>
      <c r="D259" s="189" t="s">
        <v>1078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4075</v>
      </c>
      <c r="Z259" s="38">
        <f>VLOOKUP(C259,台股行情!A:E,5,FALSE)</f>
        <v>10</v>
      </c>
      <c r="AA259" s="90">
        <f ca="1">IF(I259="",((TODAY()-A259)*G259)/365.24,((I259-A259)*G259)/365.24)</f>
        <v>11161.428102069871</v>
      </c>
      <c r="AB259" s="103" t="s">
        <v>4276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67.7</v>
      </c>
      <c r="Z260" s="38">
        <f>VLOOKUP(C260,台股行情!A:E,5,FALSE)</f>
        <v>-0.6</v>
      </c>
      <c r="AA260" s="90">
        <f t="shared" ref="AA260:AA323" ca="1" si="68">IF(I260="",((TODAY()-A260)*G260)/365.24,((I260-A260)*G260)/365.24)</f>
        <v>4496.3448691271487</v>
      </c>
      <c r="AB260" s="103" t="s">
        <v>4280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67.7</v>
      </c>
      <c r="Z261" s="38">
        <f>VLOOKUP(C261,台股行情!A:E,5,FALSE)</f>
        <v>-0.6</v>
      </c>
      <c r="AA261" s="90">
        <f t="shared" ca="1" si="68"/>
        <v>4166.8245537181028</v>
      </c>
      <c r="AB261" s="103" t="s">
        <v>4280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67.7</v>
      </c>
      <c r="Z262" s="38">
        <f>VLOOKUP(C262,台股行情!A:E,5,FALSE)</f>
        <v>-0.6</v>
      </c>
      <c r="AA262" s="90">
        <f t="shared" ca="1" si="68"/>
        <v>3965.2283430073376</v>
      </c>
      <c r="AB262" s="103" t="s">
        <v>4280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67.7</v>
      </c>
      <c r="Z263" s="38">
        <f>VLOOKUP(C263,台股行情!A:E,5,FALSE)</f>
        <v>-0.6</v>
      </c>
      <c r="AA263" s="90">
        <f t="shared" ca="1" si="68"/>
        <v>3637.4356587449347</v>
      </c>
      <c r="AB263" s="103" t="s">
        <v>4280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67.7</v>
      </c>
      <c r="Z264" s="38">
        <f>VLOOKUP(C264,台股行情!A:E,5,FALSE)</f>
        <v>-0.6</v>
      </c>
      <c r="AA264" s="90">
        <f t="shared" ca="1" si="68"/>
        <v>3381.7873179279377</v>
      </c>
      <c r="AB264" s="103" t="s">
        <v>4280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67.7</v>
      </c>
      <c r="Z265" s="38">
        <f>VLOOKUP(C265,台股行情!A:E,5,FALSE)</f>
        <v>-0.6</v>
      </c>
      <c r="AA265" s="90">
        <f t="shared" ca="1" si="68"/>
        <v>3049.6112145438615</v>
      </c>
      <c r="AB265" s="103" t="s">
        <v>4280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67.7</v>
      </c>
      <c r="Z266" s="38">
        <f>VLOOKUP(C266,台股行情!A:E,5,FALSE)</f>
        <v>-0.6</v>
      </c>
      <c r="AA266" s="90">
        <f t="shared" ca="1" si="68"/>
        <v>2834.3445405760594</v>
      </c>
      <c r="AB266" s="103" t="s">
        <v>4280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67.7</v>
      </c>
      <c r="Z267" s="38">
        <f>VLOOKUP(C267,台股行情!A:E,5,FALSE)</f>
        <v>-0.6</v>
      </c>
      <c r="AA267" s="90">
        <f t="shared" ca="1" si="68"/>
        <v>2559.75249151243</v>
      </c>
      <c r="AB267" s="103" t="s">
        <v>4280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67.7</v>
      </c>
      <c r="Z268" s="38">
        <f>VLOOKUP(C268,台股行情!A:E,5,FALSE)</f>
        <v>-0.6</v>
      </c>
      <c r="AA268" s="90">
        <f t="shared" ca="1" si="68"/>
        <v>2289.2782827729711</v>
      </c>
      <c r="AB268" s="103" t="s">
        <v>4280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67.7</v>
      </c>
      <c r="Z269" s="38">
        <f>VLOOKUP(C269,台股行情!A:E,5,FALSE)</f>
        <v>-0.6</v>
      </c>
      <c r="AA269" s="90">
        <f t="shared" ca="1" si="68"/>
        <v>1991.2906581973496</v>
      </c>
      <c r="AB269" s="103" t="s">
        <v>4280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139.5</v>
      </c>
      <c r="Z270" s="38">
        <f>VLOOKUP(C270,台股行情!A:E,5,FALSE)</f>
        <v>-5</v>
      </c>
      <c r="AA270" s="90">
        <f ca="1">IF(I270="",((TODAY()-A270)*G270)/365.24,((I270-A270)*G270)/365.24)</f>
        <v>49818.201730369074</v>
      </c>
      <c r="AB270" s="103" t="s">
        <v>4276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31.96</v>
      </c>
      <c r="Z271" s="38">
        <f>VLOOKUP(C271,台股行情!A:E,5,FALSE)</f>
        <v>0.52</v>
      </c>
      <c r="AA271" s="90">
        <f t="shared" ca="1" si="68"/>
        <v>1195.4331398532472</v>
      </c>
      <c r="AB271" s="103" t="s">
        <v>4280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34.61</v>
      </c>
      <c r="Z272" s="38">
        <f>VLOOKUP(C272,台股行情!A:E,5,FALSE)</f>
        <v>0.35</v>
      </c>
      <c r="AA272" s="90">
        <f t="shared" ca="1" si="68"/>
        <v>1181.3875807688096</v>
      </c>
      <c r="AB272" s="103" t="s">
        <v>4280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67.7</v>
      </c>
      <c r="Z273" s="38">
        <f>VLOOKUP(C273,台股行情!A:E,5,FALSE)</f>
        <v>-0.6</v>
      </c>
      <c r="AA273" s="90">
        <f t="shared" ca="1" si="68"/>
        <v>1720.0635198773409</v>
      </c>
      <c r="AB273" s="103" t="s">
        <v>4280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67.7</v>
      </c>
      <c r="Z274" s="38">
        <f>VLOOKUP(C274,台股行情!A:E,5,FALSE)</f>
        <v>-0.6</v>
      </c>
      <c r="AA274" s="90">
        <f t="shared" ca="1" si="68"/>
        <v>1450.0848756981711</v>
      </c>
      <c r="AB274" s="103" t="s">
        <v>4280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67.7</v>
      </c>
      <c r="Z275" s="38">
        <f>VLOOKUP(C275,台股行情!A:E,5,FALSE)</f>
        <v>-0.6</v>
      </c>
      <c r="AA275" s="90">
        <f t="shared" ca="1" si="68"/>
        <v>1119.96769247618</v>
      </c>
      <c r="AB275" s="103" t="s">
        <v>4280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67.7</v>
      </c>
      <c r="Z276" s="38">
        <f>VLOOKUP(C276,台股行情!A:E,5,FALSE)</f>
        <v>-0.6</v>
      </c>
      <c r="AA276" s="90">
        <f t="shared" ca="1" si="68"/>
        <v>875.34771656992655</v>
      </c>
      <c r="AB276" s="103" t="s">
        <v>4280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67.7</v>
      </c>
      <c r="Z277" s="38">
        <f>VLOOKUP(C277,台股行情!A:E,5,FALSE)</f>
        <v>-0.6</v>
      </c>
      <c r="AA277" s="90">
        <f t="shared" ca="1" si="68"/>
        <v>382.08301390866279</v>
      </c>
      <c r="AB277" s="103" t="s">
        <v>4280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67.7</v>
      </c>
      <c r="Z278" s="38">
        <f>VLOOKUP(C278,台股行情!A:E,5,FALSE)</f>
        <v>-0.6</v>
      </c>
      <c r="AA278" s="90">
        <f t="shared" ca="1" si="68"/>
        <v>327.49972620742523</v>
      </c>
      <c r="AB278" s="103" t="s">
        <v>4280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31.96</v>
      </c>
      <c r="Z279" s="38">
        <f>VLOOKUP(C279,台股行情!A:E,5,FALSE)</f>
        <v>0.52</v>
      </c>
      <c r="AA279" s="90">
        <f t="shared" ca="1" si="68"/>
        <v>1066.7232504654473</v>
      </c>
      <c r="AB279" s="103" t="s">
        <v>4280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31.96</v>
      </c>
      <c r="Z280" s="38">
        <f>VLOOKUP(C280,台股行情!A:E,5,FALSE)</f>
        <v>0.52</v>
      </c>
      <c r="AA280" s="90">
        <f t="shared" ca="1" si="68"/>
        <v>1094.9512649216954</v>
      </c>
      <c r="AB280" s="103" t="s">
        <v>4280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19.29</v>
      </c>
      <c r="Z281" s="38">
        <f>VLOOKUP(C281,台股行情!A:E,5,FALSE)</f>
        <v>0.26</v>
      </c>
      <c r="AA281" s="90">
        <f t="shared" ca="1" si="68"/>
        <v>120.90680100755667</v>
      </c>
      <c r="AB281" s="103" t="s">
        <v>4280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29.8</v>
      </c>
      <c r="Z282" s="38">
        <f>VLOOKUP(C282,台股行情!A:E,5,FALSE)</f>
        <v>0.19</v>
      </c>
      <c r="AA282" s="90">
        <f t="shared" ca="1" si="68"/>
        <v>183.82433468404335</v>
      </c>
      <c r="AB282" s="103" t="s">
        <v>4280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21.38</v>
      </c>
      <c r="Z283" s="38">
        <f>VLOOKUP(C283,台股行情!A:E,5,FALSE)</f>
        <v>0.03</v>
      </c>
      <c r="AA283" s="90">
        <f t="shared" ca="1" si="68"/>
        <v>98.839119483079614</v>
      </c>
      <c r="AB283" s="103" t="s">
        <v>4280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20.88</v>
      </c>
      <c r="Z284" s="38">
        <f>VLOOKUP(C284,台股行情!A:E,5,FALSE)</f>
        <v>-0.12</v>
      </c>
      <c r="AA284" s="90">
        <f t="shared" ca="1" si="68"/>
        <v>134.70594677472346</v>
      </c>
      <c r="AB284" s="103" t="s">
        <v>4280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54.6</v>
      </c>
      <c r="Z285" s="38">
        <f>VLOOKUP(C285,台股行情!A:E,5,FALSE)</f>
        <v>0.75</v>
      </c>
      <c r="AA285" s="90">
        <f t="shared" ca="1" si="68"/>
        <v>875.26010294600803</v>
      </c>
      <c r="AB285" s="103" t="s">
        <v>4280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233.5</v>
      </c>
      <c r="Z286" s="38">
        <f>VLOOKUP(C286,台股行情!A:E,5,FALSE)</f>
        <v>2</v>
      </c>
      <c r="AA286" s="90">
        <f t="shared" ca="1" si="68"/>
        <v>26700.251889168765</v>
      </c>
      <c r="AB286" s="103" t="s">
        <v>4276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138</v>
      </c>
      <c r="Z287" s="38">
        <f>VLOOKUP(C287,台股行情!A:E,5,FALSE)</f>
        <v>-2.5</v>
      </c>
      <c r="AA287" s="90">
        <f t="shared" ca="1" si="68"/>
        <v>13559.577264264593</v>
      </c>
      <c r="AB287" s="103" t="s">
        <v>4276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91.1</v>
      </c>
      <c r="Z288" s="38">
        <f>VLOOKUP(C288,台股行情!A:E,5,FALSE)</f>
        <v>2.6</v>
      </c>
      <c r="AA288" s="90">
        <f t="shared" ca="1" si="68"/>
        <v>1615.6499835724455</v>
      </c>
      <c r="AB288" s="103" t="s">
        <v>4276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151.5</v>
      </c>
      <c r="Z289" s="38">
        <f>VLOOKUP(C289,台股行情!A:E,5,FALSE)</f>
        <v>-1.5</v>
      </c>
      <c r="AA289" s="90">
        <f t="shared" ca="1" si="68"/>
        <v>11967.47344212025</v>
      </c>
      <c r="AB289" s="103" t="s">
        <v>4276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31.96</v>
      </c>
      <c r="Z290" s="38">
        <f>VLOOKUP(C290,台股行情!A:E,5,FALSE)</f>
        <v>0.52</v>
      </c>
      <c r="AA290" s="90">
        <f t="shared" ca="1" si="68"/>
        <v>2051.5962107107653</v>
      </c>
      <c r="AB290" s="103" t="s">
        <v>4280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31.96</v>
      </c>
      <c r="Z291" s="38">
        <f>VLOOKUP(C291,台股行情!A:E,5,FALSE)</f>
        <v>0.52</v>
      </c>
      <c r="AA291" s="90">
        <f t="shared" ca="1" si="68"/>
        <v>1721.6159237761472</v>
      </c>
      <c r="AB291" s="103" t="s">
        <v>4280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91.1</v>
      </c>
      <c r="Z292" s="38">
        <f>VLOOKUP(C292,台股行情!A:E,5,FALSE)</f>
        <v>-0.6</v>
      </c>
      <c r="AA292" s="90">
        <f t="shared" ca="1" si="68"/>
        <v>190.38988062643742</v>
      </c>
      <c r="AB292" s="103" t="s">
        <v>4280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1511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146000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-4823.2325000000001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3.2440662450066576E-2</v>
      </c>
      <c r="Y293" s="16">
        <f>VLOOKUP(C293,台股行情!A:D,4,FALSE)</f>
        <v>73</v>
      </c>
      <c r="Z293" s="38">
        <f>VLOOKUP(C293,台股行情!A:E,5,FALSE)</f>
        <v>3</v>
      </c>
      <c r="AA293" s="90">
        <f t="shared" ca="1" si="68"/>
        <v>816304.34782608692</v>
      </c>
      <c r="AB293" s="103" t="s">
        <v>4276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540000</v>
      </c>
      <c r="P294" s="14">
        <f t="shared" si="86"/>
        <v>145167</v>
      </c>
      <c r="Q294" s="14">
        <f t="shared" si="65"/>
        <v>-84452.175000000003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9.8085339256865911E-2</v>
      </c>
      <c r="Y294" s="16">
        <f>VLOOKUP(C294,台股行情!A:D,4,FALSE)</f>
        <v>540</v>
      </c>
      <c r="Z294" s="38">
        <f>VLOOKUP(C294,台股行情!A:E,5,FALSE)</f>
        <v>-5</v>
      </c>
      <c r="AA294" s="90">
        <f t="shared" ca="1" si="68"/>
        <v>3340403.5702551748</v>
      </c>
      <c r="AB294" s="103" t="s">
        <v>4276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135500</v>
      </c>
      <c r="P295" s="14">
        <f t="shared" si="86"/>
        <v>40540.42</v>
      </c>
      <c r="Q295" s="14">
        <f t="shared" si="65"/>
        <v>-70510.006875000006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-0.1465505470660147</v>
      </c>
      <c r="Y295" s="16">
        <f>VLOOKUP(C295,台股行情!A:D,4,FALSE)</f>
        <v>135.5</v>
      </c>
      <c r="Z295" s="38">
        <f>VLOOKUP(C295,台股行情!A:E,5,FALSE)</f>
        <v>-3</v>
      </c>
      <c r="AA295" s="90">
        <f t="shared" ca="1" si="68"/>
        <v>1100214.9271711751</v>
      </c>
      <c r="AB295" s="103" t="s">
        <v>4276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49850</v>
      </c>
      <c r="P296" s="14">
        <f t="shared" si="86"/>
        <v>1915.23</v>
      </c>
      <c r="Q296" s="14">
        <f t="shared" si="65"/>
        <v>14569.276437500001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0.47011283152716382</v>
      </c>
      <c r="Y296" s="16">
        <f>VLOOKUP(C296,台股行情!A:D,4,FALSE)</f>
        <v>49.85</v>
      </c>
      <c r="Z296" s="38">
        <f>VLOOKUP(C296,台股行情!A:E,5,FALSE)</f>
        <v>1.25</v>
      </c>
      <c r="AA296" s="90">
        <f t="shared" ca="1" si="68"/>
        <v>187882.501916548</v>
      </c>
      <c r="AB296" s="103" t="s">
        <v>4276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485000</v>
      </c>
      <c r="P297" s="14">
        <f t="shared" si="86"/>
        <v>10365.450000000001</v>
      </c>
      <c r="Q297" s="14">
        <f t="shared" si="65"/>
        <v>321075.76874999999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2.0459334490740742</v>
      </c>
      <c r="Y297" s="16">
        <f>VLOOKUP(C297,台股行情!A:D,4,FALSE)</f>
        <v>485</v>
      </c>
      <c r="Z297" s="38">
        <f>VLOOKUP(C297,台股行情!A:E,5,FALSE)</f>
        <v>-7.5</v>
      </c>
      <c r="AA297" s="90">
        <f t="shared" ca="1" si="68"/>
        <v>411165.26119811629</v>
      </c>
      <c r="AB297" s="103" t="s">
        <v>4276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171</v>
      </c>
      <c r="Z298" s="38">
        <f>VLOOKUP(C298,台股行情!A:E,5,FALSE)</f>
        <v>-1.5</v>
      </c>
      <c r="AA298" s="90">
        <f t="shared" ca="1" si="68"/>
        <v>220356.47793231846</v>
      </c>
      <c r="AB298" s="103" t="s">
        <v>4276</v>
      </c>
    </row>
    <row r="299" spans="1:28" outlineLevel="1">
      <c r="A299" s="99">
        <v>46050</v>
      </c>
      <c r="B299" s="11"/>
      <c r="C299" s="341" t="s">
        <v>4859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58800</v>
      </c>
      <c r="P299" s="14">
        <f t="shared" si="86"/>
        <v>677.8</v>
      </c>
      <c r="Q299" s="14">
        <f t="shared" si="65"/>
        <v>21759.136499999997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0.60969936141304337</v>
      </c>
      <c r="Y299" s="16">
        <f>VLOOKUP(C299,台股行情!A:D,4,FALSE)</f>
        <v>29.4</v>
      </c>
      <c r="Z299" s="38">
        <f>VLOOKUP(C299,台股行情!A:E,5,FALSE)</f>
        <v>-0.69</v>
      </c>
      <c r="AA299" s="90">
        <f t="shared" ca="1" si="68"/>
        <v>21662.468513853903</v>
      </c>
      <c r="AB299" s="103" t="s">
        <v>4280</v>
      </c>
    </row>
    <row r="300" spans="1:28" outlineLevel="1">
      <c r="A300" s="99">
        <v>46051</v>
      </c>
      <c r="B300" s="11"/>
      <c r="C300" s="341" t="s">
        <v>4859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29400</v>
      </c>
      <c r="P300" s="14">
        <f t="shared" si="86"/>
        <v>339.9</v>
      </c>
      <c r="Q300" s="14">
        <f t="shared" si="65"/>
        <v>11064.568249999998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0.6262750274574409</v>
      </c>
      <c r="Y300" s="16">
        <f>VLOOKUP(C300,台股行情!A:D,4,FALSE)</f>
        <v>29.4</v>
      </c>
      <c r="Z300" s="38">
        <f>VLOOKUP(C300,台股行情!A:E,5,FALSE)</f>
        <v>-0.69</v>
      </c>
      <c r="AA300" s="90">
        <f t="shared" ca="1" si="68"/>
        <v>10669.532362282334</v>
      </c>
      <c r="AB300" s="103" t="s">
        <v>4280</v>
      </c>
    </row>
    <row r="301" spans="1:28" outlineLevel="1">
      <c r="A301" s="99">
        <v>46076</v>
      </c>
      <c r="B301" s="11"/>
      <c r="C301" s="341" t="s">
        <v>4859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15376.199999999999</v>
      </c>
      <c r="P301" s="14">
        <f t="shared" si="86"/>
        <v>189.46</v>
      </c>
      <c r="Q301" s="14">
        <f>IF(I301="",(O301-G301-(O301*0.1425%*0.65)-(O301*0.3%)-S301-T301),0)</f>
        <v>5311.8291947499993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0.55045919499199514</v>
      </c>
      <c r="Y301" s="16">
        <f>VLOOKUP(C301,台股行情!A:D,4,FALSE)</f>
        <v>29.4</v>
      </c>
      <c r="Z301" s="38">
        <f>VLOOKUP(C301,台股行情!A:E,5,FALSE)</f>
        <v>-0.69</v>
      </c>
      <c r="AA301" s="90">
        <f t="shared" ca="1" si="68"/>
        <v>5171.5748548899355</v>
      </c>
      <c r="AB301" s="103" t="s">
        <v>4280</v>
      </c>
    </row>
    <row r="302" spans="1:28">
      <c r="A302" s="99">
        <v>46079</v>
      </c>
      <c r="B302" s="11"/>
      <c r="C302" s="341" t="s">
        <v>4859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14553</v>
      </c>
      <c r="P302" s="14">
        <f t="shared" si="86"/>
        <v>179.67</v>
      </c>
      <c r="Q302" s="14">
        <f>IF(I302="",(O302-G302-(O302*0.1425%*0.65)-(O302*0.3%)-S302-T302),0)</f>
        <v>4491.8612837500004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0.46743358852811689</v>
      </c>
      <c r="Y302" s="16">
        <f>VLOOKUP(C302,台股行情!A:D,4,FALSE)</f>
        <v>29.4</v>
      </c>
      <c r="Z302" s="38">
        <f>VLOOKUP(C302,台股行情!A:E,5,FALSE)</f>
        <v>-0.69</v>
      </c>
      <c r="AA302" s="90">
        <f t="shared" ca="1" si="68"/>
        <v>5089.4863651297774</v>
      </c>
      <c r="AB302" s="103" t="s">
        <v>4280</v>
      </c>
    </row>
    <row r="303" spans="1:28" outlineLevel="1">
      <c r="A303" s="99">
        <v>46133</v>
      </c>
      <c r="B303" s="11"/>
      <c r="C303" s="341" t="s">
        <v>4859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28870.799999999999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2881.5660214999984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0.24007557529455784</v>
      </c>
      <c r="Y303" s="16">
        <f>VLOOKUP(C303,台股行情!A:D,4,FALSE)</f>
        <v>29.4</v>
      </c>
      <c r="Z303" s="38">
        <f>VLOOKUP(C303,台股行情!A:E,5,FALSE)</f>
        <v>-0.69</v>
      </c>
      <c r="AA303" s="90">
        <f t="shared" ca="1" si="68"/>
        <v>9348.0893658963978</v>
      </c>
      <c r="AB303" s="103" t="s">
        <v>4280</v>
      </c>
    </row>
    <row r="304" spans="1:28" outlineLevel="1">
      <c r="A304" s="99">
        <v>46148</v>
      </c>
      <c r="B304" s="11"/>
      <c r="C304" s="11" t="s">
        <v>4475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29400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4.5682499999999919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-1.2442537568306013E-3</v>
      </c>
      <c r="Y304" s="16">
        <f>VLOOKUP(C304,台股行情!A:D,4,FALSE)</f>
        <v>29.4</v>
      </c>
      <c r="Z304" s="38">
        <f>VLOOKUP(C304,台股行情!A:E,5,FALSE)</f>
        <v>-0.69</v>
      </c>
      <c r="AA304" s="90">
        <f t="shared" ca="1" si="68"/>
        <v>9379.4765085970866</v>
      </c>
      <c r="AB304" s="103" t="s">
        <v>4280</v>
      </c>
    </row>
    <row r="305" spans="1:29" outlineLevel="1">
      <c r="A305" s="99">
        <v>46087</v>
      </c>
      <c r="B305" s="11"/>
      <c r="C305" s="348" t="s">
        <v>4919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14808.75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4760.6071453124996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0.47643715168293288</v>
      </c>
      <c r="Y305" s="16">
        <f>VLOOKUP(C305,台股行情!A:D,4,FALSE)</f>
        <v>17.95</v>
      </c>
      <c r="Z305" s="38">
        <f>VLOOKUP(C305,台股行情!A:E,5,FALSE)</f>
        <v>-0.35</v>
      </c>
      <c r="AA305" s="90">
        <f t="shared" ca="1" si="68"/>
        <v>4868.63432263717</v>
      </c>
      <c r="AB305" s="103" t="s">
        <v>4280</v>
      </c>
    </row>
    <row r="306" spans="1:29" outlineLevel="1">
      <c r="A306" s="99">
        <v>46097</v>
      </c>
      <c r="B306" s="11"/>
      <c r="C306" s="348" t="s">
        <v>4919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14324.099999999999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4269.8600023749977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0.42697139451640304</v>
      </c>
      <c r="Y306" s="16">
        <f>VLOOKUP(C306,台股行情!A:D,4,FALSE)</f>
        <v>17.95</v>
      </c>
      <c r="Z306" s="38">
        <f>VLOOKUP(C306,台股行情!A:E,5,FALSE)</f>
        <v>-0.35</v>
      </c>
      <c r="AA306" s="90">
        <f t="shared" ca="1" si="68"/>
        <v>4598.79531267112</v>
      </c>
      <c r="AB306" s="103" t="s">
        <v>4280</v>
      </c>
    </row>
    <row r="307" spans="1:29" outlineLevel="1">
      <c r="A307" s="99">
        <v>46119</v>
      </c>
      <c r="B307" s="11"/>
      <c r="C307" s="348" t="s">
        <v>4919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14180.5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4131.8238118749996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0.41337174140648447</v>
      </c>
      <c r="Y307" s="16">
        <f>VLOOKUP(C307,台股行情!A:D,4,FALSE)</f>
        <v>17.95</v>
      </c>
      <c r="Z307" s="38">
        <f>VLOOKUP(C307,台股行情!A:E,5,FALSE)</f>
        <v>-0.35</v>
      </c>
      <c r="AA307" s="90">
        <f t="shared" ca="1" si="68"/>
        <v>3994.5734311685464</v>
      </c>
      <c r="AB307" s="103" t="s">
        <v>4280</v>
      </c>
      <c r="AC307" s="311"/>
    </row>
    <row r="308" spans="1:29">
      <c r="A308" s="99">
        <v>46128</v>
      </c>
      <c r="B308" s="11"/>
      <c r="C308" s="348" t="s">
        <v>4919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12403.449999999999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2356.7509544374989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0.23562221988772744</v>
      </c>
      <c r="Y308" s="16">
        <f>VLOOKUP(C308,台股行情!A:D,4,FALSE)</f>
        <v>17.95</v>
      </c>
      <c r="Z308" s="38">
        <f>VLOOKUP(C308,台股行情!A:E,5,FALSE)</f>
        <v>-0.35</v>
      </c>
      <c r="AA308" s="90">
        <f t="shared" ca="1" si="68"/>
        <v>3750.2080823568062</v>
      </c>
      <c r="AB308" s="103" t="s">
        <v>4280</v>
      </c>
    </row>
    <row r="309" spans="1:29" outlineLevel="1">
      <c r="A309" s="99">
        <v>46148</v>
      </c>
      <c r="B309" s="11"/>
      <c r="C309" s="348" t="s">
        <v>4919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10177.65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141.69000168749963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1.4074630020758266E-2</v>
      </c>
      <c r="Y309" s="16">
        <f>VLOOKUP(C309,台股行情!A:D,4,FALSE)</f>
        <v>17.95</v>
      </c>
      <c r="Z309" s="38">
        <f>VLOOKUP(C309,台股行情!A:E,5,FALSE)</f>
        <v>-0.35</v>
      </c>
      <c r="AA309" s="90">
        <f t="shared" ca="1" si="68"/>
        <v>3202.0917752710548</v>
      </c>
      <c r="AB309" s="103" t="s">
        <v>4280</v>
      </c>
    </row>
    <row r="310" spans="1:29" outlineLevel="1">
      <c r="A310" s="99">
        <v>46160</v>
      </c>
      <c r="B310" s="11"/>
      <c r="C310" s="348" t="s">
        <v>4919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10303.299999999999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266.8466683749993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2.6595304959483722E-2</v>
      </c>
      <c r="Y310" s="16">
        <f>VLOOKUP(C310,台股行情!A:D,4,FALSE)</f>
        <v>17.95</v>
      </c>
      <c r="Z310" s="38">
        <f>VLOOKUP(C310,台股行情!A:E,5,FALSE)</f>
        <v>-0.35</v>
      </c>
      <c r="AA310" s="90">
        <f t="shared" ca="1" si="68"/>
        <v>2873.6721060124851</v>
      </c>
      <c r="AB310" s="103" t="s">
        <v>4280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15552</v>
      </c>
      <c r="P311" s="14">
        <f t="shared" si="90"/>
        <v>-1</v>
      </c>
      <c r="Q311" s="14">
        <f t="shared" si="91"/>
        <v>5500.9389600000004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0.55054444044044049</v>
      </c>
      <c r="Y311" s="16">
        <f>VLOOKUP(C311,台股行情!A:D,4,FALSE)</f>
        <v>81</v>
      </c>
      <c r="Z311" s="38">
        <f>VLOOKUP(C311,台股行情!A:E,5,FALSE)</f>
        <v>-1.85</v>
      </c>
      <c r="AA311" s="90">
        <f t="shared" ca="1" si="68"/>
        <v>4786.5786879859816</v>
      </c>
      <c r="AB311" s="103" t="s">
        <v>4280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14661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4630.4372487499995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0.46419705692870744</v>
      </c>
      <c r="Y312" s="16">
        <f>VLOOKUP(C312,台股行情!A:D,4,FALSE)</f>
        <v>81</v>
      </c>
      <c r="Z312" s="38">
        <f>VLOOKUP(C312,台股行情!A:E,5,FALSE)</f>
        <v>-1.85</v>
      </c>
      <c r="AA312" s="90">
        <f t="shared" ca="1" si="68"/>
        <v>4559.9906910524587</v>
      </c>
      <c r="AB312" s="103" t="s">
        <v>4280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14499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4479.0733012499995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0.44947037049583455</v>
      </c>
      <c r="Y313" s="16">
        <f>VLOOKUP(C313,台股行情!A:D,4,FALSE)</f>
        <v>81</v>
      </c>
      <c r="Z313" s="38">
        <f>VLOOKUP(C313,台股行情!A:E,5,FALSE)</f>
        <v>-1.85</v>
      </c>
      <c r="AA313" s="90">
        <f t="shared" ca="1" si="68"/>
        <v>3982.5813163946991</v>
      </c>
      <c r="AB313" s="103" t="s">
        <v>4280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12393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2361.3419837500001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0.23643613981268155</v>
      </c>
      <c r="Y314" s="16">
        <f>VLOOKUP(C314,台股行情!A:D,4,FALSE)</f>
        <v>81</v>
      </c>
      <c r="Z314" s="38">
        <f>VLOOKUP(C314,台股行情!A:E,5,FALSE)</f>
        <v>-1.85</v>
      </c>
      <c r="AA314" s="90">
        <f t="shared" ca="1" si="68"/>
        <v>3717.2489322089582</v>
      </c>
      <c r="AB314" s="103" t="s">
        <v>4280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10125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152.24671875000001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1.5226690702708146E-2</v>
      </c>
      <c r="Y315" s="16">
        <f>VLOOKUP(C315,台股行情!A:D,4,FALSE)</f>
        <v>81</v>
      </c>
      <c r="Z315" s="38">
        <f>VLOOKUP(C315,台股行情!A:E,5,FALSE)</f>
        <v>-1.85</v>
      </c>
      <c r="AA315" s="90">
        <f t="shared" ca="1" si="68"/>
        <v>3154.7147081371154</v>
      </c>
      <c r="AB315" s="103" t="s">
        <v>4280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9963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-9.1172287499999989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-1.0185471408436524E-3</v>
      </c>
      <c r="Y316" s="16">
        <f>VLOOKUP(C316,台股行情!A:D,4,FALSE)</f>
        <v>81</v>
      </c>
      <c r="Z316" s="38">
        <f>VLOOKUP(C316,台股行情!A:E,5,FALSE)</f>
        <v>-1.85</v>
      </c>
      <c r="AA316" s="90">
        <f t="shared" ca="1" si="68"/>
        <v>2855.5607271930785</v>
      </c>
      <c r="AB316" s="103" t="s">
        <v>4280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118000</v>
      </c>
      <c r="P317" s="14">
        <f t="shared" si="94"/>
        <v>-183</v>
      </c>
      <c r="Q317" s="14">
        <f t="shared" si="91"/>
        <v>-11463.297500000001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-9.0281375968992258E-2</v>
      </c>
      <c r="Y317" s="16">
        <f>VLOOKUP(C317,台股行情!A:D,4,FALSE)</f>
        <v>118</v>
      </c>
      <c r="Z317" s="38">
        <f>VLOOKUP(C317,台股行情!A:E,5,FALSE)</f>
        <v>0.5</v>
      </c>
      <c r="AA317" s="90">
        <f t="shared" ca="1" si="68"/>
        <v>58983.134377395683</v>
      </c>
      <c r="AB317" s="103" t="s">
        <v>4276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5631.25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694.14030468750002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0.14102549434130213</v>
      </c>
      <c r="Y318" s="16">
        <f>VLOOKUP(C318,台股行情!A:D,4,FALSE)</f>
        <v>106.25</v>
      </c>
      <c r="Z318" s="38">
        <f>VLOOKUP(C318,台股行情!A:E,5,FALSE)</f>
        <v>-0.7</v>
      </c>
      <c r="AA318" s="90">
        <f t="shared" ca="1" si="68"/>
        <v>1682.1131310918847</v>
      </c>
      <c r="AB318" s="103" t="s">
        <v>4280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5418.75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449.47463281249998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9.0637557156932086E-2</v>
      </c>
      <c r="Y319" s="16">
        <f>VLOOKUP(C319,台股行情!A:D,4,FALSE)</f>
        <v>106.25</v>
      </c>
      <c r="Z319" s="38">
        <f>VLOOKUP(C319,台股行情!A:E,5,FALSE)</f>
        <v>-0.7</v>
      </c>
      <c r="AA319" s="90">
        <f t="shared" ca="1" si="68"/>
        <v>1557.9345088161208</v>
      </c>
      <c r="AB319" s="103" t="s">
        <v>4280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5525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555.30746875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0.11202657007881972</v>
      </c>
      <c r="Y320" s="16">
        <f>VLOOKUP(C320,台股行情!A:D,4,FALSE)</f>
        <v>106.25</v>
      </c>
      <c r="Z320" s="38">
        <f>VLOOKUP(C320,台股行情!A:E,5,FALSE)</f>
        <v>-0.7</v>
      </c>
      <c r="AA320" s="90">
        <f t="shared" ca="1" si="68"/>
        <v>1422.4619428321103</v>
      </c>
      <c r="AB320" s="103" t="s">
        <v>4280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106250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12132.8359375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0.12806655216115262</v>
      </c>
      <c r="Y321" s="16">
        <f>VLOOKUP(C321,台股行情!A:D,4,FALSE)</f>
        <v>106.25</v>
      </c>
      <c r="Z321" s="38">
        <f>VLOOKUP(C321,台股行情!A:E,5,FALSE)</f>
        <v>-0.7</v>
      </c>
      <c r="AA321" s="90">
        <f t="shared" ca="1" si="68"/>
        <v>26680.538823787097</v>
      </c>
      <c r="AB321" s="103" t="s">
        <v>4280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10200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236.95225000000002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2.3778318048977128E-2</v>
      </c>
      <c r="Y322" s="16">
        <f>VLOOKUP(C322,台股行情!A:D,4,FALSE)</f>
        <v>106.25</v>
      </c>
      <c r="Z322" s="38">
        <f>VLOOKUP(C322,台股行情!A:E,5,FALSE)</f>
        <v>-0.7</v>
      </c>
      <c r="AA322" s="90">
        <f t="shared" ca="1" si="68"/>
        <v>2581.0015332384187</v>
      </c>
      <c r="AB322" s="103" t="s">
        <v>4280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106250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5282.8359375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5.1117214694181998E-2</v>
      </c>
      <c r="Y323" s="16">
        <f>VLOOKUP(C323,台股行情!A:D,4,FALSE)</f>
        <v>106.25</v>
      </c>
      <c r="Z323" s="38">
        <f>VLOOKUP(C323,台股行情!A:E,5,FALSE)</f>
        <v>-0.7</v>
      </c>
      <c r="AA323" s="90">
        <f t="shared" ca="1" si="68"/>
        <v>26153.351221114881</v>
      </c>
      <c r="AB323" s="103" t="s">
        <v>4280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10518.75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522.4507578125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5.2380789333249626E-2</v>
      </c>
      <c r="Y324" s="16">
        <f>VLOOKUP(C324,台股行情!A:D,4,FALSE)</f>
        <v>106.25</v>
      </c>
      <c r="Z324" s="38">
        <f>VLOOKUP(C324,台股行情!A:E,5,FALSE)</f>
        <v>-0.7</v>
      </c>
      <c r="AA324" s="90">
        <f t="shared" ref="AA324:AA342" ca="1" si="123">IF(I324="",((TODAY()-A324)*G324)/365.24,((I324-A324)*G324)/365.24)</f>
        <v>2289.5082685357575</v>
      </c>
      <c r="AB324" s="103" t="s">
        <v>4280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106250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5182.8359375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5.0072885618479883E-2</v>
      </c>
      <c r="Y325" s="16">
        <f>VLOOKUP(C325,台股行情!A:D,4,FALSE)</f>
        <v>106.25</v>
      </c>
      <c r="Z325" s="38">
        <f>VLOOKUP(C325,台股行情!A:E,5,FALSE)</f>
        <v>-0.7</v>
      </c>
      <c r="AA325" s="90">
        <f t="shared" ca="1" si="123"/>
        <v>22596.922571459862</v>
      </c>
      <c r="AB325" s="103" t="s">
        <v>4280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9881.25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-120.5462578125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-1.2199764911422262E-2</v>
      </c>
      <c r="Y326" s="16">
        <f>VLOOKUP(C326,台股行情!A:D,4,FALSE)</f>
        <v>106.25</v>
      </c>
      <c r="Z326" s="38">
        <f>VLOOKUP(C326,台股行情!A:E,5,FALSE)</f>
        <v>-0.7</v>
      </c>
      <c r="AA326" s="90">
        <f t="shared" ca="1" si="123"/>
        <v>2018.5686124192312</v>
      </c>
      <c r="AB326" s="103" t="s">
        <v>4280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99100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19710.908625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0.2480874509493671</v>
      </c>
      <c r="Y327" s="16">
        <f>VLOOKUP(C327,台股行情!A:D,4,FALSE)</f>
        <v>49.55</v>
      </c>
      <c r="Z327" s="38">
        <f>VLOOKUP(C327,台股行情!A:E,5,FALSE)</f>
        <v>1</v>
      </c>
      <c r="AA327" s="90">
        <f t="shared" ca="1" si="123"/>
        <v>25306.647683714818</v>
      </c>
      <c r="AB327" s="103" t="s">
        <v>4276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999000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356077.67625000002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0.55581795970266046</v>
      </c>
      <c r="Y328" s="16">
        <f>VLOOKUP(C328,台股行情!A:D,4,FALSE)</f>
        <v>999</v>
      </c>
      <c r="Z328" s="38">
        <f>VLOOKUP(C328,台股行情!A:E,5,FALSE)</f>
        <v>34</v>
      </c>
      <c r="AA328" s="90">
        <f t="shared" ca="1" si="123"/>
        <v>202946.0081042602</v>
      </c>
      <c r="AB328" s="103" t="s">
        <v>4276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152500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16391.246875000001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0.12282839022140223</v>
      </c>
      <c r="Y329" s="16">
        <f>VLOOKUP(C329,台股行情!A:D,4,FALSE)</f>
        <v>6100</v>
      </c>
      <c r="Z329" s="38">
        <f>VLOOKUP(C329,台股行情!A:E,5,FALSE)</f>
        <v>85</v>
      </c>
      <c r="AA329" s="90">
        <f t="shared" ca="1" si="123"/>
        <v>42663.727959697731</v>
      </c>
      <c r="AB329" s="103" t="s">
        <v>4276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125000</v>
      </c>
      <c r="P330" s="14">
        <f t="shared" si="133"/>
        <v>906.1</v>
      </c>
      <c r="Q330" s="14">
        <f t="shared" si="130"/>
        <v>16999.21875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0.16656110465116278</v>
      </c>
      <c r="Y330" s="16">
        <f>VLOOKUP(C330,台股行情!A:D,4,FALSE)</f>
        <v>1250</v>
      </c>
      <c r="Z330" s="38">
        <f>VLOOKUP(C330,台股行情!A:E,5,FALSE)</f>
        <v>110</v>
      </c>
      <c r="AA330" s="90">
        <f t="shared" ca="1" si="123"/>
        <v>33847.607052896725</v>
      </c>
      <c r="AB330" s="103" t="s">
        <v>4276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149550</v>
      </c>
      <c r="P331" s="14">
        <f t="shared" si="133"/>
        <v>3411</v>
      </c>
      <c r="Q331" s="14">
        <f t="shared" si="130"/>
        <v>43952.829312499998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0.45108408869047617</v>
      </c>
      <c r="Y331" s="16">
        <f>VLOOKUP(C331,台股行情!A:D,4,FALSE)</f>
        <v>49.85</v>
      </c>
      <c r="Z331" s="38">
        <f>VLOOKUP(C331,台股行情!A:E,5,FALSE)</f>
        <v>1.25</v>
      </c>
      <c r="AA331" s="90">
        <f t="shared" ca="1" si="123"/>
        <v>31910.52458657321</v>
      </c>
      <c r="AB331" s="103" t="s">
        <v>4276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9153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-835.93696624999995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-8.4088914523259312E-2</v>
      </c>
      <c r="Y332" s="16">
        <f>VLOOKUP(C332,台股行情!A:D,4,FALSE)</f>
        <v>81</v>
      </c>
      <c r="Z332" s="38">
        <f>VLOOKUP(C332,台股行情!A:E,5,FALSE)</f>
        <v>-1.85</v>
      </c>
      <c r="AA332" s="90">
        <f t="shared" ca="1" si="123"/>
        <v>2289.0482970101853</v>
      </c>
      <c r="AB332" s="103" t="s">
        <v>4280</v>
      </c>
      <c r="AC332" s="311"/>
    </row>
    <row r="333" spans="1:29">
      <c r="A333" s="99">
        <v>46181</v>
      </c>
      <c r="B333" s="11"/>
      <c r="C333" s="348" t="s">
        <v>4919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9728.9</v>
      </c>
      <c r="P333" s="14">
        <f t="shared" si="139"/>
        <v>-1</v>
      </c>
      <c r="Q333" s="14">
        <f t="shared" si="140"/>
        <v>-303.29809362500032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-3.0448078209425689E-2</v>
      </c>
      <c r="Y333" s="16">
        <f>VLOOKUP(C333,台股行情!A:D,4,FALSE)</f>
        <v>17.95</v>
      </c>
      <c r="Z333" s="38">
        <f>VLOOKUP(C333,台股行情!A:E,5,FALSE)</f>
        <v>-0.35</v>
      </c>
      <c r="AA333" s="90">
        <f t="shared" ca="1" si="123"/>
        <v>2298.4777132844156</v>
      </c>
      <c r="AB333" s="103" t="s">
        <v>4280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10093.75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118.1194140625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1.1787380642361111E-2</v>
      </c>
      <c r="Y334" s="16">
        <f>VLOOKUP(C334,台股行情!A:D,4,FALSE)</f>
        <v>106.25</v>
      </c>
      <c r="Z334" s="38">
        <f>VLOOKUP(C334,台股行情!A:E,5,FALSE)</f>
        <v>-0.7</v>
      </c>
      <c r="AA334" s="90">
        <f t="shared" ca="1" si="123"/>
        <v>1713.8539042821158</v>
      </c>
      <c r="AB334" s="103" t="s">
        <v>4280</v>
      </c>
      <c r="AC334" s="311"/>
    </row>
    <row r="335" spans="1:29">
      <c r="A335" s="99">
        <v>46209</v>
      </c>
      <c r="B335" s="11"/>
      <c r="C335" s="11" t="s">
        <v>4475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9290.4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-715.07643300000041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-7.1830317283579137E-2</v>
      </c>
      <c r="Y335" s="16">
        <f>VLOOKUP(C335,台股行情!A:D,4,FALSE)</f>
        <v>29.4</v>
      </c>
      <c r="Z335" s="38">
        <f>VLOOKUP(C335,台股行情!A:E,5,FALSE)</f>
        <v>-0.69</v>
      </c>
      <c r="AA335" s="90">
        <f t="shared" ca="1" si="123"/>
        <v>1528.4853794765086</v>
      </c>
      <c r="AB335" s="103" t="s">
        <v>3031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106250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-217.1640625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-3.4716083215464402E-3</v>
      </c>
      <c r="Y336" s="16">
        <f>VLOOKUP(C336,台股行情!A:D,4,FALSE)</f>
        <v>106.25</v>
      </c>
      <c r="Z336" s="38">
        <f>VLOOKUP(C336,台股行情!A:E,5,FALSE)</f>
        <v>-0.7</v>
      </c>
      <c r="AA336" s="90">
        <f t="shared" ca="1" si="123"/>
        <v>15969.636403460738</v>
      </c>
      <c r="AB336" s="103" t="s">
        <v>4280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8910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-1107.9828875000001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-0.1110871368827006</v>
      </c>
      <c r="Y337" s="16">
        <f>VLOOKUP(C337,台股行情!A:D,4,FALSE)</f>
        <v>81</v>
      </c>
      <c r="Z337" s="38">
        <f>VLOOKUP(C337,台股行情!A:E,5,FALSE)</f>
        <v>-1.85</v>
      </c>
      <c r="AA337" s="90">
        <f t="shared" ca="1" si="123"/>
        <v>1503.2992005256817</v>
      </c>
      <c r="AB337" s="103" t="s">
        <v>4280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9987.5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-2.7134218750000016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-3.7317072404783458E-4</v>
      </c>
      <c r="Y338" s="16">
        <f>VLOOKUP(C338,台股行情!A:D,4,FALSE)</f>
        <v>106.25</v>
      </c>
      <c r="Z338" s="38">
        <f>VLOOKUP(C338,台股行情!A:E,5,FALSE)</f>
        <v>-0.7</v>
      </c>
      <c r="AA338" s="90">
        <f t="shared" ca="1" si="123"/>
        <v>1471.2353520972511</v>
      </c>
      <c r="AB338" s="103" t="s">
        <v>4280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106250</v>
      </c>
      <c r="P339" s="14">
        <f t="shared" ref="P339:P342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5482.8359375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5.3222082087693072E-2</v>
      </c>
      <c r="Y339" s="16">
        <f>VLOOKUP(C339,台股行情!A:D,4,FALSE)</f>
        <v>106.25</v>
      </c>
      <c r="Z339" s="38">
        <f>VLOOKUP(C339,台股行情!A:E,5,FALSE)</f>
        <v>-0.7</v>
      </c>
      <c r="AA339" s="90">
        <f t="shared" ca="1" si="123"/>
        <v>12363.788194064176</v>
      </c>
      <c r="AB339" s="103" t="s">
        <v>4280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10625</v>
      </c>
      <c r="P340" s="14">
        <f t="shared" si="160"/>
        <v>-1</v>
      </c>
      <c r="Q340" s="14">
        <f>IF(I340="",(O340-G340-(O340*0.1425%*0.65)-(O340*0.3%)-S340-T340),0)</f>
        <v>632.28359375000002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6.3439211511405885E-2</v>
      </c>
      <c r="Y340" s="16">
        <f>VLOOKUP(C340,台股行情!A:D,4,FALSE)</f>
        <v>106.25</v>
      </c>
      <c r="Z340" s="38">
        <f>VLOOKUP(C340,台股行情!A:E,5,FALSE)</f>
        <v>-0.7</v>
      </c>
      <c r="AA340" s="90">
        <f t="shared" ca="1" si="123"/>
        <v>1144.2941627423063</v>
      </c>
      <c r="AB340" s="103" t="s">
        <v>4280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10837.5</v>
      </c>
      <c r="P341" s="14">
        <f t="shared" si="160"/>
        <v>-1</v>
      </c>
      <c r="Q341" s="14">
        <f>IF(I341="",(O341-G341-(O341*0.1425%*0.65)-(O341*0.3%)-S341-T341),0)</f>
        <v>843.94926562499995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8.4710005589890461E-2</v>
      </c>
      <c r="Y341" s="16">
        <f>VLOOKUP(C341,台股行情!A:D,4,FALSE)</f>
        <v>106.25</v>
      </c>
      <c r="Z341" s="38">
        <f>VLOOKUP(C341,台股行情!A:E,5,FALSE)</f>
        <v>-0.7</v>
      </c>
      <c r="AA341" s="90">
        <f t="shared" ca="1" si="123"/>
        <v>926.33336983900995</v>
      </c>
      <c r="AB341" s="103" t="s">
        <v>4280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106250</v>
      </c>
      <c r="P342" s="14">
        <f t="shared" si="160"/>
        <v>-131</v>
      </c>
      <c r="Q342" s="14">
        <f t="shared" ref="Q342" si="170">IF(I342="",(O342-G342-(O342*0.1425%*0.65)-(O342*0.3%)-S342-T342),0)</f>
        <v>13632.8359375</v>
      </c>
      <c r="R342" s="14"/>
      <c r="S342" s="14"/>
      <c r="T342" s="14">
        <f t="shared" ref="T342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0.14644073684924078</v>
      </c>
      <c r="Y342" s="16">
        <f>VLOOKUP(C342,台股行情!A:D,4,FALSE)</f>
        <v>106.25</v>
      </c>
      <c r="Z342" s="38">
        <f>VLOOKUP(C342,台股行情!A:E,5,FALSE)</f>
        <v>-0.7</v>
      </c>
      <c r="AA342" s="90">
        <f t="shared" ca="1" si="123"/>
        <v>8330.412879202715</v>
      </c>
      <c r="AB342" s="103" t="s">
        <v>4280</v>
      </c>
    </row>
    <row r="343" spans="1:29">
      <c r="A343" s="99"/>
      <c r="B343" s="11"/>
      <c r="C343" s="348"/>
      <c r="D343" s="189"/>
      <c r="E343" s="11"/>
      <c r="F343" s="11"/>
      <c r="G343" s="11"/>
      <c r="H343" s="11"/>
      <c r="I343" s="104"/>
      <c r="J343" s="16"/>
      <c r="K343" s="11"/>
      <c r="L343" s="11"/>
      <c r="M343" s="11"/>
      <c r="N343" s="11"/>
      <c r="O343" s="13"/>
      <c r="P343" s="14"/>
      <c r="Q343" s="14"/>
      <c r="R343" s="14"/>
      <c r="S343" s="14"/>
      <c r="T343" s="14"/>
      <c r="U343" s="69"/>
      <c r="V343" s="69"/>
      <c r="W343" s="70"/>
      <c r="X343" s="15"/>
      <c r="Y343" s="16"/>
      <c r="Z343" s="38"/>
      <c r="AA343" s="90"/>
      <c r="AB343" s="103"/>
      <c r="AC343" s="311"/>
    </row>
    <row r="344" spans="1:29">
      <c r="A344" s="224">
        <v>45550</v>
      </c>
      <c r="B344" s="11" t="s">
        <v>19</v>
      </c>
      <c r="C344" s="376" t="s">
        <v>4606</v>
      </c>
      <c r="D344" s="189" t="str">
        <f>VLOOKUP(C344,美股行情!A:C,2,FALSE)</f>
        <v>Synopsys Inc</v>
      </c>
      <c r="E344" s="11">
        <v>1</v>
      </c>
      <c r="F344" s="11">
        <v>432.3</v>
      </c>
      <c r="G344" s="11">
        <f>E344*F344</f>
        <v>432.3</v>
      </c>
      <c r="H344" s="315">
        <f>G344*0.25%</f>
        <v>1.0807500000000001</v>
      </c>
      <c r="I344" s="104">
        <v>46087</v>
      </c>
      <c r="J344" s="16">
        <v>433.82</v>
      </c>
      <c r="K344" s="11">
        <f>E344*J344</f>
        <v>433.82</v>
      </c>
      <c r="L344" s="17">
        <v>1.08</v>
      </c>
      <c r="M344" s="11"/>
      <c r="N344" s="11">
        <v>0</v>
      </c>
      <c r="O344" s="13">
        <f>IF(I344="",E344*Y344,0)</f>
        <v>0</v>
      </c>
      <c r="P344" s="14">
        <f>IF(I344="",R344-H344,(K344-H344-SUM(L344:N344)+R344-S344-T344)-G344)+(ROUND(R344*V344,0)-ROUND(R344*(1+V344),0)*W344)</f>
        <v>-0.64075000000002547</v>
      </c>
      <c r="Q344" s="14">
        <f>IF(I344="",(O344-G344-(O344*0.1425%*0.65)-(O344*0.3%)-S344-T344),0)</f>
        <v>0</v>
      </c>
      <c r="R344" s="14"/>
      <c r="S344" s="14">
        <v>0</v>
      </c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-1.4821882951654532E-3</v>
      </c>
      <c r="Y344" s="16">
        <f>VLOOKUP(C344,美股行情!A:C,3,FALSE)</f>
        <v>392.07</v>
      </c>
      <c r="Z344" s="38">
        <f>VLOOKUP(C344,美股行情!A:G,7,FALSE)</f>
        <v>3.31</v>
      </c>
      <c r="AA344" s="90">
        <f t="shared" ref="AA344:AA345" ca="1" si="174">IF(I344="",((TODAY()-A344)*G344)/365.24,((I344-A344)*G344)/365.24)</f>
        <v>635.59604643522073</v>
      </c>
      <c r="AB344" s="349" t="s">
        <v>4278</v>
      </c>
    </row>
    <row r="345" spans="1:29">
      <c r="A345" s="224">
        <v>45442</v>
      </c>
      <c r="B345" s="11" t="s">
        <v>19</v>
      </c>
      <c r="C345" s="225" t="s">
        <v>3831</v>
      </c>
      <c r="D345" s="189" t="str">
        <f>VLOOKUP(C345,美股行情!A:C,2,FALSE)</f>
        <v>英偉達公司</v>
      </c>
      <c r="E345" s="11">
        <v>80</v>
      </c>
      <c r="F345" s="11">
        <v>114.6</v>
      </c>
      <c r="G345" s="11">
        <f>E345*F345</f>
        <v>9168</v>
      </c>
      <c r="H345" s="314">
        <f>G345*0.25%</f>
        <v>22.92</v>
      </c>
      <c r="I345" s="104"/>
      <c r="J345" s="16"/>
      <c r="K345" s="11">
        <f>E345*J345</f>
        <v>0</v>
      </c>
      <c r="L345" s="17"/>
      <c r="M345" s="11"/>
      <c r="N345" s="11">
        <v>0</v>
      </c>
      <c r="O345" s="13">
        <f>IF(I345="",E345*Y345,0)</f>
        <v>16536</v>
      </c>
      <c r="P345" s="14">
        <f>IF(I345="",R345-H345,(K345-H345-SUM(L345:N345)+R345-S345-T345)-G345)+(ROUND(R345*V345,0)-ROUND(R345*(1+V345),0)*W345)</f>
        <v>-21.46</v>
      </c>
      <c r="Q345" s="14">
        <f>IF(I345="",(O345-G345-(O345*0.1425%*0.65)-(O345*0.3%)-S345-T345),0)</f>
        <v>7303.0755300000001</v>
      </c>
      <c r="R345" s="14">
        <f>0.56+0.56+0.56</f>
        <v>1.6800000000000002</v>
      </c>
      <c r="S345" s="14">
        <v>0</v>
      </c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0.79424253163176262</v>
      </c>
      <c r="Y345" s="16">
        <f>VLOOKUP(C345,美股行情!A:C,3,FALSE)</f>
        <v>206.7</v>
      </c>
      <c r="Z345" s="38">
        <f>VLOOKUP(C345,美股行情!A:G,7,FALSE)</f>
        <v>5.95</v>
      </c>
      <c r="AA345" s="90">
        <f t="shared" ca="1" si="174"/>
        <v>20658.372576935712</v>
      </c>
      <c r="AB345" s="349" t="s">
        <v>4278</v>
      </c>
    </row>
    <row r="346" spans="1:29" ht="17.25" thickBot="1">
      <c r="A346" s="48"/>
      <c r="B346" s="49"/>
      <c r="C346" s="49"/>
      <c r="D346" s="49"/>
      <c r="E346" s="49"/>
      <c r="F346" s="49"/>
      <c r="G346" s="49"/>
      <c r="H346" s="49"/>
      <c r="I346" s="50"/>
      <c r="J346" s="51"/>
      <c r="K346" s="49"/>
      <c r="L346" s="52"/>
      <c r="M346" s="49"/>
      <c r="N346" s="49"/>
      <c r="O346" s="53"/>
      <c r="P346" s="54"/>
      <c r="Q346" s="54"/>
      <c r="R346" s="54"/>
      <c r="S346" s="54"/>
      <c r="T346" s="60"/>
      <c r="U346" s="54"/>
      <c r="V346" s="54"/>
      <c r="W346" s="78"/>
      <c r="X346" s="55"/>
      <c r="Y346" s="51"/>
      <c r="Z346" s="56"/>
      <c r="AA346" s="28"/>
    </row>
    <row r="348" spans="1:29" ht="17.25" thickBot="1"/>
    <row r="349" spans="1:29" s="8" customFormat="1" ht="17.25" thickBot="1">
      <c r="A349" s="434" t="s">
        <v>4095</v>
      </c>
      <c r="B349" s="415"/>
      <c r="C349" s="435"/>
      <c r="D349" s="251" t="s">
        <v>4275</v>
      </c>
      <c r="E349" s="439"/>
      <c r="F349" s="415"/>
      <c r="G349" s="251" t="s">
        <v>4087</v>
      </c>
      <c r="H349" s="251" t="s">
        <v>25</v>
      </c>
      <c r="I349" s="441"/>
      <c r="J349" s="305"/>
      <c r="K349" s="292"/>
      <c r="L349" s="292"/>
      <c r="M349" s="292"/>
      <c r="N349" s="293"/>
      <c r="O349" s="251" t="s">
        <v>4088</v>
      </c>
      <c r="P349" s="251" t="s">
        <v>4089</v>
      </c>
      <c r="Q349" s="251" t="s">
        <v>4090</v>
      </c>
      <c r="R349" s="251" t="s">
        <v>4091</v>
      </c>
      <c r="S349" s="251" t="s">
        <v>25</v>
      </c>
      <c r="T349" s="251" t="s">
        <v>26</v>
      </c>
      <c r="U349" s="402"/>
      <c r="V349" s="246" t="s">
        <v>28</v>
      </c>
      <c r="W349" s="246" t="s">
        <v>27</v>
      </c>
      <c r="X349" s="251" t="s">
        <v>4092</v>
      </c>
      <c r="Y349" s="251" t="s">
        <v>23</v>
      </c>
      <c r="Z349" s="251" t="s">
        <v>168</v>
      </c>
      <c r="AA349" s="89"/>
      <c r="AB349" s="86"/>
    </row>
    <row r="350" spans="1:29" outlineLevel="1">
      <c r="A350" s="436"/>
      <c r="B350" s="417"/>
      <c r="C350" s="437"/>
      <c r="D350" s="246" t="s">
        <v>4279</v>
      </c>
      <c r="E350" s="440"/>
      <c r="F350" s="417"/>
      <c r="G350" s="265"/>
      <c r="H350" s="265"/>
      <c r="I350" s="442"/>
      <c r="J350" s="306"/>
      <c r="K350" s="294"/>
      <c r="L350" s="294"/>
      <c r="M350" s="294"/>
      <c r="N350" s="295"/>
      <c r="O350" s="265">
        <f>'Family-帳戶紀錄'!D655</f>
        <v>1030644</v>
      </c>
      <c r="P350" s="266"/>
      <c r="Q350" s="266"/>
      <c r="R350" s="265"/>
      <c r="S350" s="304"/>
      <c r="T350" s="304"/>
      <c r="U350" s="404"/>
      <c r="V350" s="257"/>
      <c r="W350" s="257"/>
      <c r="X350" s="267"/>
      <c r="Y350" s="267"/>
      <c r="Z350" s="268"/>
      <c r="AA350" s="9">
        <f>SUMIF(AB$2:AB$345,D350,AA$2:AA$345)</f>
        <v>0</v>
      </c>
      <c r="AB350" s="28"/>
    </row>
    <row r="351" spans="1:29" outlineLevel="1">
      <c r="A351" s="436"/>
      <c r="B351" s="417"/>
      <c r="C351" s="437"/>
      <c r="D351" s="264" t="s">
        <v>4276</v>
      </c>
      <c r="E351" s="440"/>
      <c r="F351" s="417"/>
      <c r="G351" s="265">
        <f>SUMIF(AB$2:AB$345,D351,G$2:G$345)</f>
        <v>24174205</v>
      </c>
      <c r="H351" s="265">
        <f>SUMIF(AB$2:AB$345,D351,H$2:H$345)</f>
        <v>33644</v>
      </c>
      <c r="I351" s="442"/>
      <c r="J351" s="306"/>
      <c r="K351" s="294"/>
      <c r="L351" s="294"/>
      <c r="M351" s="294"/>
      <c r="N351" s="295"/>
      <c r="O351" s="265">
        <f>SUMIF(AB$2:AB$345,D351,O$2:O$345)</f>
        <v>2999500</v>
      </c>
      <c r="P351" s="266">
        <f>SUMIF(AB$2:AB$345,D351,P$2:P$345)</f>
        <v>752219.46</v>
      </c>
      <c r="Q351" s="266">
        <f>SUMIF(AB$2:AB$345,"*"&amp;D351&amp;"*",Q$2:Q$345)</f>
        <v>739263.45787824993</v>
      </c>
      <c r="R351" s="265">
        <f>SUMIF(AB$2:AB$345,D351,R$2:R$345)</f>
        <v>624610</v>
      </c>
      <c r="S351" s="257"/>
      <c r="T351" s="257"/>
      <c r="U351" s="404"/>
      <c r="V351" s="257"/>
      <c r="W351" s="257"/>
      <c r="X351" s="267">
        <f>(SUMIF(AB$2:AB$345,D351,P$2:P$345)+SUMIF(AB$2:AB$345,"*"&amp;D351&amp;"*",Q$2:Q$345))/SUMIF(AB$2:AB$345,D351,G$2:G$345)</f>
        <v>6.1697289233637667E-2</v>
      </c>
      <c r="Y351" s="267">
        <f ca="1">(P351+Q351)/(AA351)</f>
        <v>1.5279050379799364E-2</v>
      </c>
      <c r="Z351" s="268">
        <f>COUNTIFS(X$2:X$345,"&gt;0",AB$2:AB$345,D351)/COUNTIF(AB$2:AB$345,D351)</f>
        <v>0.55390334572490707</v>
      </c>
      <c r="AA351" s="9">
        <f ca="1">SUMIF(AB$2:AB$345,D351,AA$2:AA$345)</f>
        <v>97616205.248603627</v>
      </c>
      <c r="AB351" s="28"/>
    </row>
    <row r="352" spans="1:29" ht="17.25" outlineLevel="1" thickBot="1">
      <c r="A352" s="436"/>
      <c r="B352" s="417"/>
      <c r="C352" s="437"/>
      <c r="D352" s="247" t="s">
        <v>4281</v>
      </c>
      <c r="E352" s="440"/>
      <c r="F352" s="417"/>
      <c r="G352" s="265">
        <f>SUMIF(AB$2:AB$345,D352,G$2:G$345)</f>
        <v>1554903.88</v>
      </c>
      <c r="H352" s="265">
        <f>SUMIF(AB$2:AB$345,D352,H$2:H$345)</f>
        <v>1590</v>
      </c>
      <c r="I352" s="442"/>
      <c r="J352" s="306"/>
      <c r="K352" s="294"/>
      <c r="L352" s="294"/>
      <c r="M352" s="294"/>
      <c r="N352" s="295"/>
      <c r="O352" s="265">
        <f>SUMIF(AB$2:AB$345,D352,O$2:O$345)</f>
        <v>1083801.3999999999</v>
      </c>
      <c r="P352" s="266">
        <f>SUMIF(AB$2:AB$345,D352,P$2:P$345)</f>
        <v>41757.799999999996</v>
      </c>
      <c r="Q352" s="266">
        <f>SUMIF(AB$2:AB$345,"*"&amp;D352&amp;"*",Q$2:Q$345)</f>
        <v>121735.24475325002</v>
      </c>
      <c r="R352" s="265">
        <f>SUMIF(AB$2:AB$345,D352,R$2:R$345)</f>
        <v>36219.200000000012</v>
      </c>
      <c r="S352" s="303"/>
      <c r="T352" s="303"/>
      <c r="U352" s="404"/>
      <c r="V352" s="261"/>
      <c r="W352" s="261"/>
      <c r="X352" s="267">
        <f>(SUMIF(AB$2:AB$345,D352,P$2:P$345)+SUMIF(AB$2:AB$345,"*"&amp;D352&amp;"*",Q$2:Q$345))/SUMIF(AB$2:AB$345,D352,G$2:G$345)</f>
        <v>0.10514672119362777</v>
      </c>
      <c r="Y352" s="267">
        <f ca="1">(P352+Q352)/(AA352)</f>
        <v>0.29959184381487791</v>
      </c>
      <c r="Z352" s="268">
        <f>COUNTIFS(X$2:X$345,"&gt;0",AB$2:AB$345,D352)/COUNTIF(AB$2:AB$345,D352)</f>
        <v>0.6901408450704225</v>
      </c>
      <c r="AA352" s="9">
        <f ca="1">SUMIF(AB$2:AB$345,D352,AA$2:AA$345)</f>
        <v>545719.27817325597</v>
      </c>
      <c r="AB352" s="28"/>
    </row>
    <row r="353" spans="1:28" outlineLevel="1">
      <c r="A353" s="416"/>
      <c r="B353" s="417"/>
      <c r="C353" s="437"/>
      <c r="D353" s="269" t="s">
        <v>4278</v>
      </c>
      <c r="E353" s="417"/>
      <c r="F353" s="417"/>
      <c r="G353" s="265">
        <f>SUMIF(AB$2:AB$345,D353,G$2:G$345)*匯率!B3</f>
        <v>304079.90219999995</v>
      </c>
      <c r="H353" s="265">
        <f>SUMIF(AB$2:AB$345,D353,H$2:H$345)*匯率!B3</f>
        <v>760.19975550000015</v>
      </c>
      <c r="I353" s="430"/>
      <c r="J353" s="306"/>
      <c r="K353" s="294"/>
      <c r="L353" s="294"/>
      <c r="M353" s="294"/>
      <c r="N353" s="295"/>
      <c r="O353" s="265">
        <f>SUMIF(AB$2:AB$345,D353,O$2:O$345)*匯率!B13</f>
        <v>522603.74400000001</v>
      </c>
      <c r="P353" s="266">
        <f>SUMIF(AB$2:AB$345,D353,P$2:P$345)*匯率!B3</f>
        <v>-700.01915550000081</v>
      </c>
      <c r="Q353" s="266">
        <f>SUMIF(AB$2:AB$345,"*"&amp;D353&amp;"*",Q$2:Q$345)*匯率!B3</f>
        <v>231317.61433722</v>
      </c>
      <c r="R353" s="265">
        <f>SUMIF(AB$2:AB$345,D353,R$2:R$345)*匯率!B3</f>
        <v>53.212320000000005</v>
      </c>
      <c r="S353" s="257"/>
      <c r="T353" s="257"/>
      <c r="U353" s="411"/>
      <c r="V353" s="257"/>
      <c r="W353" s="257"/>
      <c r="X353" s="267">
        <f>(SUMIF(AB$2:AB$345,D353,P$2:P$345)+SUMIF(AB$2:AB$345,"*"&amp;D353&amp;"*",Q$2:Q$345))/SUMIF(AB$2:AB$345,D353,G$2:G$345)</f>
        <v>0.75841117256752399</v>
      </c>
      <c r="Y353" s="267">
        <f ca="1">(P353+Q353)/(AA353)</f>
        <v>10.830183854437003</v>
      </c>
      <c r="Z353" s="268">
        <f>COUNTIFS(X$2:X$345,"&gt;0",AB$2:AB$345,D353)/COUNTIF(AB$2:AB$345,D353)</f>
        <v>0.5</v>
      </c>
      <c r="AA353" s="9">
        <f ca="1">SUMIF(AB$2:AB$345,D353,AA$2:AA$345)</f>
        <v>21293.968623370933</v>
      </c>
      <c r="AB353" s="28"/>
    </row>
    <row r="354" spans="1:28" ht="17.25" outlineLevel="1" thickBot="1">
      <c r="A354" s="416"/>
      <c r="B354" s="417"/>
      <c r="C354" s="437"/>
      <c r="D354" s="248" t="s">
        <v>4328</v>
      </c>
      <c r="E354" s="417"/>
      <c r="F354" s="417"/>
      <c r="G354" s="252"/>
      <c r="H354" s="252"/>
      <c r="I354" s="430"/>
      <c r="J354" s="307"/>
      <c r="K354" s="296"/>
      <c r="L354" s="296"/>
      <c r="M354" s="296"/>
      <c r="N354" s="297"/>
      <c r="O354" s="378">
        <f>'Family-帳戶紀錄'!G655</f>
        <v>823.21999999999946</v>
      </c>
      <c r="P354" s="253"/>
      <c r="Q354" s="253"/>
      <c r="R354" s="252"/>
      <c r="S354" s="261"/>
      <c r="T354" s="261"/>
      <c r="U354" s="413"/>
      <c r="V354" s="261"/>
      <c r="W354" s="261"/>
      <c r="X354" s="254"/>
      <c r="Y354" s="254"/>
      <c r="Z354" s="255"/>
      <c r="AA354" s="9">
        <f>SUMIF(AB$2:AB$345,D354,AA$2:AA$345)</f>
        <v>0</v>
      </c>
      <c r="AB354" s="28"/>
    </row>
    <row r="355" spans="1:28" ht="17.25" outlineLevel="1" thickBot="1">
      <c r="A355" s="418"/>
      <c r="B355" s="419"/>
      <c r="C355" s="438"/>
      <c r="D355" s="248" t="s">
        <v>4584</v>
      </c>
      <c r="E355" s="419"/>
      <c r="F355" s="419"/>
      <c r="G355" s="252">
        <f>SUM(G350:G354)</f>
        <v>26033188.782199997</v>
      </c>
      <c r="H355" s="252">
        <f>SUM(H350:H354)</f>
        <v>35994.199755499998</v>
      </c>
      <c r="I355" s="431"/>
      <c r="J355" s="301"/>
      <c r="K355" s="302"/>
      <c r="L355" s="302"/>
      <c r="M355" s="302"/>
      <c r="N355" s="302"/>
      <c r="O355" s="252">
        <f t="shared" ref="O355:W355" si="175">SUM(O350:O354)</f>
        <v>5637372.3640000001</v>
      </c>
      <c r="P355" s="252">
        <f t="shared" si="175"/>
        <v>793277.24084450002</v>
      </c>
      <c r="Q355" s="252">
        <f t="shared" si="175"/>
        <v>1092316.3169687199</v>
      </c>
      <c r="R355" s="252">
        <f t="shared" si="175"/>
        <v>660882.41232</v>
      </c>
      <c r="S355" s="252"/>
      <c r="T355" s="252"/>
      <c r="U355" s="252">
        <f t="shared" si="175"/>
        <v>0</v>
      </c>
      <c r="V355" s="252">
        <f t="shared" si="175"/>
        <v>0</v>
      </c>
      <c r="W355" s="252">
        <f t="shared" si="175"/>
        <v>0</v>
      </c>
      <c r="X355" s="254">
        <f>(P355+Q355)/G355</f>
        <v>7.2430372383058994E-2</v>
      </c>
      <c r="Y355" s="254"/>
      <c r="Z355" s="252"/>
      <c r="AB355" s="28"/>
    </row>
  </sheetData>
  <autoFilter ref="A1:AA21" xr:uid="{00000000-0009-0000-0000-000001000000}"/>
  <mergeCells count="4">
    <mergeCell ref="A349:C355"/>
    <mergeCell ref="E349:F355"/>
    <mergeCell ref="I349:I355"/>
    <mergeCell ref="U349:U354"/>
  </mergeCells>
  <phoneticPr fontId="71" type="noConversion"/>
  <conditionalFormatting sqref="I346">
    <cfRule type="expression" dxfId="1251" priority="1371">
      <formula>$I346&gt;(TODAY()-7)</formula>
    </cfRule>
    <cfRule type="expression" dxfId="1250" priority="1372">
      <formula>$I346&gt;(TODAY()-30)</formula>
    </cfRule>
  </conditionalFormatting>
  <conditionalFormatting sqref="Z2:Z60 Z290:Z292 Z297">
    <cfRule type="containsText" dxfId="1249" priority="809" operator="containsText" text="▲">
      <formula>NOT(ISERROR(SEARCH("▲",Z2)))</formula>
    </cfRule>
    <cfRule type="containsText" dxfId="1248" priority="810" operator="containsText" text="▼">
      <formula>NOT(ISERROR(SEARCH("▼",Z2)))</formula>
    </cfRule>
  </conditionalFormatting>
  <conditionalFormatting sqref="Z2:Z141">
    <cfRule type="cellIs" dxfId="1247" priority="792" operator="greaterThan">
      <formula>0</formula>
    </cfRule>
    <cfRule type="cellIs" dxfId="1246" priority="791" operator="lessThan">
      <formula>0</formula>
    </cfRule>
  </conditionalFormatting>
  <conditionalFormatting sqref="Z61:Z135 Z349:AA354">
    <cfRule type="containsText" dxfId="1245" priority="816" operator="containsText" text="▽">
      <formula>NOT(ISERROR(SEARCH("▽",Z61)))</formula>
    </cfRule>
    <cfRule type="containsText" dxfId="1244" priority="815" operator="containsText" text="△">
      <formula>NOT(ISERROR(SEARCH("△",Z61)))</formula>
    </cfRule>
  </conditionalFormatting>
  <conditionalFormatting sqref="Z125 Z299:Z333">
    <cfRule type="containsText" dxfId="1243" priority="814" operator="containsText" text="▼">
      <formula>NOT(ISERROR(SEARCH("▼",Z125)))</formula>
    </cfRule>
    <cfRule type="containsText" dxfId="1242" priority="813" operator="containsText" text="▲">
      <formula>NOT(ISERROR(SEARCH("▲",Z125)))</formula>
    </cfRule>
  </conditionalFormatting>
  <conditionalFormatting sqref="Z127:Z138">
    <cfRule type="containsText" dxfId="1241" priority="795" operator="containsText" text="▲">
      <formula>NOT(ISERROR(SEARCH("▲",Z127)))</formula>
    </cfRule>
    <cfRule type="containsText" dxfId="1240" priority="796" operator="containsText" text="▼">
      <formula>NOT(ISERROR(SEARCH("▼",Z127)))</formula>
    </cfRule>
  </conditionalFormatting>
  <conditionalFormatting sqref="Z136:Z138">
    <cfRule type="containsText" dxfId="1239" priority="798" operator="containsText" text="▽">
      <formula>NOT(ISERROR(SEARCH("▽",Z136)))</formula>
    </cfRule>
    <cfRule type="containsText" dxfId="1238" priority="797" operator="containsText" text="△">
      <formula>NOT(ISERROR(SEARCH("△",Z136)))</formula>
    </cfRule>
  </conditionalFormatting>
  <conditionalFormatting sqref="Z139:Z141">
    <cfRule type="containsText" dxfId="1237" priority="790" operator="containsText" text="▼">
      <formula>NOT(ISERROR(SEARCH("▼",Z139)))</formula>
    </cfRule>
    <cfRule type="containsText" dxfId="1236" priority="787" operator="containsText" text="△">
      <formula>NOT(ISERROR(SEARCH("△",Z139)))</formula>
    </cfRule>
    <cfRule type="containsText" dxfId="1235" priority="788" operator="containsText" text="▽">
      <formula>NOT(ISERROR(SEARCH("▽",Z139)))</formula>
    </cfRule>
    <cfRule type="containsText" dxfId="1234" priority="789" operator="containsText" text="▲">
      <formula>NOT(ISERROR(SEARCH("▲",Z139)))</formula>
    </cfRule>
  </conditionalFormatting>
  <conditionalFormatting sqref="Z139:Z142">
    <cfRule type="containsText" dxfId="1233" priority="782" operator="containsText" text="▼">
      <formula>NOT(ISERROR(SEARCH("▼",Z139)))</formula>
    </cfRule>
    <cfRule type="cellIs" dxfId="1232" priority="779" operator="lessThan">
      <formula>0</formula>
    </cfRule>
    <cfRule type="containsText" dxfId="1231" priority="781" operator="containsText" text="▲">
      <formula>NOT(ISERROR(SEARCH("▲",Z139)))</formula>
    </cfRule>
    <cfRule type="cellIs" dxfId="1230" priority="780" operator="greaterThan">
      <formula>0</formula>
    </cfRule>
  </conditionalFormatting>
  <conditionalFormatting sqref="Z142">
    <cfRule type="containsText" dxfId="1229" priority="777" operator="containsText" text="△">
      <formula>NOT(ISERROR(SEARCH("△",Z142)))</formula>
    </cfRule>
    <cfRule type="containsText" dxfId="1228" priority="778" operator="containsText" text="▽">
      <formula>NOT(ISERROR(SEARCH("▽",Z142)))</formula>
    </cfRule>
  </conditionalFormatting>
  <conditionalFormatting sqref="Z143">
    <cfRule type="containsText" dxfId="1227" priority="775" operator="containsText" text="▲">
      <formula>NOT(ISERROR(SEARCH("▲",Z143)))</formula>
    </cfRule>
    <cfRule type="containsText" dxfId="1226" priority="776" operator="containsText" text="▼">
      <formula>NOT(ISERROR(SEARCH("▼",Z143)))</formula>
    </cfRule>
  </conditionalFormatting>
  <conditionalFormatting sqref="Z143:Z145">
    <cfRule type="containsText" dxfId="1225" priority="770" operator="containsText" text="▼">
      <formula>NOT(ISERROR(SEARCH("▼",Z143)))</formula>
    </cfRule>
    <cfRule type="containsText" dxfId="1224" priority="769" operator="containsText" text="▲">
      <formula>NOT(ISERROR(SEARCH("▲",Z143)))</formula>
    </cfRule>
  </conditionalFormatting>
  <conditionalFormatting sqref="Z143:Z152">
    <cfRule type="cellIs" dxfId="1223" priority="694" operator="greaterThan">
      <formula>0</formula>
    </cfRule>
    <cfRule type="cellIs" dxfId="1222" priority="693" operator="lessThan">
      <formula>0</formula>
    </cfRule>
  </conditionalFormatting>
  <conditionalFormatting sqref="Z144:Z146">
    <cfRule type="containsText" dxfId="1221" priority="764" operator="containsText" text="▼">
      <formula>NOT(ISERROR(SEARCH("▼",Z144)))</formula>
    </cfRule>
    <cfRule type="containsText" dxfId="1220" priority="763" operator="containsText" text="▲">
      <formula>NOT(ISERROR(SEARCH("▲",Z144)))</formula>
    </cfRule>
  </conditionalFormatting>
  <conditionalFormatting sqref="Z146:Z148">
    <cfRule type="containsText" dxfId="1219" priority="757" operator="containsText" text="▲">
      <formula>NOT(ISERROR(SEARCH("▲",Z146)))</formula>
    </cfRule>
    <cfRule type="containsText" dxfId="1218" priority="758" operator="containsText" text="▼">
      <formula>NOT(ISERROR(SEARCH("▼",Z146)))</formula>
    </cfRule>
  </conditionalFormatting>
  <conditionalFormatting sqref="Z147:Z152">
    <cfRule type="containsText" dxfId="1217" priority="696" operator="containsText" text="▼">
      <formula>NOT(ISERROR(SEARCH("▼",Z147)))</formula>
    </cfRule>
    <cfRule type="containsText" dxfId="1216" priority="695" operator="containsText" text="▲">
      <formula>NOT(ISERROR(SEARCH("▲",Z147)))</formula>
    </cfRule>
  </conditionalFormatting>
  <conditionalFormatting sqref="Z148">
    <cfRule type="containsText" dxfId="1215" priority="194" operator="containsText" text="▼">
      <formula>NOT(ISERROR(SEARCH("▼",Z148)))</formula>
    </cfRule>
    <cfRule type="containsText" dxfId="1214" priority="193" operator="containsText" text="▲">
      <formula>NOT(ISERROR(SEARCH("▲",Z148)))</formula>
    </cfRule>
    <cfRule type="cellIs" dxfId="1213" priority="192" operator="greaterThan">
      <formula>0</formula>
    </cfRule>
    <cfRule type="cellIs" dxfId="1212" priority="191" operator="lessThan">
      <formula>0</formula>
    </cfRule>
  </conditionalFormatting>
  <conditionalFormatting sqref="Z149:Z150">
    <cfRule type="containsText" dxfId="1211" priority="706" operator="containsText" text="▽">
      <formula>NOT(ISERROR(SEARCH("▽",Z149)))</formula>
    </cfRule>
    <cfRule type="containsText" dxfId="1210" priority="705" operator="containsText" text="△">
      <formula>NOT(ISERROR(SEARCH("△",Z149)))</formula>
    </cfRule>
  </conditionalFormatting>
  <conditionalFormatting sqref="Z152">
    <cfRule type="cellIs" dxfId="1209" priority="697" operator="lessThan">
      <formula>0</formula>
    </cfRule>
    <cfRule type="cellIs" dxfId="1208" priority="698" operator="greaterThan">
      <formula>0</formula>
    </cfRule>
  </conditionalFormatting>
  <conditionalFormatting sqref="Z153">
    <cfRule type="containsText" dxfId="1207" priority="733" operator="containsText" text="△">
      <formula>NOT(ISERROR(SEARCH("△",Z153)))</formula>
    </cfRule>
    <cfRule type="containsText" dxfId="1206" priority="734" operator="containsText" text="▽">
      <formula>NOT(ISERROR(SEARCH("▽",Z153)))</formula>
    </cfRule>
  </conditionalFormatting>
  <conditionalFormatting sqref="Z153:Z161 Z163:Z172">
    <cfRule type="containsText" dxfId="1205" priority="723" operator="containsText" text="▲">
      <formula>NOT(ISERROR(SEARCH("▲",Z153)))</formula>
    </cfRule>
    <cfRule type="containsText" dxfId="1204" priority="724" operator="containsText" text="▼">
      <formula>NOT(ISERROR(SEARCH("▼",Z153)))</formula>
    </cfRule>
  </conditionalFormatting>
  <conditionalFormatting sqref="Z155:Z161 Z163:Z172">
    <cfRule type="containsText" dxfId="1203" priority="728" operator="containsText" text="▼">
      <formula>NOT(ISERROR(SEARCH("▼",Z155)))</formula>
    </cfRule>
    <cfRule type="cellIs" dxfId="1202" priority="725" operator="lessThan">
      <formula>0</formula>
    </cfRule>
    <cfRule type="cellIs" dxfId="1201" priority="726" operator="greaterThan">
      <formula>0</formula>
    </cfRule>
    <cfRule type="containsText" dxfId="1200" priority="727" operator="containsText" text="▲">
      <formula>NOT(ISERROR(SEARCH("▲",Z155)))</formula>
    </cfRule>
  </conditionalFormatting>
  <conditionalFormatting sqref="Z156:Z161 Z163:Z172">
    <cfRule type="containsText" dxfId="1199" priority="712" operator="containsText" text="▼">
      <formula>NOT(ISERROR(SEARCH("▼",Z156)))</formula>
    </cfRule>
    <cfRule type="containsText" dxfId="1198" priority="711" operator="containsText" text="▲">
      <formula>NOT(ISERROR(SEARCH("▲",Z156)))</formula>
    </cfRule>
  </conditionalFormatting>
  <conditionalFormatting sqref="Z157:Z161 Z163:Z172">
    <cfRule type="containsText" dxfId="1197" priority="747" operator="containsText" text="▲">
      <formula>NOT(ISERROR(SEARCH("▲",Z157)))</formula>
    </cfRule>
    <cfRule type="containsText" dxfId="1196" priority="748" operator="containsText" text="▼">
      <formula>NOT(ISERROR(SEARCH("▼",Z157)))</formula>
    </cfRule>
  </conditionalFormatting>
  <conditionalFormatting sqref="Z158:Z161 Z163:Z172">
    <cfRule type="containsText" dxfId="1195" priority="715" operator="containsText" text="▲">
      <formula>NOT(ISERROR(SEARCH("▲",Z158)))</formula>
    </cfRule>
    <cfRule type="cellIs" dxfId="1194" priority="714" operator="greaterThan">
      <formula>0</formula>
    </cfRule>
    <cfRule type="cellIs" dxfId="1193" priority="713" operator="lessThan">
      <formula>0</formula>
    </cfRule>
    <cfRule type="containsText" dxfId="1192" priority="716" operator="containsText" text="▼">
      <formula>NOT(ISERROR(SEARCH("▼",Z158)))</formula>
    </cfRule>
  </conditionalFormatting>
  <conditionalFormatting sqref="Z159:Z161 Z163:Z172">
    <cfRule type="containsText" dxfId="1191" priority="676" operator="containsText" text="▼">
      <formula>NOT(ISERROR(SEARCH("▼",Z159)))</formula>
    </cfRule>
  </conditionalFormatting>
  <conditionalFormatting sqref="Z159:Z162">
    <cfRule type="cellIs" dxfId="1190" priority="662" operator="greaterThan">
      <formula>0</formula>
    </cfRule>
    <cfRule type="cellIs" dxfId="1189" priority="661" operator="lessThan">
      <formula>0</formula>
    </cfRule>
  </conditionalFormatting>
  <conditionalFormatting sqref="Z160:Z161 Z163:Z172">
    <cfRule type="cellIs" dxfId="1188" priority="749" operator="lessThan">
      <formula>0</formula>
    </cfRule>
    <cfRule type="cellIs" dxfId="1187" priority="750" operator="greaterThan">
      <formula>0</formula>
    </cfRule>
    <cfRule type="containsText" dxfId="1186" priority="751" operator="containsText" text="▲">
      <formula>NOT(ISERROR(SEARCH("▲",Z160)))</formula>
    </cfRule>
    <cfRule type="containsText" dxfId="1185" priority="752" operator="containsText" text="▼">
      <formula>NOT(ISERROR(SEARCH("▼",Z160)))</formula>
    </cfRule>
  </conditionalFormatting>
  <conditionalFormatting sqref="Z161 Z163:Z172">
    <cfRule type="containsText" dxfId="1184" priority="685" operator="containsText" text="▲">
      <formula>NOT(ISERROR(SEARCH("▲",Z161)))</formula>
    </cfRule>
    <cfRule type="containsText" dxfId="1183" priority="686" operator="containsText" text="▼">
      <formula>NOT(ISERROR(SEARCH("▼",Z161)))</formula>
    </cfRule>
  </conditionalFormatting>
  <conditionalFormatting sqref="Z162">
    <cfRule type="containsText" dxfId="1182" priority="633" operator="containsText" text="▲">
      <formula>NOT(ISERROR(SEARCH("▲",Z162)))</formula>
    </cfRule>
    <cfRule type="containsText" dxfId="1181" priority="634" operator="containsText" text="▼">
      <formula>NOT(ISERROR(SEARCH("▼",Z162)))</formula>
    </cfRule>
    <cfRule type="cellIs" dxfId="1180" priority="657" operator="lessThan">
      <formula>0</formula>
    </cfRule>
    <cfRule type="cellIs" dxfId="1179" priority="631" operator="lessThan">
      <formula>0</formula>
    </cfRule>
    <cfRule type="containsText" dxfId="1178" priority="655" operator="containsText" text="▲">
      <formula>NOT(ISERROR(SEARCH("▲",Z162)))</formula>
    </cfRule>
    <cfRule type="cellIs" dxfId="1177" priority="654" operator="greaterThan">
      <formula>0</formula>
    </cfRule>
    <cfRule type="cellIs" dxfId="1176" priority="653" operator="lessThan">
      <formula>0</formula>
    </cfRule>
    <cfRule type="containsText" dxfId="1175" priority="652" operator="containsText" text="▼">
      <formula>NOT(ISERROR(SEARCH("▼",Z162)))</formula>
    </cfRule>
    <cfRule type="containsText" dxfId="1174" priority="651" operator="containsText" text="▲">
      <formula>NOT(ISERROR(SEARCH("▲",Z162)))</formula>
    </cfRule>
    <cfRule type="cellIs" dxfId="1173" priority="650" operator="greaterThan">
      <formula>0</formula>
    </cfRule>
    <cfRule type="cellIs" dxfId="1172" priority="632" operator="greaterThan">
      <formula>0</formula>
    </cfRule>
    <cfRule type="cellIs" dxfId="1171" priority="638" operator="greaterThan">
      <formula>0</formula>
    </cfRule>
    <cfRule type="cellIs" dxfId="1170" priority="637" operator="lessThan">
      <formula>0</formula>
    </cfRule>
    <cfRule type="containsText" dxfId="1169" priority="644" operator="containsText" text="▼">
      <formula>NOT(ISERROR(SEARCH("▼",Z162)))</formula>
    </cfRule>
    <cfRule type="cellIs" dxfId="1168" priority="658" operator="greaterThan">
      <formula>0</formula>
    </cfRule>
    <cfRule type="cellIs" dxfId="1167" priority="645" operator="lessThan">
      <formula>0</formula>
    </cfRule>
    <cfRule type="cellIs" dxfId="1166" priority="642" operator="greaterThan">
      <formula>0</formula>
    </cfRule>
    <cfRule type="containsText" dxfId="1165" priority="656" operator="containsText" text="▼">
      <formula>NOT(ISERROR(SEARCH("▼",Z162)))</formula>
    </cfRule>
    <cfRule type="cellIs" dxfId="1164" priority="646" operator="greaterThan">
      <formula>0</formula>
    </cfRule>
    <cfRule type="containsText" dxfId="1163" priority="636" operator="containsText" text="▼">
      <formula>NOT(ISERROR(SEARCH("▼",Z162)))</formula>
    </cfRule>
    <cfRule type="containsText" dxfId="1162" priority="659" operator="containsText" text="▲">
      <formula>NOT(ISERROR(SEARCH("▲",Z162)))</formula>
    </cfRule>
    <cfRule type="containsText" dxfId="1161" priority="660" operator="containsText" text="▼">
      <formula>NOT(ISERROR(SEARCH("▼",Z162)))</formula>
    </cfRule>
    <cfRule type="containsText" dxfId="1160" priority="647" operator="containsText" text="▲">
      <formula>NOT(ISERROR(SEARCH("▲",Z162)))</formula>
    </cfRule>
    <cfRule type="containsText" dxfId="1159" priority="648" operator="containsText" text="▼">
      <formula>NOT(ISERROR(SEARCH("▼",Z162)))</formula>
    </cfRule>
    <cfRule type="cellIs" dxfId="1158" priority="641" operator="lessThan">
      <formula>0</formula>
    </cfRule>
    <cfRule type="containsText" dxfId="1157" priority="640" operator="containsText" text="▼">
      <formula>NOT(ISERROR(SEARCH("▼",Z162)))</formula>
    </cfRule>
    <cfRule type="containsText" dxfId="1156" priority="643" operator="containsText" text="▲">
      <formula>NOT(ISERROR(SEARCH("▲",Z162)))</formula>
    </cfRule>
    <cfRule type="containsText" dxfId="1155" priority="639" operator="containsText" text="▲">
      <formula>NOT(ISERROR(SEARCH("▲",Z162)))</formula>
    </cfRule>
    <cfRule type="cellIs" dxfId="1154" priority="649" operator="lessThan">
      <formula>0</formula>
    </cfRule>
    <cfRule type="containsText" dxfId="1153" priority="635" operator="containsText" text="▲">
      <formula>NOT(ISERROR(SEARCH("▲",Z162)))</formula>
    </cfRule>
  </conditionalFormatting>
  <conditionalFormatting sqref="Z163:Z172 Z153:Z161">
    <cfRule type="cellIs" dxfId="1152" priority="722" operator="greaterThan">
      <formula>0</formula>
    </cfRule>
    <cfRule type="cellIs" dxfId="1151" priority="721" operator="lessThan">
      <formula>0</formula>
    </cfRule>
  </conditionalFormatting>
  <conditionalFormatting sqref="Z163:Z172 Z156:Z161">
    <cfRule type="cellIs" dxfId="1150" priority="709" operator="lessThan">
      <formula>0</formula>
    </cfRule>
    <cfRule type="cellIs" dxfId="1149" priority="710" operator="greaterThan">
      <formula>0</formula>
    </cfRule>
  </conditionalFormatting>
  <conditionalFormatting sqref="Z163:Z172 Z157:Z161">
    <cfRule type="cellIs" dxfId="1148" priority="745" operator="lessThan">
      <formula>0</formula>
    </cfRule>
    <cfRule type="cellIs" dxfId="1147" priority="746" operator="greaterThan">
      <formula>0</formula>
    </cfRule>
  </conditionalFormatting>
  <conditionalFormatting sqref="Z163:Z172 Z159:Z161">
    <cfRule type="containsText" dxfId="1146" priority="675" operator="containsText" text="▲">
      <formula>NOT(ISERROR(SEARCH("▲",Z159)))</formula>
    </cfRule>
  </conditionalFormatting>
  <conditionalFormatting sqref="Z163:Z172 Z161">
    <cfRule type="cellIs" dxfId="1145" priority="683" operator="lessThan">
      <formula>0</formula>
    </cfRule>
    <cfRule type="cellIs" dxfId="1144" priority="684" operator="greaterThan">
      <formula>0</formula>
    </cfRule>
  </conditionalFormatting>
  <conditionalFormatting sqref="Z163:Z172">
    <cfRule type="cellIs" dxfId="1143" priority="673" operator="lessThan">
      <formula>0</formula>
    </cfRule>
    <cfRule type="cellIs" dxfId="1142" priority="674" operator="greaterThan">
      <formula>0</formula>
    </cfRule>
    <cfRule type="containsText" dxfId="1141" priority="678" operator="containsText" text="▼">
      <formula>NOT(ISERROR(SEARCH("▼",Z163)))</formula>
    </cfRule>
    <cfRule type="containsText" dxfId="1140" priority="677" operator="containsText" text="▲">
      <formula>NOT(ISERROR(SEARCH("▲",Z163)))</formula>
    </cfRule>
  </conditionalFormatting>
  <conditionalFormatting sqref="Z164:Z172">
    <cfRule type="containsText" dxfId="1139" priority="708" operator="containsText" text="▼">
      <formula>NOT(ISERROR(SEARCH("▼",Z164)))</formula>
    </cfRule>
    <cfRule type="containsText" dxfId="1138" priority="707" operator="containsText" text="▲">
      <formula>NOT(ISERROR(SEARCH("▲",Z164)))</formula>
    </cfRule>
  </conditionalFormatting>
  <conditionalFormatting sqref="Z166:Z172">
    <cfRule type="containsText" dxfId="1137" priority="743" operator="containsText" text="▲">
      <formula>NOT(ISERROR(SEARCH("▲",Z166)))</formula>
    </cfRule>
    <cfRule type="cellIs" dxfId="1136" priority="742" operator="greaterThan">
      <formula>0</formula>
    </cfRule>
    <cfRule type="cellIs" dxfId="1135" priority="741" operator="lessThan">
      <formula>0</formula>
    </cfRule>
    <cfRule type="containsText" dxfId="1134" priority="744" operator="containsText" text="▼">
      <formula>NOT(ISERROR(SEARCH("▼",Z166)))</formula>
    </cfRule>
  </conditionalFormatting>
  <conditionalFormatting sqref="Z167:Z172">
    <cfRule type="containsText" dxfId="1133" priority="720" operator="containsText" text="▼">
      <formula>NOT(ISERROR(SEARCH("▼",Z167)))</formula>
    </cfRule>
    <cfRule type="cellIs" dxfId="1132" priority="717" operator="lessThan">
      <formula>0</formula>
    </cfRule>
    <cfRule type="cellIs" dxfId="1131" priority="718" operator="greaterThan">
      <formula>0</formula>
    </cfRule>
    <cfRule type="containsText" dxfId="1130" priority="719" operator="containsText" text="▲">
      <formula>NOT(ISERROR(SEARCH("▲",Z167)))</formula>
    </cfRule>
  </conditionalFormatting>
  <conditionalFormatting sqref="Z168:Z172">
    <cfRule type="containsText" dxfId="1129" priority="691" operator="containsText" text="▲">
      <formula>NOT(ISERROR(SEARCH("▲",Z168)))</formula>
    </cfRule>
    <cfRule type="cellIs" dxfId="1128" priority="689" operator="lessThan">
      <formula>0</formula>
    </cfRule>
    <cfRule type="cellIs" dxfId="1127" priority="690" operator="greaterThan">
      <formula>0</formula>
    </cfRule>
    <cfRule type="containsText" dxfId="1126" priority="692" operator="containsText" text="▼">
      <formula>NOT(ISERROR(SEARCH("▼",Z168)))</formula>
    </cfRule>
  </conditionalFormatting>
  <conditionalFormatting sqref="Z169:Z172">
    <cfRule type="containsText" dxfId="1125" priority="687" operator="containsText" text="▲">
      <formula>NOT(ISERROR(SEARCH("▲",Z169)))</formula>
    </cfRule>
    <cfRule type="containsText" dxfId="1124" priority="688" operator="containsText" text="▼">
      <formula>NOT(ISERROR(SEARCH("▼",Z169)))</formula>
    </cfRule>
  </conditionalFormatting>
  <conditionalFormatting sqref="Z170:Z172">
    <cfRule type="cellIs" dxfId="1123" priority="680" operator="greaterThan">
      <formula>0</formula>
    </cfRule>
    <cfRule type="cellIs" dxfId="1122" priority="679" operator="lessThan">
      <formula>0</formula>
    </cfRule>
    <cfRule type="containsText" dxfId="1121" priority="681" operator="containsText" text="▲">
      <formula>NOT(ISERROR(SEARCH("▲",Z170)))</formula>
    </cfRule>
    <cfRule type="containsText" dxfId="1120" priority="682" operator="containsText" text="▼">
      <formula>NOT(ISERROR(SEARCH("▼",Z170)))</formula>
    </cfRule>
  </conditionalFormatting>
  <conditionalFormatting sqref="Z171:Z174">
    <cfRule type="cellIs" dxfId="1119" priority="259" operator="lessThan">
      <formula>0</formula>
    </cfRule>
    <cfRule type="cellIs" dxfId="1118" priority="260" operator="greaterThan">
      <formula>0</formula>
    </cfRule>
    <cfRule type="containsText" dxfId="1117" priority="263" operator="containsText" text="▲">
      <formula>NOT(ISERROR(SEARCH("▲",Z171)))</formula>
    </cfRule>
    <cfRule type="containsText" dxfId="1116" priority="264" operator="containsText" text="▼">
      <formula>NOT(ISERROR(SEARCH("▼",Z171)))</formula>
    </cfRule>
  </conditionalFormatting>
  <conditionalFormatting sqref="Z172">
    <cfRule type="cellIs" dxfId="1115" priority="670" operator="greaterThan">
      <formula>0</formula>
    </cfRule>
    <cfRule type="containsText" dxfId="1114" priority="671" operator="containsText" text="▲">
      <formula>NOT(ISERROR(SEARCH("▲",Z172)))</formula>
    </cfRule>
    <cfRule type="cellIs" dxfId="1113" priority="669" operator="lessThan">
      <formula>0</formula>
    </cfRule>
    <cfRule type="containsText" dxfId="1112" priority="672" operator="containsText" text="▼">
      <formula>NOT(ISERROR(SEARCH("▼",Z172)))</formula>
    </cfRule>
  </conditionalFormatting>
  <conditionalFormatting sqref="Z173">
    <cfRule type="containsText" dxfId="1111" priority="261" operator="containsText" text="▲">
      <formula>NOT(ISERROR(SEARCH("▲",Z173)))</formula>
    </cfRule>
    <cfRule type="containsText" dxfId="1110" priority="262" operator="containsText" text="▼">
      <formula>NOT(ISERROR(SEARCH("▼",Z173)))</formula>
    </cfRule>
  </conditionalFormatting>
  <conditionalFormatting sqref="Z174:Z189 Z289:Z295">
    <cfRule type="cellIs" dxfId="1109" priority="630" operator="greaterThan">
      <formula>0</formula>
    </cfRule>
    <cfRule type="cellIs" dxfId="1108" priority="629" operator="lessThan">
      <formula>0</formula>
    </cfRule>
  </conditionalFormatting>
  <conditionalFormatting sqref="Z174:Z189 Z292:Z295">
    <cfRule type="containsText" dxfId="1107" priority="623" operator="containsText" text="▲">
      <formula>NOT(ISERROR(SEARCH("▲",Z174)))</formula>
    </cfRule>
    <cfRule type="containsText" dxfId="1106" priority="624" operator="containsText" text="▼">
      <formula>NOT(ISERROR(SEARCH("▼",Z174)))</formula>
    </cfRule>
  </conditionalFormatting>
  <conditionalFormatting sqref="Z180:Z189">
    <cfRule type="containsText" dxfId="1105" priority="628" operator="containsText" text="▼">
      <formula>NOT(ISERROR(SEARCH("▼",Z180)))</formula>
    </cfRule>
    <cfRule type="containsText" dxfId="1104" priority="627" operator="containsText" text="▲">
      <formula>NOT(ISERROR(SEARCH("▲",Z180)))</formula>
    </cfRule>
  </conditionalFormatting>
  <conditionalFormatting sqref="Z185:Z189">
    <cfRule type="containsText" dxfId="1103" priority="626" operator="containsText" text="▼">
      <formula>NOT(ISERROR(SEARCH("▼",Z185)))</formula>
    </cfRule>
    <cfRule type="containsText" dxfId="1102" priority="625" operator="containsText" text="▲">
      <formula>NOT(ISERROR(SEARCH("▲",Z185)))</formula>
    </cfRule>
  </conditionalFormatting>
  <conditionalFormatting sqref="Z190">
    <cfRule type="containsText" dxfId="1101" priority="597" operator="containsText" text="▲">
      <formula>NOT(ISERROR(SEARCH("▲",Z190)))</formula>
    </cfRule>
    <cfRule type="containsText" dxfId="1100" priority="600" operator="containsText" text="▼">
      <formula>NOT(ISERROR(SEARCH("▼",Z190)))</formula>
    </cfRule>
    <cfRule type="containsText" dxfId="1099" priority="599" operator="containsText" text="▲">
      <formula>NOT(ISERROR(SEARCH("▲",Z190)))</formula>
    </cfRule>
    <cfRule type="containsText" dxfId="1098" priority="604" operator="containsText" text="▼">
      <formula>NOT(ISERROR(SEARCH("▼",Z190)))</formula>
    </cfRule>
    <cfRule type="containsText" dxfId="1097" priority="603" operator="containsText" text="▲">
      <formula>NOT(ISERROR(SEARCH("▲",Z190)))</formula>
    </cfRule>
    <cfRule type="containsText" dxfId="1096" priority="602" operator="containsText" text="▼">
      <formula>NOT(ISERROR(SEARCH("▼",Z190)))</formula>
    </cfRule>
    <cfRule type="cellIs" dxfId="1095" priority="605" operator="lessThan">
      <formula>0</formula>
    </cfRule>
    <cfRule type="cellIs" dxfId="1094" priority="606" operator="greaterThan">
      <formula>0</formula>
    </cfRule>
    <cfRule type="containsText" dxfId="1093" priority="607" operator="containsText" text="▲">
      <formula>NOT(ISERROR(SEARCH("▲",Z190)))</formula>
    </cfRule>
    <cfRule type="containsText" dxfId="1092" priority="608" operator="containsText" text="▼">
      <formula>NOT(ISERROR(SEARCH("▼",Z190)))</formula>
    </cfRule>
    <cfRule type="cellIs" dxfId="1091" priority="609" operator="lessThan">
      <formula>0</formula>
    </cfRule>
    <cfRule type="cellIs" dxfId="1090" priority="610" operator="greaterThan">
      <formula>0</formula>
    </cfRule>
    <cfRule type="containsText" dxfId="1089" priority="611" operator="containsText" text="△">
      <formula>NOT(ISERROR(SEARCH("△",Z190)))</formula>
    </cfRule>
    <cfRule type="containsText" dxfId="1088" priority="612" operator="containsText" text="▽">
      <formula>NOT(ISERROR(SEARCH("▽",Z190)))</formula>
    </cfRule>
    <cfRule type="containsText" dxfId="1087" priority="601" operator="containsText" text="▲">
      <formula>NOT(ISERROR(SEARCH("▲",Z190)))</formula>
    </cfRule>
    <cfRule type="containsText" dxfId="1086" priority="598" operator="containsText" text="▼">
      <formula>NOT(ISERROR(SEARCH("▼",Z190)))</formula>
    </cfRule>
  </conditionalFormatting>
  <conditionalFormatting sqref="Z190:Z216">
    <cfRule type="containsText" dxfId="1085" priority="550" operator="containsText" text="▼">
      <formula>NOT(ISERROR(SEARCH("▼",Z190)))</formula>
    </cfRule>
    <cfRule type="containsText" dxfId="1084" priority="549" operator="containsText" text="▲">
      <formula>NOT(ISERROR(SEARCH("▲",Z190)))</formula>
    </cfRule>
  </conditionalFormatting>
  <conditionalFormatting sqref="Z191">
    <cfRule type="cellIs" dxfId="1083" priority="507" operator="lessThan">
      <formula>0</formula>
    </cfRule>
    <cfRule type="cellIs" dxfId="1082" priority="508" operator="greaterThan">
      <formula>0</formula>
    </cfRule>
    <cfRule type="containsText" dxfId="1081" priority="509" operator="containsText" text="▲">
      <formula>NOT(ISERROR(SEARCH("▲",Z191)))</formula>
    </cfRule>
    <cfRule type="containsText" dxfId="1080" priority="510" operator="containsText" text="▼">
      <formula>NOT(ISERROR(SEARCH("▼",Z191)))</formula>
    </cfRule>
  </conditionalFormatting>
  <conditionalFormatting sqref="Z191:Z192">
    <cfRule type="containsText" dxfId="1079" priority="561" operator="containsText" text="△">
      <formula>NOT(ISERROR(SEARCH("△",Z191)))</formula>
    </cfRule>
    <cfRule type="containsText" dxfId="1078" priority="562" operator="containsText" text="▽">
      <formula>NOT(ISERROR(SEARCH("▽",Z191)))</formula>
    </cfRule>
  </conditionalFormatting>
  <conditionalFormatting sqref="Z191:Z216">
    <cfRule type="cellIs" dxfId="1077" priority="559" operator="lessThan">
      <formula>0</formula>
    </cfRule>
    <cfRule type="cellIs" dxfId="1076" priority="560" operator="greaterThan">
      <formula>0</formula>
    </cfRule>
  </conditionalFormatting>
  <conditionalFormatting sqref="Z194:Z216">
    <cfRule type="containsText" dxfId="1075" priority="552" operator="containsText" text="▼">
      <formula>NOT(ISERROR(SEARCH("▼",Z194)))</formula>
    </cfRule>
    <cfRule type="containsText" dxfId="1074" priority="551" operator="containsText" text="▲">
      <formula>NOT(ISERROR(SEARCH("▲",Z194)))</formula>
    </cfRule>
  </conditionalFormatting>
  <conditionalFormatting sqref="Z195:Z216">
    <cfRule type="containsText" dxfId="1073" priority="555" operator="containsText" text="▲">
      <formula>NOT(ISERROR(SEARCH("▲",Z195)))</formula>
    </cfRule>
    <cfRule type="containsText" dxfId="1072" priority="556" operator="containsText" text="▼">
      <formula>NOT(ISERROR(SEARCH("▼",Z195)))</formula>
    </cfRule>
  </conditionalFormatting>
  <conditionalFormatting sqref="Z196:Z216">
    <cfRule type="containsText" dxfId="1071" priority="546" operator="containsText" text="▼">
      <formula>NOT(ISERROR(SEARCH("▼",Z196)))</formula>
    </cfRule>
    <cfRule type="containsText" dxfId="1070" priority="545" operator="containsText" text="▲">
      <formula>NOT(ISERROR(SEARCH("▲",Z196)))</formula>
    </cfRule>
  </conditionalFormatting>
  <conditionalFormatting sqref="Z198:Z216">
    <cfRule type="containsText" dxfId="1069" priority="543" operator="containsText" text="▲">
      <formula>NOT(ISERROR(SEARCH("▲",Z198)))</formula>
    </cfRule>
    <cfRule type="containsText" dxfId="1068" priority="544" operator="containsText" text="▼">
      <formula>NOT(ISERROR(SEARCH("▼",Z198)))</formula>
    </cfRule>
  </conditionalFormatting>
  <conditionalFormatting sqref="Z199:Z216">
    <cfRule type="containsText" dxfId="1067" priority="557" operator="containsText" text="▲">
      <formula>NOT(ISERROR(SEARCH("▲",Z199)))</formula>
    </cfRule>
    <cfRule type="containsText" dxfId="1066" priority="558" operator="containsText" text="▼">
      <formula>NOT(ISERROR(SEARCH("▼",Z199)))</formula>
    </cfRule>
  </conditionalFormatting>
  <conditionalFormatting sqref="Z200:Z216">
    <cfRule type="containsText" dxfId="1065" priority="531" operator="containsText" text="▲">
      <formula>NOT(ISERROR(SEARCH("▲",Z200)))</formula>
    </cfRule>
    <cfRule type="containsText" dxfId="1064" priority="532" operator="containsText" text="▼">
      <formula>NOT(ISERROR(SEARCH("▼",Z200)))</formula>
    </cfRule>
  </conditionalFormatting>
  <conditionalFormatting sqref="Z201:Z216">
    <cfRule type="containsText" dxfId="1063" priority="534" operator="containsText" text="▼">
      <formula>NOT(ISERROR(SEARCH("▼",Z201)))</formula>
    </cfRule>
    <cfRule type="containsText" dxfId="1062" priority="533" operator="containsText" text="▲">
      <formula>NOT(ISERROR(SEARCH("▲",Z201)))</formula>
    </cfRule>
  </conditionalFormatting>
  <conditionalFormatting sqref="Z202:Z216">
    <cfRule type="containsText" dxfId="1061" priority="537" operator="containsText" text="▲">
      <formula>NOT(ISERROR(SEARCH("▲",Z202)))</formula>
    </cfRule>
    <cfRule type="containsText" dxfId="1060" priority="538" operator="containsText" text="▼">
      <formula>NOT(ISERROR(SEARCH("▼",Z202)))</formula>
    </cfRule>
  </conditionalFormatting>
  <conditionalFormatting sqref="Z204:Z216">
    <cfRule type="containsText" dxfId="1059" priority="536" operator="containsText" text="▼">
      <formula>NOT(ISERROR(SEARCH("▼",Z204)))</formula>
    </cfRule>
    <cfRule type="containsText" dxfId="1058" priority="535" operator="containsText" text="▲">
      <formula>NOT(ISERROR(SEARCH("▲",Z204)))</formula>
    </cfRule>
  </conditionalFormatting>
  <conditionalFormatting sqref="Z205:Z216">
    <cfRule type="containsText" dxfId="1057" priority="521" operator="containsText" text="▲">
      <formula>NOT(ISERROR(SEARCH("▲",Z205)))</formula>
    </cfRule>
    <cfRule type="containsText" dxfId="1056" priority="522" operator="containsText" text="▼">
      <formula>NOT(ISERROR(SEARCH("▼",Z205)))</formula>
    </cfRule>
  </conditionalFormatting>
  <conditionalFormatting sqref="Z206:Z216">
    <cfRule type="containsText" dxfId="1055" priority="515" operator="containsText" text="▲">
      <formula>NOT(ISERROR(SEARCH("▲",Z206)))</formula>
    </cfRule>
    <cfRule type="containsText" dxfId="1054" priority="516" operator="containsText" text="▼">
      <formula>NOT(ISERROR(SEARCH("▼",Z206)))</formula>
    </cfRule>
  </conditionalFormatting>
  <conditionalFormatting sqref="Z207:Z216">
    <cfRule type="containsText" dxfId="1053" priority="514" operator="containsText" text="▼">
      <formula>NOT(ISERROR(SEARCH("▼",Z207)))</formula>
    </cfRule>
    <cfRule type="containsText" dxfId="1052" priority="513" operator="containsText" text="▲">
      <formula>NOT(ISERROR(SEARCH("▲",Z207)))</formula>
    </cfRule>
  </conditionalFormatting>
  <conditionalFormatting sqref="Z208:Z216">
    <cfRule type="containsText" dxfId="1051" priority="520" operator="containsText" text="▼">
      <formula>NOT(ISERROR(SEARCH("▼",Z208)))</formula>
    </cfRule>
    <cfRule type="containsText" dxfId="1050" priority="519" operator="containsText" text="▲">
      <formula>NOT(ISERROR(SEARCH("▲",Z208)))</formula>
    </cfRule>
  </conditionalFormatting>
  <conditionalFormatting sqref="Z209">
    <cfRule type="containsText" dxfId="1049" priority="523" operator="containsText" text="▲">
      <formula>NOT(ISERROR(SEARCH("▲",Z209)))</formula>
    </cfRule>
    <cfRule type="containsText" dxfId="1048" priority="524" operator="containsText" text="▼">
      <formula>NOT(ISERROR(SEARCH("▼",Z209)))</formula>
    </cfRule>
  </conditionalFormatting>
  <conditionalFormatting sqref="Z210:Z216">
    <cfRule type="containsText" dxfId="1047" priority="528" operator="containsText" text="▼">
      <formula>NOT(ISERROR(SEARCH("▼",Z210)))</formula>
    </cfRule>
    <cfRule type="containsText" dxfId="1046" priority="527" operator="containsText" text="▲">
      <formula>NOT(ISERROR(SEARCH("▲",Z210)))</formula>
    </cfRule>
  </conditionalFormatting>
  <conditionalFormatting sqref="Z211:Z216">
    <cfRule type="containsText" dxfId="1045" priority="542" operator="containsText" text="▼">
      <formula>NOT(ISERROR(SEARCH("▼",Z211)))</formula>
    </cfRule>
    <cfRule type="containsText" dxfId="1044" priority="541" operator="containsText" text="▲">
      <formula>NOT(ISERROR(SEARCH("▲",Z211)))</formula>
    </cfRule>
  </conditionalFormatting>
  <conditionalFormatting sqref="Z212:Z216">
    <cfRule type="containsText" dxfId="1043" priority="518" operator="containsText" text="▼">
      <formula>NOT(ISERROR(SEARCH("▼",Z212)))</formula>
    </cfRule>
    <cfRule type="containsText" dxfId="1042" priority="517" operator="containsText" text="▲">
      <formula>NOT(ISERROR(SEARCH("▲",Z212)))</formula>
    </cfRule>
  </conditionalFormatting>
  <conditionalFormatting sqref="Z213:Z216">
    <cfRule type="containsText" dxfId="1041" priority="526" operator="containsText" text="▼">
      <formula>NOT(ISERROR(SEARCH("▼",Z213)))</formula>
    </cfRule>
    <cfRule type="containsText" dxfId="1040" priority="525" operator="containsText" text="▲">
      <formula>NOT(ISERROR(SEARCH("▲",Z213)))</formula>
    </cfRule>
  </conditionalFormatting>
  <conditionalFormatting sqref="Z214">
    <cfRule type="containsText" dxfId="1039" priority="530" operator="containsText" text="▼">
      <formula>NOT(ISERROR(SEARCH("▼",Z214)))</formula>
    </cfRule>
    <cfRule type="containsText" dxfId="1038" priority="529" operator="containsText" text="▲">
      <formula>NOT(ISERROR(SEARCH("▲",Z214)))</formula>
    </cfRule>
  </conditionalFormatting>
  <conditionalFormatting sqref="Z216">
    <cfRule type="cellIs" dxfId="1037" priority="506" operator="greaterThan">
      <formula>0</formula>
    </cfRule>
    <cfRule type="containsText" dxfId="1036" priority="504" operator="containsText" text="▼">
      <formula>NOT(ISERROR(SEARCH("▼",Z216)))</formula>
    </cfRule>
    <cfRule type="cellIs" dxfId="1035" priority="505" operator="lessThan">
      <formula>0</formula>
    </cfRule>
    <cfRule type="containsText" dxfId="1034" priority="503" operator="containsText" text="▲">
      <formula>NOT(ISERROR(SEARCH("▲",Z216)))</formula>
    </cfRule>
  </conditionalFormatting>
  <conditionalFormatting sqref="Z216:Z222">
    <cfRule type="containsText" dxfId="1033" priority="484" operator="containsText" text="▼">
      <formula>NOT(ISERROR(SEARCH("▼",Z216)))</formula>
    </cfRule>
    <cfRule type="containsText" dxfId="1032" priority="483" operator="containsText" text="▲">
      <formula>NOT(ISERROR(SEARCH("▲",Z216)))</formula>
    </cfRule>
  </conditionalFormatting>
  <conditionalFormatting sqref="Z217:Z222">
    <cfRule type="containsText" dxfId="1031" priority="488" operator="containsText" text="▽">
      <formula>NOT(ISERROR(SEARCH("▽",Z217)))</formula>
    </cfRule>
    <cfRule type="cellIs" dxfId="1030" priority="486" operator="greaterThan">
      <formula>0</formula>
    </cfRule>
    <cfRule type="cellIs" dxfId="1029" priority="485" operator="lessThan">
      <formula>0</formula>
    </cfRule>
    <cfRule type="containsText" dxfId="1028" priority="487" operator="containsText" text="△">
      <formula>NOT(ISERROR(SEARCH("△",Z217)))</formula>
    </cfRule>
  </conditionalFormatting>
  <conditionalFormatting sqref="Z222">
    <cfRule type="containsText" dxfId="1027" priority="479" operator="containsText" text="▲">
      <formula>NOT(ISERROR(SEARCH("▲",Z222)))</formula>
    </cfRule>
    <cfRule type="containsText" dxfId="1026" priority="480" operator="containsText" text="▼">
      <formula>NOT(ISERROR(SEARCH("▼",Z222)))</formula>
    </cfRule>
  </conditionalFormatting>
  <conditionalFormatting sqref="Z222:Z223">
    <cfRule type="containsText" dxfId="1025" priority="473" operator="containsText" text="▲">
      <formula>NOT(ISERROR(SEARCH("▲",Z222)))</formula>
    </cfRule>
    <cfRule type="containsText" dxfId="1024" priority="474" operator="containsText" text="▼">
      <formula>NOT(ISERROR(SEARCH("▼",Z222)))</formula>
    </cfRule>
  </conditionalFormatting>
  <conditionalFormatting sqref="Z223">
    <cfRule type="cellIs" dxfId="1023" priority="475" operator="lessThan">
      <formula>0</formula>
    </cfRule>
    <cfRule type="cellIs" dxfId="1022" priority="476" operator="greaterThan">
      <formula>0</formula>
    </cfRule>
  </conditionalFormatting>
  <conditionalFormatting sqref="Z223:Z224">
    <cfRule type="containsText" dxfId="1021" priority="467" operator="containsText" text="▲">
      <formula>NOT(ISERROR(SEARCH("▲",Z223)))</formula>
    </cfRule>
    <cfRule type="containsText" dxfId="1020" priority="468" operator="containsText" text="▼">
      <formula>NOT(ISERROR(SEARCH("▼",Z223)))</formula>
    </cfRule>
  </conditionalFormatting>
  <conditionalFormatting sqref="Z224">
    <cfRule type="cellIs" dxfId="1019" priority="469" operator="lessThan">
      <formula>0</formula>
    </cfRule>
    <cfRule type="cellIs" dxfId="1018" priority="470" operator="greaterThan">
      <formula>0</formula>
    </cfRule>
  </conditionalFormatting>
  <conditionalFormatting sqref="Z224:Z225">
    <cfRule type="containsText" dxfId="1017" priority="293" operator="containsText" text="▲">
      <formula>NOT(ISERROR(SEARCH("▲",Z224)))</formula>
    </cfRule>
    <cfRule type="containsText" dxfId="1016" priority="294" operator="containsText" text="▼">
      <formula>NOT(ISERROR(SEARCH("▼",Z224)))</formula>
    </cfRule>
  </conditionalFormatting>
  <conditionalFormatting sqref="Z225">
    <cfRule type="cellIs" dxfId="1015" priority="295" operator="lessThan">
      <formula>0</formula>
    </cfRule>
    <cfRule type="containsText" dxfId="1014" priority="291" operator="containsText" text="▲">
      <formula>NOT(ISERROR(SEARCH("▲",Z225)))</formula>
    </cfRule>
    <cfRule type="containsText" dxfId="1013" priority="292" operator="containsText" text="▼">
      <formula>NOT(ISERROR(SEARCH("▼",Z225)))</formula>
    </cfRule>
    <cfRule type="cellIs" dxfId="1012" priority="296" operator="greaterThan">
      <formula>0</formula>
    </cfRule>
  </conditionalFormatting>
  <conditionalFormatting sqref="Z226:Z249">
    <cfRule type="containsText" dxfId="1011" priority="464" operator="containsText" text="▽">
      <formula>NOT(ISERROR(SEARCH("▽",Z226)))</formula>
    </cfRule>
    <cfRule type="containsText" dxfId="1010" priority="463" operator="containsText" text="△">
      <formula>NOT(ISERROR(SEARCH("△",Z226)))</formula>
    </cfRule>
  </conditionalFormatting>
  <conditionalFormatting sqref="Z226:Z258">
    <cfRule type="containsText" dxfId="1009" priority="459" operator="containsText" text="▲">
      <formula>NOT(ISERROR(SEARCH("▲",Z226)))</formula>
    </cfRule>
    <cfRule type="containsText" dxfId="1008" priority="460" operator="containsText" text="▼">
      <formula>NOT(ISERROR(SEARCH("▼",Z226)))</formula>
    </cfRule>
    <cfRule type="cellIs" dxfId="1007" priority="461" operator="lessThan">
      <formula>0</formula>
    </cfRule>
    <cfRule type="cellIs" dxfId="1006" priority="462" operator="greaterThan">
      <formula>0</formula>
    </cfRule>
  </conditionalFormatting>
  <conditionalFormatting sqref="Z236">
    <cfRule type="containsText" dxfId="1005" priority="451" operator="containsText" text="▲">
      <formula>NOT(ISERROR(SEARCH("▲",Z236)))</formula>
    </cfRule>
    <cfRule type="containsText" dxfId="1004" priority="452" operator="containsText" text="▼">
      <formula>NOT(ISERROR(SEARCH("▼",Z236)))</formula>
    </cfRule>
  </conditionalFormatting>
  <conditionalFormatting sqref="Z259:Z270">
    <cfRule type="containsText" dxfId="1003" priority="440" operator="containsText" text="▼">
      <formula>NOT(ISERROR(SEARCH("▼",Z259)))</formula>
    </cfRule>
    <cfRule type="containsText" dxfId="1002" priority="439" operator="containsText" text="▲">
      <formula>NOT(ISERROR(SEARCH("▲",Z259)))</formula>
    </cfRule>
  </conditionalFormatting>
  <conditionalFormatting sqref="Z259:Z288">
    <cfRule type="cellIs" dxfId="1001" priority="442" operator="greaterThan">
      <formula>0</formula>
    </cfRule>
    <cfRule type="cellIs" dxfId="1000" priority="441" operator="lessThan">
      <formula>0</formula>
    </cfRule>
  </conditionalFormatting>
  <conditionalFormatting sqref="Z270">
    <cfRule type="cellIs" dxfId="999" priority="205" operator="lessThan">
      <formula>0</formula>
    </cfRule>
    <cfRule type="cellIs" dxfId="998" priority="206" operator="greaterThan">
      <formula>0</formula>
    </cfRule>
  </conditionalFormatting>
  <conditionalFormatting sqref="Z273">
    <cfRule type="containsText" dxfId="997" priority="430" operator="containsText" text="▼">
      <formula>NOT(ISERROR(SEARCH("▼",Z273)))</formula>
    </cfRule>
    <cfRule type="cellIs" dxfId="996" priority="431" operator="lessThan">
      <formula>0</formula>
    </cfRule>
    <cfRule type="containsText" dxfId="995" priority="429" operator="containsText" text="▲">
      <formula>NOT(ISERROR(SEARCH("▲",Z273)))</formula>
    </cfRule>
    <cfRule type="cellIs" dxfId="994" priority="432" operator="greaterThan">
      <formula>0</formula>
    </cfRule>
  </conditionalFormatting>
  <conditionalFormatting sqref="Z276:Z277">
    <cfRule type="containsText" dxfId="993" priority="418" operator="containsText" text="▼">
      <formula>NOT(ISERROR(SEARCH("▼",Z276)))</formula>
    </cfRule>
    <cfRule type="containsText" dxfId="992" priority="417" operator="containsText" text="▲">
      <formula>NOT(ISERROR(SEARCH("▲",Z276)))</formula>
    </cfRule>
  </conditionalFormatting>
  <conditionalFormatting sqref="Z281:Z283">
    <cfRule type="containsText" dxfId="991" priority="410" operator="containsText" text="▼">
      <formula>NOT(ISERROR(SEARCH("▼",Z281)))</formula>
    </cfRule>
    <cfRule type="containsText" dxfId="990" priority="409" operator="containsText" text="▲">
      <formula>NOT(ISERROR(SEARCH("▲",Z281)))</formula>
    </cfRule>
  </conditionalFormatting>
  <conditionalFormatting sqref="Z283">
    <cfRule type="containsText" dxfId="989" priority="408" operator="containsText" text="▼">
      <formula>NOT(ISERROR(SEARCH("▼",Z283)))</formula>
    </cfRule>
    <cfRule type="containsText" dxfId="988" priority="407" operator="containsText" text="▲">
      <formula>NOT(ISERROR(SEARCH("▲",Z283)))</formula>
    </cfRule>
    <cfRule type="cellIs" dxfId="987" priority="401" operator="lessThan">
      <formula>0</formula>
    </cfRule>
    <cfRule type="cellIs" dxfId="986" priority="402" operator="greaterThan">
      <formula>0</formula>
    </cfRule>
  </conditionalFormatting>
  <conditionalFormatting sqref="Z285:Z288">
    <cfRule type="cellIs" dxfId="985" priority="284" operator="greaterThan">
      <formula>0</formula>
    </cfRule>
    <cfRule type="containsText" dxfId="984" priority="285" operator="containsText" text="▲">
      <formula>NOT(ISERROR(SEARCH("▲",Z285)))</formula>
    </cfRule>
    <cfRule type="containsText" dxfId="983" priority="286" operator="containsText" text="▼">
      <formula>NOT(ISERROR(SEARCH("▼",Z285)))</formula>
    </cfRule>
    <cfRule type="cellIs" dxfId="982" priority="287" operator="lessThan">
      <formula>0</formula>
    </cfRule>
    <cfRule type="cellIs" dxfId="981" priority="288" operator="greaterThan">
      <formula>0</formula>
    </cfRule>
    <cfRule type="containsText" dxfId="980" priority="289" operator="containsText" text="△">
      <formula>NOT(ISERROR(SEARCH("△",Z285)))</formula>
    </cfRule>
    <cfRule type="containsText" dxfId="979" priority="290" operator="containsText" text="▽">
      <formula>NOT(ISERROR(SEARCH("▽",Z285)))</formula>
    </cfRule>
    <cfRule type="containsText" dxfId="978" priority="281" operator="containsText" text="▲">
      <formula>NOT(ISERROR(SEARCH("▲",Z285)))</formula>
    </cfRule>
    <cfRule type="containsText" dxfId="977" priority="271" operator="containsText" text="▲">
      <formula>NOT(ISERROR(SEARCH("▲",Z285)))</formula>
    </cfRule>
    <cfRule type="containsText" dxfId="976" priority="272" operator="containsText" text="▼">
      <formula>NOT(ISERROR(SEARCH("▼",Z285)))</formula>
    </cfRule>
    <cfRule type="containsText" dxfId="975" priority="273" operator="containsText" text="▲">
      <formula>NOT(ISERROR(SEARCH("▲",Z285)))</formula>
    </cfRule>
    <cfRule type="containsText" dxfId="974" priority="274" operator="containsText" text="▼">
      <formula>NOT(ISERROR(SEARCH("▼",Z285)))</formula>
    </cfRule>
    <cfRule type="containsText" dxfId="973" priority="275" operator="containsText" text="▲">
      <formula>NOT(ISERROR(SEARCH("▲",Z285)))</formula>
    </cfRule>
    <cfRule type="containsText" dxfId="972" priority="276" operator="containsText" text="▼">
      <formula>NOT(ISERROR(SEARCH("▼",Z285)))</formula>
    </cfRule>
    <cfRule type="containsText" dxfId="971" priority="277" operator="containsText" text="▲">
      <formula>NOT(ISERROR(SEARCH("▲",Z285)))</formula>
    </cfRule>
    <cfRule type="containsText" dxfId="970" priority="278" operator="containsText" text="▼">
      <formula>NOT(ISERROR(SEARCH("▼",Z285)))</formula>
    </cfRule>
    <cfRule type="cellIs" dxfId="969" priority="279" operator="lessThan">
      <formula>0</formula>
    </cfRule>
    <cfRule type="cellIs" dxfId="968" priority="280" operator="greaterThan">
      <formula>0</formula>
    </cfRule>
    <cfRule type="containsText" dxfId="967" priority="282" operator="containsText" text="▼">
      <formula>NOT(ISERROR(SEARCH("▼",Z285)))</formula>
    </cfRule>
    <cfRule type="cellIs" dxfId="966" priority="283" operator="lessThan">
      <formula>0</formula>
    </cfRule>
  </conditionalFormatting>
  <conditionalFormatting sqref="Z286:Z288">
    <cfRule type="cellIs" dxfId="965" priority="252" operator="greaterThan">
      <formula>0</formula>
    </cfRule>
    <cfRule type="containsText" dxfId="964" priority="250" operator="containsText" text="▼">
      <formula>NOT(ISERROR(SEARCH("▼",Z286)))</formula>
    </cfRule>
    <cfRule type="containsText" dxfId="963" priority="249" operator="containsText" text="▲">
      <formula>NOT(ISERROR(SEARCH("▲",Z286)))</formula>
    </cfRule>
    <cfRule type="cellIs" dxfId="962" priority="248" operator="greaterThan">
      <formula>0</formula>
    </cfRule>
    <cfRule type="cellIs" dxfId="961" priority="247" operator="lessThan">
      <formula>0</formula>
    </cfRule>
    <cfRule type="containsText" dxfId="960" priority="246" operator="containsText" text="▼">
      <formula>NOT(ISERROR(SEARCH("▼",Z286)))</formula>
    </cfRule>
    <cfRule type="containsText" dxfId="959" priority="245" operator="containsText" text="▲">
      <formula>NOT(ISERROR(SEARCH("▲",Z286)))</formula>
    </cfRule>
    <cfRule type="containsText" dxfId="958" priority="244" operator="containsText" text="▼">
      <formula>NOT(ISERROR(SEARCH("▼",Z286)))</formula>
    </cfRule>
    <cfRule type="containsText" dxfId="957" priority="243" operator="containsText" text="▲">
      <formula>NOT(ISERROR(SEARCH("▲",Z286)))</formula>
    </cfRule>
    <cfRule type="containsText" dxfId="956" priority="242" operator="containsText" text="▼">
      <formula>NOT(ISERROR(SEARCH("▼",Z286)))</formula>
    </cfRule>
    <cfRule type="containsText" dxfId="955" priority="241" operator="containsText" text="▲">
      <formula>NOT(ISERROR(SEARCH("▲",Z286)))</formula>
    </cfRule>
    <cfRule type="containsText" dxfId="954" priority="240" operator="containsText" text="▼">
      <formula>NOT(ISERROR(SEARCH("▼",Z286)))</formula>
    </cfRule>
    <cfRule type="containsText" dxfId="953" priority="239" operator="containsText" text="▲">
      <formula>NOT(ISERROR(SEARCH("▲",Z286)))</formula>
    </cfRule>
    <cfRule type="containsText" dxfId="952" priority="238" operator="containsText" text="▼">
      <formula>NOT(ISERROR(SEARCH("▼",Z286)))</formula>
    </cfRule>
    <cfRule type="containsText" dxfId="951" priority="237" operator="containsText" text="▲">
      <formula>NOT(ISERROR(SEARCH("▲",Z286)))</formula>
    </cfRule>
    <cfRule type="cellIs" dxfId="950" priority="255" operator="lessThan">
      <formula>0</formula>
    </cfRule>
    <cfRule type="cellIs" dxfId="949" priority="256" operator="greaterThan">
      <formula>0</formula>
    </cfRule>
    <cfRule type="containsText" dxfId="948" priority="257" operator="containsText" text="△">
      <formula>NOT(ISERROR(SEARCH("△",Z286)))</formula>
    </cfRule>
    <cfRule type="containsText" dxfId="947" priority="258" operator="containsText" text="▽">
      <formula>NOT(ISERROR(SEARCH("▽",Z286)))</formula>
    </cfRule>
    <cfRule type="cellIs" dxfId="946" priority="251" operator="lessThan">
      <formula>0</formula>
    </cfRule>
    <cfRule type="containsText" dxfId="945" priority="253" operator="containsText" text="▲">
      <formula>NOT(ISERROR(SEARCH("▲",Z286)))</formula>
    </cfRule>
    <cfRule type="containsText" dxfId="944" priority="254" operator="containsText" text="▼">
      <formula>NOT(ISERROR(SEARCH("▼",Z286)))</formula>
    </cfRule>
  </conditionalFormatting>
  <conditionalFormatting sqref="Z287:Z288">
    <cfRule type="containsText" dxfId="943" priority="230" operator="containsText" text="▽">
      <formula>NOT(ISERROR(SEARCH("▽",Z287)))</formula>
    </cfRule>
    <cfRule type="containsText" dxfId="942" priority="229" operator="containsText" text="△">
      <formula>NOT(ISERROR(SEARCH("△",Z287)))</formula>
    </cfRule>
    <cfRule type="containsText" dxfId="941" priority="212" operator="containsText" text="▼">
      <formula>NOT(ISERROR(SEARCH("▼",Z287)))</formula>
    </cfRule>
    <cfRule type="containsText" dxfId="940" priority="213" operator="containsText" text="▲">
      <formula>NOT(ISERROR(SEARCH("▲",Z287)))</formula>
    </cfRule>
    <cfRule type="cellIs" dxfId="939" priority="228" operator="greaterThan">
      <formula>0</formula>
    </cfRule>
    <cfRule type="cellIs" dxfId="938" priority="227" operator="lessThan">
      <formula>0</formula>
    </cfRule>
    <cfRule type="containsText" dxfId="937" priority="226" operator="containsText" text="▼">
      <formula>NOT(ISERROR(SEARCH("▼",Z287)))</formula>
    </cfRule>
    <cfRule type="containsText" dxfId="936" priority="225" operator="containsText" text="▲">
      <formula>NOT(ISERROR(SEARCH("▲",Z287)))</formula>
    </cfRule>
    <cfRule type="cellIs" dxfId="935" priority="224" operator="greaterThan">
      <formula>0</formula>
    </cfRule>
    <cfRule type="cellIs" dxfId="934" priority="223" operator="lessThan">
      <formula>0</formula>
    </cfRule>
    <cfRule type="containsText" dxfId="933" priority="222" operator="containsText" text="▼">
      <formula>NOT(ISERROR(SEARCH("▼",Z287)))</formula>
    </cfRule>
    <cfRule type="containsText" dxfId="932" priority="221" operator="containsText" text="▲">
      <formula>NOT(ISERROR(SEARCH("▲",Z287)))</formula>
    </cfRule>
    <cfRule type="cellIs" dxfId="931" priority="220" operator="greaterThan">
      <formula>0</formula>
    </cfRule>
    <cfRule type="cellIs" dxfId="930" priority="219" operator="lessThan">
      <formula>0</formula>
    </cfRule>
    <cfRule type="containsText" dxfId="929" priority="218" operator="containsText" text="▼">
      <formula>NOT(ISERROR(SEARCH("▼",Z287)))</formula>
    </cfRule>
    <cfRule type="containsText" dxfId="928" priority="217" operator="containsText" text="▲">
      <formula>NOT(ISERROR(SEARCH("▲",Z287)))</formula>
    </cfRule>
    <cfRule type="containsText" dxfId="927" priority="216" operator="containsText" text="▼">
      <formula>NOT(ISERROR(SEARCH("▼",Z287)))</formula>
    </cfRule>
    <cfRule type="containsText" dxfId="926" priority="214" operator="containsText" text="▼">
      <formula>NOT(ISERROR(SEARCH("▼",Z287)))</formula>
    </cfRule>
    <cfRule type="containsText" dxfId="925" priority="215" operator="containsText" text="▲">
      <formula>NOT(ISERROR(SEARCH("▲",Z287)))</formula>
    </cfRule>
    <cfRule type="containsText" dxfId="924" priority="210" operator="containsText" text="▼">
      <formula>NOT(ISERROR(SEARCH("▼",Z287)))</formula>
    </cfRule>
    <cfRule type="containsText" dxfId="923" priority="211" operator="containsText" text="▲">
      <formula>NOT(ISERROR(SEARCH("▲",Z287)))</formula>
    </cfRule>
    <cfRule type="containsText" dxfId="922" priority="207" operator="containsText" text="▲">
      <formula>NOT(ISERROR(SEARCH("▲",Z287)))</formula>
    </cfRule>
    <cfRule type="containsText" dxfId="921" priority="208" operator="containsText" text="▼">
      <formula>NOT(ISERROR(SEARCH("▼",Z287)))</formula>
    </cfRule>
    <cfRule type="containsText" dxfId="920" priority="209" operator="containsText" text="▲">
      <formula>NOT(ISERROR(SEARCH("▲",Z287)))</formula>
    </cfRule>
  </conditionalFormatting>
  <conditionalFormatting sqref="Z288">
    <cfRule type="containsText" dxfId="919" priority="147" operator="containsText" text="▲">
      <formula>NOT(ISERROR(SEARCH("▲",Z288)))</formula>
    </cfRule>
    <cfRule type="containsText" dxfId="918" priority="148" operator="containsText" text="▼">
      <formula>NOT(ISERROR(SEARCH("▼",Z288)))</formula>
    </cfRule>
    <cfRule type="containsText" dxfId="917" priority="145" operator="containsText" text="▲">
      <formula>NOT(ISERROR(SEARCH("▲",Z288)))</formula>
    </cfRule>
    <cfRule type="containsText" dxfId="916" priority="149" operator="containsText" text="▲">
      <formula>NOT(ISERROR(SEARCH("▲",Z288)))</formula>
    </cfRule>
    <cfRule type="containsText" dxfId="915" priority="150" operator="containsText" text="▼">
      <formula>NOT(ISERROR(SEARCH("▼",Z288)))</formula>
    </cfRule>
    <cfRule type="cellIs" dxfId="914" priority="159" operator="lessThan">
      <formula>0</formula>
    </cfRule>
    <cfRule type="containsText" dxfId="913" priority="151" operator="containsText" text="▲">
      <formula>NOT(ISERROR(SEARCH("▲",Z288)))</formula>
    </cfRule>
    <cfRule type="containsText" dxfId="912" priority="143" operator="containsText" text="▲">
      <formula>NOT(ISERROR(SEARCH("▲",Z288)))</formula>
    </cfRule>
    <cfRule type="containsText" dxfId="911" priority="144" operator="containsText" text="▼">
      <formula>NOT(ISERROR(SEARCH("▼",Z288)))</formula>
    </cfRule>
    <cfRule type="containsText" dxfId="910" priority="152" operator="containsText" text="▼">
      <formula>NOT(ISERROR(SEARCH("▼",Z288)))</formula>
    </cfRule>
    <cfRule type="containsText" dxfId="909" priority="153" operator="containsText" text="▲">
      <formula>NOT(ISERROR(SEARCH("▲",Z288)))</formula>
    </cfRule>
    <cfRule type="containsText" dxfId="908" priority="158" operator="containsText" text="▼">
      <formula>NOT(ISERROR(SEARCH("▼",Z288)))</formula>
    </cfRule>
    <cfRule type="containsText" dxfId="907" priority="154" operator="containsText" text="▼">
      <formula>NOT(ISERROR(SEARCH("▼",Z288)))</formula>
    </cfRule>
    <cfRule type="cellIs" dxfId="906" priority="155" operator="lessThan">
      <formula>0</formula>
    </cfRule>
    <cfRule type="containsText" dxfId="905" priority="146" operator="containsText" text="▼">
      <formula>NOT(ISERROR(SEARCH("▼",Z288)))</formula>
    </cfRule>
    <cfRule type="cellIs" dxfId="904" priority="160" operator="greaterThan">
      <formula>0</formula>
    </cfRule>
    <cfRule type="containsText" dxfId="903" priority="161" operator="containsText" text="▲">
      <formula>NOT(ISERROR(SEARCH("▲",Z288)))</formula>
    </cfRule>
    <cfRule type="containsText" dxfId="902" priority="162" operator="containsText" text="▼">
      <formula>NOT(ISERROR(SEARCH("▼",Z288)))</formula>
    </cfRule>
    <cfRule type="cellIs" dxfId="901" priority="163" operator="lessThan">
      <formula>0</formula>
    </cfRule>
    <cfRule type="cellIs" dxfId="900" priority="164" operator="greaterThan">
      <formula>0</formula>
    </cfRule>
    <cfRule type="containsText" dxfId="899" priority="165" operator="containsText" text="△">
      <formula>NOT(ISERROR(SEARCH("△",Z288)))</formula>
    </cfRule>
    <cfRule type="containsText" dxfId="898" priority="166" operator="containsText" text="▽">
      <formula>NOT(ISERROR(SEARCH("▽",Z288)))</formula>
    </cfRule>
    <cfRule type="containsText" dxfId="897" priority="157" operator="containsText" text="▲">
      <formula>NOT(ISERROR(SEARCH("▲",Z288)))</formula>
    </cfRule>
    <cfRule type="cellIs" dxfId="896" priority="156" operator="greaterThan">
      <formula>0</formula>
    </cfRule>
  </conditionalFormatting>
  <conditionalFormatting sqref="Z288:Z289">
    <cfRule type="containsText" dxfId="895" priority="125" operator="containsText" text="▲">
      <formula>NOT(ISERROR(SEARCH("▲",Z288)))</formula>
    </cfRule>
    <cfRule type="containsText" dxfId="894" priority="126" operator="containsText" text="▼">
      <formula>NOT(ISERROR(SEARCH("▼",Z288)))</formula>
    </cfRule>
  </conditionalFormatting>
  <conditionalFormatting sqref="Z289:Z292">
    <cfRule type="containsText" dxfId="893" priority="116" operator="containsText" text="▼">
      <formula>NOT(ISERROR(SEARCH("▼",Z289)))</formula>
    </cfRule>
    <cfRule type="containsText" dxfId="892" priority="117" operator="containsText" text="▲">
      <formula>NOT(ISERROR(SEARCH("▲",Z289)))</formula>
    </cfRule>
    <cfRule type="cellIs" dxfId="891" priority="119" operator="lessThan">
      <formula>0</formula>
    </cfRule>
    <cfRule type="containsText" dxfId="890" priority="113" operator="containsText" text="▲">
      <formula>NOT(ISERROR(SEARCH("▲",Z289)))</formula>
    </cfRule>
    <cfRule type="containsText" dxfId="889" priority="112" operator="containsText" text="▼">
      <formula>NOT(ISERROR(SEARCH("▼",Z289)))</formula>
    </cfRule>
    <cfRule type="cellIs" dxfId="888" priority="120" operator="greaterThan">
      <formula>0</formula>
    </cfRule>
    <cfRule type="containsText" dxfId="887" priority="110" operator="containsText" text="▼">
      <formula>NOT(ISERROR(SEARCH("▼",Z289)))</formula>
    </cfRule>
    <cfRule type="containsText" dxfId="886" priority="108" operator="containsText" text="▼">
      <formula>NOT(ISERROR(SEARCH("▼",Z289)))</formula>
    </cfRule>
    <cfRule type="containsText" dxfId="885" priority="109" operator="containsText" text="▲">
      <formula>NOT(ISERROR(SEARCH("▲",Z289)))</formula>
    </cfRule>
    <cfRule type="containsText" dxfId="884" priority="114" operator="containsText" text="▼">
      <formula>NOT(ISERROR(SEARCH("▼",Z289)))</formula>
    </cfRule>
    <cfRule type="containsText" dxfId="883" priority="118" operator="containsText" text="▼">
      <formula>NOT(ISERROR(SEARCH("▼",Z289)))</formula>
    </cfRule>
    <cfRule type="containsText" dxfId="882" priority="129" operator="containsText" text="△">
      <formula>NOT(ISERROR(SEARCH("△",Z289)))</formula>
    </cfRule>
    <cfRule type="containsText" dxfId="881" priority="130" operator="containsText" text="▽">
      <formula>NOT(ISERROR(SEARCH("▽",Z289)))</formula>
    </cfRule>
    <cfRule type="containsText" dxfId="880" priority="115" operator="containsText" text="▲">
      <formula>NOT(ISERROR(SEARCH("▲",Z289)))</formula>
    </cfRule>
    <cfRule type="containsText" dxfId="879" priority="106" operator="containsText" text="▼">
      <formula>NOT(ISERROR(SEARCH("▼",Z289)))</formula>
    </cfRule>
    <cfRule type="containsText" dxfId="878" priority="107" operator="containsText" text="▲">
      <formula>NOT(ISERROR(SEARCH("▲",Z289)))</formula>
    </cfRule>
    <cfRule type="containsText" dxfId="877" priority="104" operator="containsText" text="▼">
      <formula>NOT(ISERROR(SEARCH("▼",Z289)))</formula>
    </cfRule>
    <cfRule type="containsText" dxfId="876" priority="103" operator="containsText" text="▲">
      <formula>NOT(ISERROR(SEARCH("▲",Z289)))</formula>
    </cfRule>
    <cfRule type="cellIs" dxfId="875" priority="124" operator="greaterThan">
      <formula>0</formula>
    </cfRule>
    <cfRule type="cellIs" dxfId="874" priority="123" operator="lessThan">
      <formula>0</formula>
    </cfRule>
    <cfRule type="containsText" dxfId="873" priority="111" operator="containsText" text="▲">
      <formula>NOT(ISERROR(SEARCH("▲",Z289)))</formula>
    </cfRule>
    <cfRule type="containsText" dxfId="872" priority="105" operator="containsText" text="▲">
      <formula>NOT(ISERROR(SEARCH("▲",Z289)))</formula>
    </cfRule>
  </conditionalFormatting>
  <conditionalFormatting sqref="Z289:Z295">
    <cfRule type="containsText" dxfId="871" priority="122" operator="containsText" text="▼">
      <formula>NOT(ISERROR(SEARCH("▼",Z289)))</formula>
    </cfRule>
    <cfRule type="containsText" dxfId="870" priority="121" operator="containsText" text="▲">
      <formula>NOT(ISERROR(SEARCH("▲",Z289)))</formula>
    </cfRule>
  </conditionalFormatting>
  <conditionalFormatting sqref="Z296">
    <cfRule type="cellIs" dxfId="869" priority="69" operator="lessThan">
      <formula>0</formula>
    </cfRule>
    <cfRule type="cellIs" dxfId="868" priority="70" operator="greaterThan">
      <formula>0</formula>
    </cfRule>
    <cfRule type="containsText" dxfId="867" priority="71" operator="containsText" text="▲">
      <formula>NOT(ISERROR(SEARCH("▲",Z296)))</formula>
    </cfRule>
    <cfRule type="containsText" dxfId="866" priority="72" operator="containsText" text="▼">
      <formula>NOT(ISERROR(SEARCH("▼",Z296)))</formula>
    </cfRule>
  </conditionalFormatting>
  <conditionalFormatting sqref="Z296:Z298">
    <cfRule type="containsText" dxfId="865" priority="74" operator="containsText" text="▼">
      <formula>NOT(ISERROR(SEARCH("▼",Z296)))</formula>
    </cfRule>
    <cfRule type="containsText" dxfId="864" priority="73" operator="containsText" text="▲">
      <formula>NOT(ISERROR(SEARCH("▲",Z296)))</formula>
    </cfRule>
  </conditionalFormatting>
  <conditionalFormatting sqref="Z297:Z333">
    <cfRule type="cellIs" dxfId="863" priority="101" operator="lessThan">
      <formula>0</formula>
    </cfRule>
    <cfRule type="cellIs" dxfId="862" priority="102" operator="greaterThan">
      <formula>0</formula>
    </cfRule>
  </conditionalFormatting>
  <conditionalFormatting sqref="Z320">
    <cfRule type="containsText" dxfId="861" priority="97" operator="containsText" text="▲">
      <formula>NOT(ISERROR(SEARCH("▲",Z320)))</formula>
    </cfRule>
    <cfRule type="containsText" dxfId="860" priority="98" operator="containsText" text="▼">
      <formula>NOT(ISERROR(SEARCH("▼",Z320)))</formula>
    </cfRule>
    <cfRule type="containsText" dxfId="859" priority="99" operator="containsText" text="▲">
      <formula>NOT(ISERROR(SEARCH("▲",Z320)))</formula>
    </cfRule>
    <cfRule type="containsText" dxfId="858" priority="100" operator="containsText" text="▼">
      <formula>NOT(ISERROR(SEARCH("▼",Z320)))</formula>
    </cfRule>
  </conditionalFormatting>
  <conditionalFormatting sqref="Z322">
    <cfRule type="containsText" dxfId="857" priority="85" operator="containsText" text="▲">
      <formula>NOT(ISERROR(SEARCH("▲",Z322)))</formula>
    </cfRule>
    <cfRule type="containsText" dxfId="856" priority="86" operator="containsText" text="▼">
      <formula>NOT(ISERROR(SEARCH("▼",Z322)))</formula>
    </cfRule>
  </conditionalFormatting>
  <conditionalFormatting sqref="Z324:Z326">
    <cfRule type="containsText" dxfId="855" priority="60" operator="containsText" text="▼">
      <formula>NOT(ISERROR(SEARCH("▼",Z324)))</formula>
    </cfRule>
    <cfRule type="containsText" dxfId="854" priority="59" operator="containsText" text="▲">
      <formula>NOT(ISERROR(SEARCH("▲",Z324)))</formula>
    </cfRule>
  </conditionalFormatting>
  <conditionalFormatting sqref="Z325">
    <cfRule type="containsText" dxfId="853" priority="57" operator="containsText" text="▲">
      <formula>NOT(ISERROR(SEARCH("▲",Z325)))</formula>
    </cfRule>
    <cfRule type="containsText" dxfId="852" priority="58" operator="containsText" text="▼">
      <formula>NOT(ISERROR(SEARCH("▼",Z325)))</formula>
    </cfRule>
  </conditionalFormatting>
  <conditionalFormatting sqref="Z325:Z326">
    <cfRule type="cellIs" dxfId="851" priority="64" operator="greaterThan">
      <formula>0</formula>
    </cfRule>
    <cfRule type="cellIs" dxfId="850" priority="63" operator="lessThan">
      <formula>0</formula>
    </cfRule>
  </conditionalFormatting>
  <conditionalFormatting sqref="Z334">
    <cfRule type="containsText" dxfId="849" priority="39" operator="containsText" text="▲">
      <formula>NOT(ISERROR(SEARCH("▲",Z334)))</formula>
    </cfRule>
    <cfRule type="containsText" dxfId="848" priority="40" operator="containsText" text="▼">
      <formula>NOT(ISERROR(SEARCH("▼",Z334)))</formula>
    </cfRule>
    <cfRule type="cellIs" dxfId="847" priority="41" operator="lessThan">
      <formula>0</formula>
    </cfRule>
    <cfRule type="cellIs" dxfId="846" priority="42" operator="greaterThan">
      <formula>0</formula>
    </cfRule>
    <cfRule type="containsText" dxfId="845" priority="43" operator="containsText" text="▲">
      <formula>NOT(ISERROR(SEARCH("▲",Z334)))</formula>
    </cfRule>
    <cfRule type="containsText" dxfId="844" priority="44" operator="containsText" text="▼">
      <formula>NOT(ISERROR(SEARCH("▼",Z334)))</formula>
    </cfRule>
  </conditionalFormatting>
  <conditionalFormatting sqref="Z334:Z335">
    <cfRule type="containsText" dxfId="843" priority="34" operator="containsText" text="▼">
      <formula>NOT(ISERROR(SEARCH("▼",Z334)))</formula>
    </cfRule>
    <cfRule type="containsText" dxfId="842" priority="33" operator="containsText" text="▲">
      <formula>NOT(ISERROR(SEARCH("▲",Z334)))</formula>
    </cfRule>
  </conditionalFormatting>
  <conditionalFormatting sqref="Z335">
    <cfRule type="cellIs" dxfId="841" priority="36" operator="greaterThan">
      <formula>0</formula>
    </cfRule>
    <cfRule type="cellIs" dxfId="840" priority="35" operator="lessThan">
      <formula>0</formula>
    </cfRule>
    <cfRule type="containsText" dxfId="839" priority="32" operator="containsText" text="▼">
      <formula>NOT(ISERROR(SEARCH("▼",Z335)))</formula>
    </cfRule>
    <cfRule type="containsText" dxfId="838" priority="31" operator="containsText" text="▲">
      <formula>NOT(ISERROR(SEARCH("▲",Z335)))</formula>
    </cfRule>
  </conditionalFormatting>
  <conditionalFormatting sqref="Z335:Z338">
    <cfRule type="containsText" dxfId="837" priority="19" operator="containsText" text="▲">
      <formula>NOT(ISERROR(SEARCH("▲",Z335)))</formula>
    </cfRule>
    <cfRule type="containsText" dxfId="836" priority="20" operator="containsText" text="▼">
      <formula>NOT(ISERROR(SEARCH("▼",Z335)))</formula>
    </cfRule>
  </conditionalFormatting>
  <conditionalFormatting sqref="Z336:Z338">
    <cfRule type="cellIs" dxfId="835" priority="18" operator="greaterThan">
      <formula>0</formula>
    </cfRule>
    <cfRule type="cellIs" dxfId="834" priority="17" operator="lessThan">
      <formula>0</formula>
    </cfRule>
  </conditionalFormatting>
  <conditionalFormatting sqref="Z338:Z342">
    <cfRule type="containsText" dxfId="833" priority="8" operator="containsText" text="▼">
      <formula>NOT(ISERROR(SEARCH("▼",Z338)))</formula>
    </cfRule>
    <cfRule type="containsText" dxfId="832" priority="7" operator="containsText" text="▲">
      <formula>NOT(ISERROR(SEARCH("▲",Z338)))</formula>
    </cfRule>
  </conditionalFormatting>
  <conditionalFormatting sqref="Z339:Z343">
    <cfRule type="cellIs" dxfId="831" priority="1" operator="lessThan">
      <formula>0</formula>
    </cfRule>
    <cfRule type="cellIs" dxfId="830" priority="2" operator="greaterThan">
      <formula>0</formula>
    </cfRule>
  </conditionalFormatting>
  <conditionalFormatting sqref="Z340:Z341">
    <cfRule type="containsText" dxfId="829" priority="4" operator="containsText" text="▼">
      <formula>NOT(ISERROR(SEARCH("▼",Z340)))</formula>
    </cfRule>
    <cfRule type="containsText" dxfId="828" priority="3" operator="containsText" text="▲">
      <formula>NOT(ISERROR(SEARCH("▲",Z340)))</formula>
    </cfRule>
  </conditionalFormatting>
  <conditionalFormatting sqref="Z343:Z345">
    <cfRule type="containsText" dxfId="827" priority="299" operator="containsText" text="▲">
      <formula>NOT(ISERROR(SEARCH("▲",Z343)))</formula>
    </cfRule>
    <cfRule type="containsText" dxfId="826" priority="300" operator="containsText" text="▼">
      <formula>NOT(ISERROR(SEARCH("▼",Z343)))</formula>
    </cfRule>
  </conditionalFormatting>
  <conditionalFormatting sqref="Z344">
    <cfRule type="containsText" dxfId="825" priority="298" operator="containsText" text="▽">
      <formula>NOT(ISERROR(SEARCH("▽",Z344)))</formula>
    </cfRule>
    <cfRule type="containsText" dxfId="824" priority="297" operator="containsText" text="△">
      <formula>NOT(ISERROR(SEARCH("△",Z344)))</formula>
    </cfRule>
  </conditionalFormatting>
  <conditionalFormatting sqref="Z344:Z345">
    <cfRule type="cellIs" dxfId="823" priority="301" operator="lessThan">
      <formula>0</formula>
    </cfRule>
    <cfRule type="cellIs" dxfId="822" priority="302" operator="greaterThan">
      <formula>0</formula>
    </cfRule>
  </conditionalFormatting>
  <conditionalFormatting sqref="Z346">
    <cfRule type="cellIs" dxfId="821" priority="1376" operator="greaterThan">
      <formula>0</formula>
    </cfRule>
    <cfRule type="cellIs" dxfId="820" priority="1375" operator="lessThan">
      <formula>0</formula>
    </cfRule>
    <cfRule type="containsText" dxfId="819" priority="1373" operator="containsText" text="△">
      <formula>NOT(ISERROR(SEARCH("△",Z346)))</formula>
    </cfRule>
    <cfRule type="containsText" dxfId="818" priority="1374" operator="containsText" text="▽">
      <formula>NOT(ISERROR(SEARCH("▽",Z346)))</formula>
    </cfRule>
  </conditionalFormatting>
  <conditionalFormatting sqref="Z1:AA1 Z271:AA271 Z272:Z288 AA272:AA339 Z347:AB348 Z356:AB1048576">
    <cfRule type="containsText" dxfId="817" priority="2302" operator="containsText" text="▽">
      <formula>NOT(ISERROR(SEARCH("▽",Z1)))</formula>
    </cfRule>
  </conditionalFormatting>
  <conditionalFormatting sqref="Z148:AA148">
    <cfRule type="containsText" dxfId="816" priority="196" operator="containsText" text="▼">
      <formula>NOT(ISERROR(SEARCH("▼",Z148)))</formula>
    </cfRule>
    <cfRule type="containsText" dxfId="815" priority="195" operator="containsText" text="▲">
      <formula>NOT(ISERROR(SEARCH("▲",Z148)))</formula>
    </cfRule>
  </conditionalFormatting>
  <conditionalFormatting sqref="Z152:AA152">
    <cfRule type="containsText" dxfId="814" priority="699" operator="containsText" text="▲">
      <formula>NOT(ISERROR(SEARCH("▲",Z152)))</formula>
    </cfRule>
    <cfRule type="containsText" dxfId="813" priority="700" operator="containsText" text="▼">
      <formula>NOT(ISERROR(SEARCH("▼",Z152)))</formula>
    </cfRule>
  </conditionalFormatting>
  <conditionalFormatting sqref="Z162:AA162">
    <cfRule type="containsText" dxfId="812" priority="664" operator="containsText" text="▼">
      <formula>NOT(ISERROR(SEARCH("▼",Z162)))</formula>
    </cfRule>
    <cfRule type="containsText" dxfId="811" priority="663" operator="containsText" text="▲">
      <formula>NOT(ISERROR(SEARCH("▲",Z162)))</formula>
    </cfRule>
  </conditionalFormatting>
  <conditionalFormatting sqref="Z174:AA174">
    <cfRule type="containsText" dxfId="810" priority="617" operator="containsText" text="△">
      <formula>NOT(ISERROR(SEARCH("△",Z174)))</formula>
    </cfRule>
    <cfRule type="containsText" dxfId="809" priority="618" operator="containsText" text="▽">
      <formula>NOT(ISERROR(SEARCH("▽",Z174)))</formula>
    </cfRule>
  </conditionalFormatting>
  <conditionalFormatting sqref="Z186:AA187">
    <cfRule type="containsText" dxfId="808" priority="620" operator="containsText" text="▼">
      <formula>NOT(ISERROR(SEARCH("▼",Z186)))</formula>
    </cfRule>
    <cfRule type="containsText" dxfId="807" priority="619" operator="containsText" text="▲">
      <formula>NOT(ISERROR(SEARCH("▲",Z186)))</formula>
    </cfRule>
  </conditionalFormatting>
  <conditionalFormatting sqref="Z191:AA191">
    <cfRule type="containsText" dxfId="806" priority="511" operator="containsText" text="△">
      <formula>NOT(ISERROR(SEARCH("△",Z191)))</formula>
    </cfRule>
    <cfRule type="containsText" dxfId="805" priority="512" operator="containsText" text="▽">
      <formula>NOT(ISERROR(SEARCH("▽",Z191)))</formula>
    </cfRule>
  </conditionalFormatting>
  <conditionalFormatting sqref="Z222:AA222">
    <cfRule type="containsText" dxfId="804" priority="481" operator="containsText" text="▲">
      <formula>NOT(ISERROR(SEARCH("▲",Z222)))</formula>
    </cfRule>
    <cfRule type="containsText" dxfId="803" priority="482" operator="containsText" text="▼">
      <formula>NOT(ISERROR(SEARCH("▼",Z222)))</formula>
    </cfRule>
  </conditionalFormatting>
  <conditionalFormatting sqref="Z232:AA232">
    <cfRule type="containsText" dxfId="802" priority="449" operator="containsText" text="▲">
      <formula>NOT(ISERROR(SEARCH("▲",Z232)))</formula>
    </cfRule>
    <cfRule type="containsText" dxfId="801" priority="450" operator="containsText" text="▼">
      <formula>NOT(ISERROR(SEARCH("▼",Z232)))</formula>
    </cfRule>
  </conditionalFormatting>
  <conditionalFormatting sqref="Z236:AA236">
    <cfRule type="containsText" dxfId="800" priority="454" operator="containsText" text="▼">
      <formula>NOT(ISERROR(SEARCH("▼",Z236)))</formula>
    </cfRule>
    <cfRule type="containsText" dxfId="799" priority="453" operator="containsText" text="▲">
      <formula>NOT(ISERROR(SEARCH("▲",Z236)))</formula>
    </cfRule>
  </conditionalFormatting>
  <conditionalFormatting sqref="Z243:AA249">
    <cfRule type="containsText" dxfId="798" priority="445" operator="containsText" text="▲">
      <formula>NOT(ISERROR(SEARCH("▲",Z243)))</formula>
    </cfRule>
    <cfRule type="containsText" dxfId="797" priority="446" operator="containsText" text="▼">
      <formula>NOT(ISERROR(SEARCH("▼",Z243)))</formula>
    </cfRule>
  </conditionalFormatting>
  <conditionalFormatting sqref="Z244:AA249">
    <cfRule type="containsText" dxfId="796" priority="447" operator="containsText" text="▲">
      <formula>NOT(ISERROR(SEARCH("▲",Z244)))</formula>
    </cfRule>
    <cfRule type="containsText" dxfId="795" priority="448" operator="containsText" text="▼">
      <formula>NOT(ISERROR(SEARCH("▼",Z244)))</formula>
    </cfRule>
  </conditionalFormatting>
  <conditionalFormatting sqref="Z246:AA249">
    <cfRule type="containsText" dxfId="794" priority="457" operator="containsText" text="▲">
      <formula>NOT(ISERROR(SEARCH("▲",Z246)))</formula>
    </cfRule>
    <cfRule type="containsText" dxfId="793" priority="458" operator="containsText" text="▼">
      <formula>NOT(ISERROR(SEARCH("▼",Z246)))</formula>
    </cfRule>
  </conditionalFormatting>
  <conditionalFormatting sqref="Z247:AA249">
    <cfRule type="containsText" dxfId="792" priority="444" operator="containsText" text="▼">
      <formula>NOT(ISERROR(SEARCH("▼",Z247)))</formula>
    </cfRule>
    <cfRule type="containsText" dxfId="791" priority="443" operator="containsText" text="▲">
      <formula>NOT(ISERROR(SEARCH("▲",Z247)))</formula>
    </cfRule>
  </conditionalFormatting>
  <conditionalFormatting sqref="Z270:AA270">
    <cfRule type="containsText" dxfId="790" priority="203" operator="containsText" text="▲">
      <formula>NOT(ISERROR(SEARCH("▲",Z270)))</formula>
    </cfRule>
    <cfRule type="containsText" dxfId="789" priority="204" operator="containsText" text="▼">
      <formula>NOT(ISERROR(SEARCH("▼",Z270)))</formula>
    </cfRule>
  </conditionalFormatting>
  <conditionalFormatting sqref="Z271:AA271 Z272:Z288 AA272:AA339 Z1:AA1 Z347:AB348 Z356:AB1048576">
    <cfRule type="containsText" dxfId="788" priority="2301" operator="containsText" text="△">
      <formula>NOT(ISERROR(SEARCH("△",Z1)))</formula>
    </cfRule>
  </conditionalFormatting>
  <conditionalFormatting sqref="AA2:AA8">
    <cfRule type="containsText" dxfId="787" priority="2286" operator="containsText" text="▽">
      <formula>NOT(ISERROR(SEARCH("▽",AA2)))</formula>
    </cfRule>
    <cfRule type="containsText" dxfId="786" priority="2285" operator="containsText" text="△">
      <formula>NOT(ISERROR(SEARCH("△",AA2)))</formula>
    </cfRule>
  </conditionalFormatting>
  <conditionalFormatting sqref="AA3:AA4">
    <cfRule type="containsText" dxfId="785" priority="2296" operator="containsText" text="▽">
      <formula>NOT(ISERROR(SEARCH("▽",AA3)))</formula>
    </cfRule>
    <cfRule type="containsText" dxfId="784" priority="2295" operator="containsText" text="△">
      <formula>NOT(ISERROR(SEARCH("△",AA3)))</formula>
    </cfRule>
  </conditionalFormatting>
  <conditionalFormatting sqref="AA4">
    <cfRule type="containsText" dxfId="783" priority="2298" operator="containsText" text="▽">
      <formula>NOT(ISERROR(SEARCH("▽",AA4)))</formula>
    </cfRule>
    <cfRule type="containsText" dxfId="782" priority="2297" operator="containsText" text="△">
      <formula>NOT(ISERROR(SEARCH("△",AA4)))</formula>
    </cfRule>
  </conditionalFormatting>
  <conditionalFormatting sqref="AA6:AA21">
    <cfRule type="containsText" dxfId="781" priority="2281" operator="containsText" text="△">
      <formula>NOT(ISERROR(SEARCH("△",AA6)))</formula>
    </cfRule>
    <cfRule type="containsText" dxfId="780" priority="2282" operator="containsText" text="▽">
      <formula>NOT(ISERROR(SEARCH("▽",AA6)))</formula>
    </cfRule>
  </conditionalFormatting>
  <conditionalFormatting sqref="AA7:AA8">
    <cfRule type="containsText" dxfId="779" priority="2294" operator="containsText" text="▽">
      <formula>NOT(ISERROR(SEARCH("▽",AA7)))</formula>
    </cfRule>
    <cfRule type="containsText" dxfId="778" priority="2293" operator="containsText" text="△">
      <formula>NOT(ISERROR(SEARCH("△",AA7)))</formula>
    </cfRule>
  </conditionalFormatting>
  <conditionalFormatting sqref="AA8">
    <cfRule type="containsText" dxfId="777" priority="2289" operator="containsText" text="△">
      <formula>NOT(ISERROR(SEARCH("△",AA8)))</formula>
    </cfRule>
    <cfRule type="containsText" dxfId="776" priority="2290" operator="containsText" text="▽">
      <formula>NOT(ISERROR(SEARCH("▽",AA8)))</formula>
    </cfRule>
  </conditionalFormatting>
  <conditionalFormatting sqref="AA10">
    <cfRule type="containsText" dxfId="775" priority="2280" operator="containsText" text="▽">
      <formula>NOT(ISERROR(SEARCH("▽",AA10)))</formula>
    </cfRule>
    <cfRule type="containsText" dxfId="774" priority="2279" operator="containsText" text="△">
      <formula>NOT(ISERROR(SEARCH("△",AA10)))</formula>
    </cfRule>
  </conditionalFormatting>
  <conditionalFormatting sqref="AA11:AA21">
    <cfRule type="containsText" dxfId="773" priority="2288" operator="containsText" text="▽">
      <formula>NOT(ISERROR(SEARCH("▽",AA11)))</formula>
    </cfRule>
    <cfRule type="containsText" dxfId="772" priority="2287" operator="containsText" text="△">
      <formula>NOT(ISERROR(SEARCH("△",AA11)))</formula>
    </cfRule>
  </conditionalFormatting>
  <conditionalFormatting sqref="AA12:AA21">
    <cfRule type="containsText" dxfId="771" priority="2278" operator="containsText" text="▽">
      <formula>NOT(ISERROR(SEARCH("▽",AA12)))</formula>
    </cfRule>
    <cfRule type="containsText" dxfId="770" priority="2277" operator="containsText" text="△">
      <formula>NOT(ISERROR(SEARCH("△",AA12)))</formula>
    </cfRule>
  </conditionalFormatting>
  <conditionalFormatting sqref="AA13:AA21">
    <cfRule type="containsText" dxfId="769" priority="2274" operator="containsText" text="▽">
      <formula>NOT(ISERROR(SEARCH("▽",AA13)))</formula>
    </cfRule>
    <cfRule type="containsText" dxfId="768" priority="2273" operator="containsText" text="△">
      <formula>NOT(ISERROR(SEARCH("△",AA13)))</formula>
    </cfRule>
  </conditionalFormatting>
  <conditionalFormatting sqref="AA15:AA21">
    <cfRule type="containsText" dxfId="767" priority="2265" operator="containsText" text="△">
      <formula>NOT(ISERROR(SEARCH("△",AA15)))</formula>
    </cfRule>
    <cfRule type="containsText" dxfId="766" priority="2266" operator="containsText" text="▽">
      <formula>NOT(ISERROR(SEARCH("▽",AA15)))</formula>
    </cfRule>
  </conditionalFormatting>
  <conditionalFormatting sqref="AA16:AA21">
    <cfRule type="containsText" dxfId="765" priority="2271" operator="containsText" text="△">
      <formula>NOT(ISERROR(SEARCH("△",AA16)))</formula>
    </cfRule>
    <cfRule type="containsText" dxfId="764" priority="2272" operator="containsText" text="▽">
      <formula>NOT(ISERROR(SEARCH("▽",AA16)))</formula>
    </cfRule>
  </conditionalFormatting>
  <conditionalFormatting sqref="AA17:AA21">
    <cfRule type="containsText" dxfId="763" priority="2263" operator="containsText" text="△">
      <formula>NOT(ISERROR(SEARCH("△",AA17)))</formula>
    </cfRule>
    <cfRule type="containsText" dxfId="762" priority="2264" operator="containsText" text="▽">
      <formula>NOT(ISERROR(SEARCH("▽",AA17)))</formula>
    </cfRule>
  </conditionalFormatting>
  <conditionalFormatting sqref="AA18:AA21">
    <cfRule type="containsText" dxfId="761" priority="2269" operator="containsText" text="△">
      <formula>NOT(ISERROR(SEARCH("△",AA18)))</formula>
    </cfRule>
    <cfRule type="containsText" dxfId="760" priority="2270" operator="containsText" text="▽">
      <formula>NOT(ISERROR(SEARCH("▽",AA18)))</formula>
    </cfRule>
  </conditionalFormatting>
  <conditionalFormatting sqref="AA19:AA21">
    <cfRule type="containsText" dxfId="759" priority="2267" operator="containsText" text="△">
      <formula>NOT(ISERROR(SEARCH("△",AA19)))</formula>
    </cfRule>
    <cfRule type="containsText" dxfId="758" priority="2268" operator="containsText" text="▽">
      <formula>NOT(ISERROR(SEARCH("▽",AA19)))</formula>
    </cfRule>
  </conditionalFormatting>
  <conditionalFormatting sqref="AA20:AA23 AA31:AA40">
    <cfRule type="containsText" dxfId="757" priority="2254" operator="containsText" text="▽">
      <formula>NOT(ISERROR(SEARCH("▽",AA20)))</formula>
    </cfRule>
    <cfRule type="containsText" dxfId="756" priority="2253" operator="containsText" text="△">
      <formula>NOT(ISERROR(SEARCH("△",AA20)))</formula>
    </cfRule>
  </conditionalFormatting>
  <conditionalFormatting sqref="AA21">
    <cfRule type="containsText" dxfId="755" priority="2262" operator="containsText" text="▽">
      <formula>NOT(ISERROR(SEARCH("▽",AA21)))</formula>
    </cfRule>
    <cfRule type="containsText" dxfId="754" priority="2261" operator="containsText" text="△">
      <formula>NOT(ISERROR(SEARCH("△",AA21)))</formula>
    </cfRule>
  </conditionalFormatting>
  <conditionalFormatting sqref="AA22:AA23">
    <cfRule type="containsText" dxfId="753" priority="2251" operator="containsText" text="△">
      <formula>NOT(ISERROR(SEARCH("△",AA22)))</formula>
    </cfRule>
    <cfRule type="containsText" dxfId="752" priority="2252" operator="containsText" text="▽">
      <formula>NOT(ISERROR(SEARCH("▽",AA22)))</formula>
    </cfRule>
  </conditionalFormatting>
  <conditionalFormatting sqref="AA22:AA40">
    <cfRule type="containsText" dxfId="751" priority="2246" operator="containsText" text="▽">
      <formula>NOT(ISERROR(SEARCH("▽",AA22)))</formula>
    </cfRule>
    <cfRule type="containsText" dxfId="750" priority="2245" operator="containsText" text="△">
      <formula>NOT(ISERROR(SEARCH("△",AA22)))</formula>
    </cfRule>
    <cfRule type="containsText" dxfId="749" priority="2244" operator="containsText" text="▽">
      <formula>NOT(ISERROR(SEARCH("▽",AA22)))</formula>
    </cfRule>
    <cfRule type="containsText" dxfId="748" priority="2243" operator="containsText" text="△">
      <formula>NOT(ISERROR(SEARCH("△",AA22)))</formula>
    </cfRule>
    <cfRule type="containsText" dxfId="747" priority="2239" operator="containsText" text="△">
      <formula>NOT(ISERROR(SEARCH("△",AA22)))</formula>
    </cfRule>
    <cfRule type="containsText" dxfId="746" priority="2240" operator="containsText" text="▽">
      <formula>NOT(ISERROR(SEARCH("▽",AA22)))</formula>
    </cfRule>
  </conditionalFormatting>
  <conditionalFormatting sqref="AA23">
    <cfRule type="containsText" dxfId="745" priority="2250" operator="containsText" text="▽">
      <formula>NOT(ISERROR(SEARCH("▽",AA23)))</formula>
    </cfRule>
    <cfRule type="containsText" dxfId="744" priority="2249" operator="containsText" text="△">
      <formula>NOT(ISERROR(SEARCH("△",AA23)))</formula>
    </cfRule>
  </conditionalFormatting>
  <conditionalFormatting sqref="AA27:AA40">
    <cfRule type="containsText" dxfId="743" priority="2238" operator="containsText" text="▽">
      <formula>NOT(ISERROR(SEARCH("▽",AA27)))</formula>
    </cfRule>
    <cfRule type="containsText" dxfId="742" priority="2237" operator="containsText" text="△">
      <formula>NOT(ISERROR(SEARCH("△",AA27)))</formula>
    </cfRule>
  </conditionalFormatting>
  <conditionalFormatting sqref="AA28:AA40">
    <cfRule type="containsText" dxfId="741" priority="2242" operator="containsText" text="▽">
      <formula>NOT(ISERROR(SEARCH("▽",AA28)))</formula>
    </cfRule>
    <cfRule type="containsText" dxfId="740" priority="2241" operator="containsText" text="△">
      <formula>NOT(ISERROR(SEARCH("△",AA28)))</formula>
    </cfRule>
  </conditionalFormatting>
  <conditionalFormatting sqref="AA29:AA40">
    <cfRule type="containsText" dxfId="739" priority="2247" operator="containsText" text="△">
      <formula>NOT(ISERROR(SEARCH("△",AA29)))</formula>
    </cfRule>
    <cfRule type="containsText" dxfId="738" priority="2248" operator="containsText" text="▽">
      <formula>NOT(ISERROR(SEARCH("▽",AA29)))</formula>
    </cfRule>
  </conditionalFormatting>
  <conditionalFormatting sqref="AA30:AA40">
    <cfRule type="containsText" dxfId="737" priority="2235" operator="containsText" text="△">
      <formula>NOT(ISERROR(SEARCH("△",AA30)))</formula>
    </cfRule>
    <cfRule type="containsText" dxfId="736" priority="2236" operator="containsText" text="▽">
      <formula>NOT(ISERROR(SEARCH("▽",AA30)))</formula>
    </cfRule>
  </conditionalFormatting>
  <conditionalFormatting sqref="AA31:AA40">
    <cfRule type="containsText" dxfId="735" priority="2229" operator="containsText" text="△">
      <formula>NOT(ISERROR(SEARCH("△",AA31)))</formula>
    </cfRule>
    <cfRule type="containsText" dxfId="734" priority="2230" operator="containsText" text="▽">
      <formula>NOT(ISERROR(SEARCH("▽",AA31)))</formula>
    </cfRule>
  </conditionalFormatting>
  <conditionalFormatting sqref="AA32:AA40">
    <cfRule type="containsText" dxfId="733" priority="2227" operator="containsText" text="△">
      <formula>NOT(ISERROR(SEARCH("△",AA32)))</formula>
    </cfRule>
    <cfRule type="containsText" dxfId="732" priority="2228" operator="containsText" text="▽">
      <formula>NOT(ISERROR(SEARCH("▽",AA32)))</formula>
    </cfRule>
  </conditionalFormatting>
  <conditionalFormatting sqref="AA34:AA40">
    <cfRule type="containsText" dxfId="731" priority="2233" operator="containsText" text="△">
      <formula>NOT(ISERROR(SEARCH("△",AA34)))</formula>
    </cfRule>
    <cfRule type="containsText" dxfId="730" priority="2234" operator="containsText" text="▽">
      <formula>NOT(ISERROR(SEARCH("▽",AA34)))</formula>
    </cfRule>
  </conditionalFormatting>
  <conditionalFormatting sqref="AA35:AA40">
    <cfRule type="containsText" dxfId="729" priority="2232" operator="containsText" text="▽">
      <formula>NOT(ISERROR(SEARCH("▽",AA35)))</formula>
    </cfRule>
    <cfRule type="containsText" dxfId="728" priority="2231" operator="containsText" text="△">
      <formula>NOT(ISERROR(SEARCH("△",AA35)))</formula>
    </cfRule>
  </conditionalFormatting>
  <conditionalFormatting sqref="AA36:AA40">
    <cfRule type="containsText" dxfId="727" priority="2225" operator="containsText" text="△">
      <formula>NOT(ISERROR(SEARCH("△",AA36)))</formula>
    </cfRule>
    <cfRule type="containsText" dxfId="726" priority="2226" operator="containsText" text="▽">
      <formula>NOT(ISERROR(SEARCH("▽",AA36)))</formula>
    </cfRule>
  </conditionalFormatting>
  <conditionalFormatting sqref="AA37:AA40">
    <cfRule type="containsText" dxfId="725" priority="2213" operator="containsText" text="△">
      <formula>NOT(ISERROR(SEARCH("△",AA37)))</formula>
    </cfRule>
    <cfRule type="containsText" dxfId="724" priority="2214" operator="containsText" text="▽">
      <formula>NOT(ISERROR(SEARCH("▽",AA37)))</formula>
    </cfRule>
    <cfRule type="containsText" dxfId="723" priority="2215" operator="containsText" text="△">
      <formula>NOT(ISERROR(SEARCH("△",AA37)))</formula>
    </cfRule>
    <cfRule type="containsText" dxfId="722" priority="2216" operator="containsText" text="▽">
      <formula>NOT(ISERROR(SEARCH("▽",AA37)))</formula>
    </cfRule>
  </conditionalFormatting>
  <conditionalFormatting sqref="AA38:AA40">
    <cfRule type="containsText" dxfId="721" priority="2222" operator="containsText" text="▽">
      <formula>NOT(ISERROR(SEARCH("▽",AA38)))</formula>
    </cfRule>
    <cfRule type="containsText" dxfId="720" priority="2223" operator="containsText" text="△">
      <formula>NOT(ISERROR(SEARCH("△",AA38)))</formula>
    </cfRule>
    <cfRule type="containsText" dxfId="719" priority="2224" operator="containsText" text="▽">
      <formula>NOT(ISERROR(SEARCH("▽",AA38)))</formula>
    </cfRule>
    <cfRule type="containsText" dxfId="718" priority="2221" operator="containsText" text="△">
      <formula>NOT(ISERROR(SEARCH("△",AA38)))</formula>
    </cfRule>
  </conditionalFormatting>
  <conditionalFormatting sqref="AA39:AA40">
    <cfRule type="containsText" dxfId="717" priority="2217" operator="containsText" text="△">
      <formula>NOT(ISERROR(SEARCH("△",AA39)))</formula>
    </cfRule>
    <cfRule type="containsText" dxfId="716" priority="2218" operator="containsText" text="▽">
      <formula>NOT(ISERROR(SEARCH("▽",AA39)))</formula>
    </cfRule>
    <cfRule type="containsText" dxfId="715" priority="2219" operator="containsText" text="△">
      <formula>NOT(ISERROR(SEARCH("△",AA39)))</formula>
    </cfRule>
    <cfRule type="containsText" dxfId="714" priority="2220" operator="containsText" text="▽">
      <formula>NOT(ISERROR(SEARCH("▽",AA39)))</formula>
    </cfRule>
  </conditionalFormatting>
  <conditionalFormatting sqref="AA40">
    <cfRule type="containsText" dxfId="713" priority="2211" operator="containsText" text="△">
      <formula>NOT(ISERROR(SEARCH("△",AA40)))</formula>
    </cfRule>
    <cfRule type="containsText" dxfId="712" priority="2212" operator="containsText" text="▽">
      <formula>NOT(ISERROR(SEARCH("▽",AA40)))</formula>
    </cfRule>
  </conditionalFormatting>
  <conditionalFormatting sqref="AA40:AA57">
    <cfRule type="containsText" dxfId="711" priority="1967" operator="containsText" text="△">
      <formula>NOT(ISERROR(SEARCH("△",AA40)))</formula>
    </cfRule>
    <cfRule type="containsText" dxfId="710" priority="1968" operator="containsText" text="▽">
      <formula>NOT(ISERROR(SEARCH("▽",AA40)))</formula>
    </cfRule>
  </conditionalFormatting>
  <conditionalFormatting sqref="AA41:AA57">
    <cfRule type="containsText" dxfId="709" priority="1960" operator="containsText" text="▽">
      <formula>NOT(ISERROR(SEARCH("▽",AA41)))</formula>
    </cfRule>
    <cfRule type="containsText" dxfId="708" priority="1961" operator="containsText" text="△">
      <formula>NOT(ISERROR(SEARCH("△",AA41)))</formula>
    </cfRule>
    <cfRule type="containsText" dxfId="707" priority="1962" operator="containsText" text="▽">
      <formula>NOT(ISERROR(SEARCH("▽",AA41)))</formula>
    </cfRule>
    <cfRule type="containsText" dxfId="706" priority="1963" operator="containsText" text="△">
      <formula>NOT(ISERROR(SEARCH("△",AA41)))</formula>
    </cfRule>
    <cfRule type="containsText" dxfId="705" priority="1964" operator="containsText" text="▽">
      <formula>NOT(ISERROR(SEARCH("▽",AA41)))</formula>
    </cfRule>
    <cfRule type="containsText" dxfId="704" priority="1957" operator="containsText" text="△">
      <formula>NOT(ISERROR(SEARCH("△",AA41)))</formula>
    </cfRule>
    <cfRule type="containsText" dxfId="703" priority="1947" operator="containsText" text="△">
      <formula>NOT(ISERROR(SEARCH("△",AA41)))</formula>
    </cfRule>
    <cfRule type="containsText" dxfId="702" priority="1948" operator="containsText" text="▽">
      <formula>NOT(ISERROR(SEARCH("▽",AA41)))</formula>
    </cfRule>
    <cfRule type="containsText" dxfId="701" priority="1951" operator="containsText" text="△">
      <formula>NOT(ISERROR(SEARCH("△",AA41)))</formula>
    </cfRule>
    <cfRule type="containsText" dxfId="700" priority="1952" operator="containsText" text="▽">
      <formula>NOT(ISERROR(SEARCH("▽",AA41)))</formula>
    </cfRule>
    <cfRule type="containsText" dxfId="699" priority="1953" operator="containsText" text="△">
      <formula>NOT(ISERROR(SEARCH("△",AA41)))</formula>
    </cfRule>
    <cfRule type="containsText" dxfId="698" priority="1954" operator="containsText" text="▽">
      <formula>NOT(ISERROR(SEARCH("▽",AA41)))</formula>
    </cfRule>
    <cfRule type="containsText" dxfId="697" priority="1955" operator="containsText" text="△">
      <formula>NOT(ISERROR(SEARCH("△",AA41)))</formula>
    </cfRule>
    <cfRule type="containsText" dxfId="696" priority="1956" operator="containsText" text="▽">
      <formula>NOT(ISERROR(SEARCH("▽",AA41)))</formula>
    </cfRule>
    <cfRule type="containsText" dxfId="695" priority="1944" operator="containsText" text="▽">
      <formula>NOT(ISERROR(SEARCH("▽",AA41)))</formula>
    </cfRule>
    <cfRule type="containsText" dxfId="694" priority="1943" operator="containsText" text="△">
      <formula>NOT(ISERROR(SEARCH("△",AA41)))</formula>
    </cfRule>
    <cfRule type="containsText" dxfId="693" priority="1942" operator="containsText" text="▽">
      <formula>NOT(ISERROR(SEARCH("▽",AA41)))</formula>
    </cfRule>
    <cfRule type="containsText" dxfId="692" priority="1941" operator="containsText" text="△">
      <formula>NOT(ISERROR(SEARCH("△",AA41)))</formula>
    </cfRule>
    <cfRule type="containsText" dxfId="691" priority="1936" operator="containsText" text="▽">
      <formula>NOT(ISERROR(SEARCH("▽",AA41)))</formula>
    </cfRule>
    <cfRule type="containsText" dxfId="690" priority="1935" operator="containsText" text="△">
      <formula>NOT(ISERROR(SEARCH("△",AA41)))</formula>
    </cfRule>
    <cfRule type="containsText" dxfId="689" priority="1934" operator="containsText" text="▽">
      <formula>NOT(ISERROR(SEARCH("▽",AA41)))</formula>
    </cfRule>
    <cfRule type="containsText" dxfId="688" priority="1933" operator="containsText" text="△">
      <formula>NOT(ISERROR(SEARCH("△",AA41)))</formula>
    </cfRule>
    <cfRule type="containsText" dxfId="687" priority="1930" operator="containsText" text="▽">
      <formula>NOT(ISERROR(SEARCH("▽",AA41)))</formula>
    </cfRule>
    <cfRule type="containsText" dxfId="686" priority="1929" operator="containsText" text="△">
      <formula>NOT(ISERROR(SEARCH("△",AA41)))</formula>
    </cfRule>
    <cfRule type="containsText" dxfId="685" priority="1958" operator="containsText" text="▽">
      <formula>NOT(ISERROR(SEARCH("▽",AA41)))</formula>
    </cfRule>
    <cfRule type="containsText" dxfId="684" priority="1916" operator="containsText" text="▽">
      <formula>NOT(ISERROR(SEARCH("▽",AA41)))</formula>
    </cfRule>
    <cfRule type="containsText" dxfId="683" priority="1915" operator="containsText" text="△">
      <formula>NOT(ISERROR(SEARCH("△",AA41)))</formula>
    </cfRule>
    <cfRule type="containsText" dxfId="682" priority="1914" operator="containsText" text="▽">
      <formula>NOT(ISERROR(SEARCH("▽",AA41)))</formula>
    </cfRule>
    <cfRule type="containsText" dxfId="681" priority="1913" operator="containsText" text="△">
      <formula>NOT(ISERROR(SEARCH("△",AA41)))</formula>
    </cfRule>
    <cfRule type="containsText" dxfId="680" priority="1912" operator="containsText" text="▽">
      <formula>NOT(ISERROR(SEARCH("▽",AA41)))</formula>
    </cfRule>
    <cfRule type="containsText" dxfId="679" priority="1911" operator="containsText" text="△">
      <formula>NOT(ISERROR(SEARCH("△",AA41)))</formula>
    </cfRule>
    <cfRule type="containsText" dxfId="678" priority="1910" operator="containsText" text="▽">
      <formula>NOT(ISERROR(SEARCH("▽",AA41)))</formula>
    </cfRule>
    <cfRule type="containsText" dxfId="677" priority="1909" operator="containsText" text="△">
      <formula>NOT(ISERROR(SEARCH("△",AA41)))</formula>
    </cfRule>
    <cfRule type="containsText" dxfId="676" priority="1908" operator="containsText" text="▽">
      <formula>NOT(ISERROR(SEARCH("▽",AA41)))</formula>
    </cfRule>
    <cfRule type="containsText" dxfId="675" priority="1907" operator="containsText" text="△">
      <formula>NOT(ISERROR(SEARCH("△",AA41)))</formula>
    </cfRule>
    <cfRule type="containsText" dxfId="674" priority="1906" operator="containsText" text="▽">
      <formula>NOT(ISERROR(SEARCH("▽",AA41)))</formula>
    </cfRule>
    <cfRule type="containsText" dxfId="673" priority="1905" operator="containsText" text="△">
      <formula>NOT(ISERROR(SEARCH("△",AA41)))</formula>
    </cfRule>
    <cfRule type="containsText" dxfId="672" priority="1884" operator="containsText" text="▽">
      <formula>NOT(ISERROR(SEARCH("▽",AA41)))</formula>
    </cfRule>
    <cfRule type="containsText" dxfId="671" priority="1883" operator="containsText" text="△">
      <formula>NOT(ISERROR(SEARCH("△",AA41)))</formula>
    </cfRule>
    <cfRule type="containsText" dxfId="670" priority="1882" operator="containsText" text="▽">
      <formula>NOT(ISERROR(SEARCH("▽",AA41)))</formula>
    </cfRule>
    <cfRule type="containsText" dxfId="669" priority="1881" operator="containsText" text="△">
      <formula>NOT(ISERROR(SEARCH("△",AA41)))</formula>
    </cfRule>
    <cfRule type="containsText" dxfId="668" priority="1959" operator="containsText" text="△">
      <formula>NOT(ISERROR(SEARCH("△",AA41)))</formula>
    </cfRule>
  </conditionalFormatting>
  <conditionalFormatting sqref="AA43:AA57">
    <cfRule type="containsText" dxfId="667" priority="1900" operator="containsText" text="▽">
      <formula>NOT(ISERROR(SEARCH("▽",AA43)))</formula>
    </cfRule>
    <cfRule type="containsText" dxfId="666" priority="1899" operator="containsText" text="△">
      <formula>NOT(ISERROR(SEARCH("△",AA43)))</formula>
    </cfRule>
    <cfRule type="containsText" dxfId="665" priority="1898" operator="containsText" text="▽">
      <formula>NOT(ISERROR(SEARCH("▽",AA43)))</formula>
    </cfRule>
    <cfRule type="containsText" dxfId="664" priority="1897" operator="containsText" text="△">
      <formula>NOT(ISERROR(SEARCH("△",AA43)))</formula>
    </cfRule>
  </conditionalFormatting>
  <conditionalFormatting sqref="AA44:AA57">
    <cfRule type="containsText" dxfId="663" priority="1939" operator="containsText" text="△">
      <formula>NOT(ISERROR(SEARCH("△",AA44)))</formula>
    </cfRule>
    <cfRule type="containsText" dxfId="662" priority="1940" operator="containsText" text="▽">
      <formula>NOT(ISERROR(SEARCH("▽",AA44)))</formula>
    </cfRule>
  </conditionalFormatting>
  <conditionalFormatting sqref="AA45:AA57">
    <cfRule type="containsText" dxfId="661" priority="1931" operator="containsText" text="△">
      <formula>NOT(ISERROR(SEARCH("△",AA45)))</formula>
    </cfRule>
    <cfRule type="containsText" dxfId="660" priority="1932" operator="containsText" text="▽">
      <formula>NOT(ISERROR(SEARCH("▽",AA45)))</formula>
    </cfRule>
  </conditionalFormatting>
  <conditionalFormatting sqref="AA46:AA57">
    <cfRule type="containsText" dxfId="659" priority="1894" operator="containsText" text="▽">
      <formula>NOT(ISERROR(SEARCH("▽",AA46)))</formula>
    </cfRule>
    <cfRule type="containsText" dxfId="658" priority="1895" operator="containsText" text="△">
      <formula>NOT(ISERROR(SEARCH("△",AA46)))</formula>
    </cfRule>
    <cfRule type="containsText" dxfId="657" priority="1893" operator="containsText" text="△">
      <formula>NOT(ISERROR(SEARCH("△",AA46)))</formula>
    </cfRule>
    <cfRule type="containsText" dxfId="656" priority="1896" operator="containsText" text="▽">
      <formula>NOT(ISERROR(SEARCH("▽",AA46)))</formula>
    </cfRule>
  </conditionalFormatting>
  <conditionalFormatting sqref="AA47">
    <cfRule type="containsText" dxfId="655" priority="1892" operator="containsText" text="▽">
      <formula>NOT(ISERROR(SEARCH("▽",AA47)))</formula>
    </cfRule>
    <cfRule type="containsText" dxfId="654" priority="1889" operator="containsText" text="△">
      <formula>NOT(ISERROR(SEARCH("△",AA47)))</formula>
    </cfRule>
    <cfRule type="containsText" dxfId="653" priority="1890" operator="containsText" text="▽">
      <formula>NOT(ISERROR(SEARCH("▽",AA47)))</formula>
    </cfRule>
    <cfRule type="containsText" dxfId="652" priority="1891" operator="containsText" text="△">
      <formula>NOT(ISERROR(SEARCH("△",AA47)))</formula>
    </cfRule>
  </conditionalFormatting>
  <conditionalFormatting sqref="AA48:AA57">
    <cfRule type="containsText" dxfId="651" priority="1879" operator="containsText" text="△">
      <formula>NOT(ISERROR(SEARCH("△",AA48)))</formula>
    </cfRule>
    <cfRule type="containsText" dxfId="650" priority="1880" operator="containsText" text="▽">
      <formula>NOT(ISERROR(SEARCH("▽",AA48)))</formula>
    </cfRule>
    <cfRule type="containsText" dxfId="649" priority="1877" operator="containsText" text="△">
      <formula>NOT(ISERROR(SEARCH("△",AA48)))</formula>
    </cfRule>
    <cfRule type="containsText" dxfId="648" priority="1878" operator="containsText" text="▽">
      <formula>NOT(ISERROR(SEARCH("▽",AA48)))</formula>
    </cfRule>
  </conditionalFormatting>
  <conditionalFormatting sqref="AA49:AA57">
    <cfRule type="containsText" dxfId="647" priority="1926" operator="containsText" text="▽">
      <formula>NOT(ISERROR(SEARCH("▽",AA49)))</formula>
    </cfRule>
    <cfRule type="containsText" dxfId="646" priority="1925" operator="containsText" text="△">
      <formula>NOT(ISERROR(SEARCH("△",AA49)))</formula>
    </cfRule>
    <cfRule type="containsText" dxfId="645" priority="1928" operator="containsText" text="▽">
      <formula>NOT(ISERROR(SEARCH("▽",AA49)))</formula>
    </cfRule>
    <cfRule type="containsText" dxfId="644" priority="1927" operator="containsText" text="△">
      <formula>NOT(ISERROR(SEARCH("△",AA49)))</formula>
    </cfRule>
  </conditionalFormatting>
  <conditionalFormatting sqref="AA50:AA57">
    <cfRule type="containsText" dxfId="643" priority="1965" operator="containsText" text="△">
      <formula>NOT(ISERROR(SEARCH("△",AA50)))</formula>
    </cfRule>
    <cfRule type="containsText" dxfId="642" priority="1966" operator="containsText" text="▽">
      <formula>NOT(ISERROR(SEARCH("▽",AA50)))</formula>
    </cfRule>
  </conditionalFormatting>
  <conditionalFormatting sqref="AA51:AA57">
    <cfRule type="containsText" dxfId="641" priority="1945" operator="containsText" text="△">
      <formula>NOT(ISERROR(SEARCH("△",AA51)))</formula>
    </cfRule>
    <cfRule type="containsText" dxfId="640" priority="1946" operator="containsText" text="▽">
      <formula>NOT(ISERROR(SEARCH("▽",AA51)))</formula>
    </cfRule>
  </conditionalFormatting>
  <conditionalFormatting sqref="AA52:AA57">
    <cfRule type="containsText" dxfId="639" priority="1949" operator="containsText" text="△">
      <formula>NOT(ISERROR(SEARCH("△",AA52)))</formula>
    </cfRule>
    <cfRule type="containsText" dxfId="638" priority="1950" operator="containsText" text="▽">
      <formula>NOT(ISERROR(SEARCH("▽",AA52)))</formula>
    </cfRule>
  </conditionalFormatting>
  <conditionalFormatting sqref="AA53">
    <cfRule type="containsText" dxfId="637" priority="1917" operator="containsText" text="△">
      <formula>NOT(ISERROR(SEARCH("△",AA53)))</formula>
    </cfRule>
    <cfRule type="containsText" dxfId="636" priority="1918" operator="containsText" text="▽">
      <formula>NOT(ISERROR(SEARCH("▽",AA53)))</formula>
    </cfRule>
    <cfRule type="containsText" dxfId="635" priority="1920" operator="containsText" text="▽">
      <formula>NOT(ISERROR(SEARCH("▽",AA53)))</formula>
    </cfRule>
    <cfRule type="containsText" dxfId="634" priority="1919" operator="containsText" text="△">
      <formula>NOT(ISERROR(SEARCH("△",AA53)))</formula>
    </cfRule>
  </conditionalFormatting>
  <conditionalFormatting sqref="AA54">
    <cfRule type="containsText" dxfId="633" priority="1902" operator="containsText" text="▽">
      <formula>NOT(ISERROR(SEARCH("▽",AA54)))</formula>
    </cfRule>
    <cfRule type="containsText" dxfId="632" priority="1903" operator="containsText" text="△">
      <formula>NOT(ISERROR(SEARCH("△",AA54)))</formula>
    </cfRule>
    <cfRule type="containsText" dxfId="631" priority="1904" operator="containsText" text="▽">
      <formula>NOT(ISERROR(SEARCH("▽",AA54)))</formula>
    </cfRule>
    <cfRule type="containsText" dxfId="630" priority="1901" operator="containsText" text="△">
      <formula>NOT(ISERROR(SEARCH("△",AA54)))</formula>
    </cfRule>
  </conditionalFormatting>
  <conditionalFormatting sqref="AA55">
    <cfRule type="containsText" dxfId="629" priority="1888" operator="containsText" text="▽">
      <formula>NOT(ISERROR(SEARCH("▽",AA55)))</formula>
    </cfRule>
    <cfRule type="containsText" dxfId="628" priority="1887" operator="containsText" text="△">
      <formula>NOT(ISERROR(SEARCH("△",AA55)))</formula>
    </cfRule>
    <cfRule type="containsText" dxfId="627" priority="1886" operator="containsText" text="▽">
      <formula>NOT(ISERROR(SEARCH("▽",AA55)))</formula>
    </cfRule>
    <cfRule type="containsText" dxfId="626" priority="1885" operator="containsText" text="△">
      <formula>NOT(ISERROR(SEARCH("△",AA55)))</formula>
    </cfRule>
  </conditionalFormatting>
  <conditionalFormatting sqref="AA56">
    <cfRule type="containsText" dxfId="625" priority="1869" operator="containsText" text="△">
      <formula>NOT(ISERROR(SEARCH("△",AA56)))</formula>
    </cfRule>
    <cfRule type="containsText" dxfId="624" priority="1870" operator="containsText" text="▽">
      <formula>NOT(ISERROR(SEARCH("▽",AA56)))</formula>
    </cfRule>
  </conditionalFormatting>
  <conditionalFormatting sqref="AA56:AA57">
    <cfRule type="containsText" dxfId="623" priority="1871" operator="containsText" text="△">
      <formula>NOT(ISERROR(SEARCH("△",AA56)))</formula>
    </cfRule>
    <cfRule type="containsText" dxfId="622" priority="1872" operator="containsText" text="▽">
      <formula>NOT(ISERROR(SEARCH("▽",AA56)))</formula>
    </cfRule>
  </conditionalFormatting>
  <conditionalFormatting sqref="AA57">
    <cfRule type="containsText" dxfId="621" priority="1875" operator="containsText" text="△">
      <formula>NOT(ISERROR(SEARCH("△",AA57)))</formula>
    </cfRule>
    <cfRule type="containsText" dxfId="620" priority="1876" operator="containsText" text="▽">
      <formula>NOT(ISERROR(SEARCH("▽",AA57)))</formula>
    </cfRule>
  </conditionalFormatting>
  <conditionalFormatting sqref="AA58:AA59">
    <cfRule type="containsText" dxfId="619" priority="1867" operator="containsText" text="△">
      <formula>NOT(ISERROR(SEARCH("△",AA58)))</formula>
    </cfRule>
    <cfRule type="containsText" dxfId="618" priority="1868" operator="containsText" text="▽">
      <formula>NOT(ISERROR(SEARCH("▽",AA58)))</formula>
    </cfRule>
  </conditionalFormatting>
  <conditionalFormatting sqref="AA58:AA60">
    <cfRule type="containsText" dxfId="617" priority="1864" operator="containsText" text="▽">
      <formula>NOT(ISERROR(SEARCH("▽",AA58)))</formula>
    </cfRule>
    <cfRule type="containsText" dxfId="616" priority="1863" operator="containsText" text="△">
      <formula>NOT(ISERROR(SEARCH("△",AA58)))</formula>
    </cfRule>
  </conditionalFormatting>
  <conditionalFormatting sqref="AA59">
    <cfRule type="containsText" dxfId="615" priority="1922" operator="containsText" text="▽">
      <formula>NOT(ISERROR(SEARCH("▽",AA59)))</formula>
    </cfRule>
    <cfRule type="containsText" dxfId="614" priority="1921" operator="containsText" text="△">
      <formula>NOT(ISERROR(SEARCH("△",AA59)))</formula>
    </cfRule>
    <cfRule type="containsText" dxfId="613" priority="1923" operator="containsText" text="△">
      <formula>NOT(ISERROR(SEARCH("△",AA59)))</formula>
    </cfRule>
    <cfRule type="containsText" dxfId="612" priority="1924" operator="containsText" text="▽">
      <formula>NOT(ISERROR(SEARCH("▽",AA59)))</formula>
    </cfRule>
  </conditionalFormatting>
  <conditionalFormatting sqref="AA60">
    <cfRule type="containsText" dxfId="611" priority="1862" operator="containsText" text="▽">
      <formula>NOT(ISERROR(SEARCH("▽",AA60)))</formula>
    </cfRule>
    <cfRule type="containsText" dxfId="610" priority="1861" operator="containsText" text="△">
      <formula>NOT(ISERROR(SEARCH("△",AA60)))</formula>
    </cfRule>
  </conditionalFormatting>
  <conditionalFormatting sqref="AA61:AA62">
    <cfRule type="containsText" dxfId="609" priority="2198" operator="containsText" text="▽">
      <formula>NOT(ISERROR(SEARCH("▽",AA61)))</formula>
    </cfRule>
    <cfRule type="containsText" dxfId="608" priority="2202" operator="containsText" text="▽">
      <formula>NOT(ISERROR(SEARCH("▽",AA61)))</formula>
    </cfRule>
    <cfRule type="containsText" dxfId="607" priority="2201" operator="containsText" text="△">
      <formula>NOT(ISERROR(SEARCH("△",AA61)))</formula>
    </cfRule>
    <cfRule type="containsText" dxfId="606" priority="2200" operator="containsText" text="▽">
      <formula>NOT(ISERROR(SEARCH("▽",AA61)))</formula>
    </cfRule>
    <cfRule type="containsText" dxfId="605" priority="2199" operator="containsText" text="△">
      <formula>NOT(ISERROR(SEARCH("△",AA61)))</formula>
    </cfRule>
    <cfRule type="containsText" dxfId="604" priority="2197" operator="containsText" text="△">
      <formula>NOT(ISERROR(SEARCH("△",AA61)))</formula>
    </cfRule>
  </conditionalFormatting>
  <conditionalFormatting sqref="AA62">
    <cfRule type="containsText" dxfId="603" priority="2196" operator="containsText" text="▽">
      <formula>NOT(ISERROR(SEARCH("▽",AA62)))</formula>
    </cfRule>
    <cfRule type="containsText" dxfId="602" priority="2195" operator="containsText" text="△">
      <formula>NOT(ISERROR(SEARCH("△",AA62)))</formula>
    </cfRule>
  </conditionalFormatting>
  <conditionalFormatting sqref="AA62:AA63">
    <cfRule type="containsText" dxfId="601" priority="2191" operator="containsText" text="△">
      <formula>NOT(ISERROR(SEARCH("△",AA62)))</formula>
    </cfRule>
    <cfRule type="containsText" dxfId="600" priority="2192" operator="containsText" text="▽">
      <formula>NOT(ISERROR(SEARCH("▽",AA62)))</formula>
    </cfRule>
  </conditionalFormatting>
  <conditionalFormatting sqref="AA63:AA135">
    <cfRule type="containsText" dxfId="599" priority="2187" operator="containsText" text="△">
      <formula>NOT(ISERROR(SEARCH("△",AA63)))</formula>
    </cfRule>
    <cfRule type="containsText" dxfId="598" priority="2188" operator="containsText" text="▽">
      <formula>NOT(ISERROR(SEARCH("▽",AA63)))</formula>
    </cfRule>
  </conditionalFormatting>
  <conditionalFormatting sqref="AA64:AA110">
    <cfRule type="containsText" dxfId="597" priority="2185" operator="containsText" text="△">
      <formula>NOT(ISERROR(SEARCH("△",AA64)))</formula>
    </cfRule>
    <cfRule type="containsText" dxfId="596" priority="2186" operator="containsText" text="▽">
      <formula>NOT(ISERROR(SEARCH("▽",AA64)))</formula>
    </cfRule>
  </conditionalFormatting>
  <conditionalFormatting sqref="AA65:AA110">
    <cfRule type="containsText" dxfId="595" priority="2169" operator="containsText" text="△">
      <formula>NOT(ISERROR(SEARCH("△",AA65)))</formula>
    </cfRule>
    <cfRule type="containsText" dxfId="594" priority="2170" operator="containsText" text="▽">
      <formula>NOT(ISERROR(SEARCH("▽",AA65)))</formula>
    </cfRule>
    <cfRule type="containsText" dxfId="593" priority="2171" operator="containsText" text="△">
      <formula>NOT(ISERROR(SEARCH("△",AA65)))</formula>
    </cfRule>
    <cfRule type="containsText" dxfId="592" priority="2172" operator="containsText" text="▽">
      <formula>NOT(ISERROR(SEARCH("▽",AA65)))</formula>
    </cfRule>
  </conditionalFormatting>
  <conditionalFormatting sqref="AA66:AA67">
    <cfRule type="containsText" dxfId="591" priority="2125" operator="containsText" text="△">
      <formula>NOT(ISERROR(SEARCH("△",AA66)))</formula>
    </cfRule>
    <cfRule type="containsText" dxfId="590" priority="2126" operator="containsText" text="▽">
      <formula>NOT(ISERROR(SEARCH("▽",AA66)))</formula>
    </cfRule>
  </conditionalFormatting>
  <conditionalFormatting sqref="AA66:AA110">
    <cfRule type="containsText" dxfId="589" priority="2128" operator="containsText" text="▽">
      <formula>NOT(ISERROR(SEARCH("▽",AA66)))</formula>
    </cfRule>
    <cfRule type="containsText" dxfId="588" priority="2127" operator="containsText" text="△">
      <formula>NOT(ISERROR(SEARCH("△",AA66)))</formula>
    </cfRule>
  </conditionalFormatting>
  <conditionalFormatting sqref="AA67">
    <cfRule type="containsText" dxfId="587" priority="2164" operator="containsText" text="▽">
      <formula>NOT(ISERROR(SEARCH("▽",AA67)))</formula>
    </cfRule>
    <cfRule type="containsText" dxfId="586" priority="2163" operator="containsText" text="△">
      <formula>NOT(ISERROR(SEARCH("△",AA67)))</formula>
    </cfRule>
  </conditionalFormatting>
  <conditionalFormatting sqref="AA67:AA110">
    <cfRule type="containsText" dxfId="585" priority="2131" operator="containsText" text="△">
      <formula>NOT(ISERROR(SEARCH("△",AA67)))</formula>
    </cfRule>
    <cfRule type="containsText" dxfId="584" priority="2132" operator="containsText" text="▽">
      <formula>NOT(ISERROR(SEARCH("▽",AA67)))</formula>
    </cfRule>
  </conditionalFormatting>
  <conditionalFormatting sqref="AA69:AA110">
    <cfRule type="containsText" dxfId="583" priority="2180" operator="containsText" text="▽">
      <formula>NOT(ISERROR(SEARCH("▽",AA69)))</formula>
    </cfRule>
    <cfRule type="containsText" dxfId="582" priority="2179" operator="containsText" text="△">
      <formula>NOT(ISERROR(SEARCH("△",AA69)))</formula>
    </cfRule>
    <cfRule type="containsText" dxfId="581" priority="2178" operator="containsText" text="▽">
      <formula>NOT(ISERROR(SEARCH("▽",AA69)))</formula>
    </cfRule>
    <cfRule type="containsText" dxfId="580" priority="2177" operator="containsText" text="△">
      <formula>NOT(ISERROR(SEARCH("△",AA69)))</formula>
    </cfRule>
  </conditionalFormatting>
  <conditionalFormatting sqref="AA70">
    <cfRule type="containsText" dxfId="579" priority="2173" operator="containsText" text="△">
      <formula>NOT(ISERROR(SEARCH("△",AA70)))</formula>
    </cfRule>
    <cfRule type="containsText" dxfId="578" priority="2176" operator="containsText" text="▽">
      <formula>NOT(ISERROR(SEARCH("▽",AA70)))</formula>
    </cfRule>
    <cfRule type="containsText" dxfId="577" priority="2175" operator="containsText" text="△">
      <formula>NOT(ISERROR(SEARCH("△",AA70)))</formula>
    </cfRule>
    <cfRule type="containsText" dxfId="576" priority="2174" operator="containsText" text="▽">
      <formula>NOT(ISERROR(SEARCH("▽",AA70)))</formula>
    </cfRule>
  </conditionalFormatting>
  <conditionalFormatting sqref="AA71">
    <cfRule type="containsText" dxfId="575" priority="2183" operator="containsText" text="△">
      <formula>NOT(ISERROR(SEARCH("△",AA71)))</formula>
    </cfRule>
    <cfRule type="containsText" dxfId="574" priority="2184" operator="containsText" text="▽">
      <formula>NOT(ISERROR(SEARCH("▽",AA71)))</formula>
    </cfRule>
    <cfRule type="containsText" dxfId="573" priority="2182" operator="containsText" text="▽">
      <formula>NOT(ISERROR(SEARCH("▽",AA71)))</formula>
    </cfRule>
    <cfRule type="containsText" dxfId="572" priority="2181" operator="containsText" text="△">
      <formula>NOT(ISERROR(SEARCH("△",AA71)))</formula>
    </cfRule>
  </conditionalFormatting>
  <conditionalFormatting sqref="AA72">
    <cfRule type="containsText" dxfId="571" priority="2165" operator="containsText" text="△">
      <formula>NOT(ISERROR(SEARCH("△",AA72)))</formula>
    </cfRule>
    <cfRule type="containsText" dxfId="570" priority="2168" operator="containsText" text="▽">
      <formula>NOT(ISERROR(SEARCH("▽",AA72)))</formula>
    </cfRule>
    <cfRule type="containsText" dxfId="569" priority="2167" operator="containsText" text="△">
      <formula>NOT(ISERROR(SEARCH("△",AA72)))</formula>
    </cfRule>
    <cfRule type="containsText" dxfId="568" priority="2166" operator="containsText" text="▽">
      <formula>NOT(ISERROR(SEARCH("▽",AA72)))</formula>
    </cfRule>
  </conditionalFormatting>
  <conditionalFormatting sqref="AA73">
    <cfRule type="containsText" dxfId="567" priority="2124" operator="containsText" text="▽">
      <formula>NOT(ISERROR(SEARCH("▽",AA73)))</formula>
    </cfRule>
    <cfRule type="containsText" dxfId="566" priority="2123" operator="containsText" text="△">
      <formula>NOT(ISERROR(SEARCH("△",AA73)))</formula>
    </cfRule>
    <cfRule type="containsText" dxfId="565" priority="2122" operator="containsText" text="▽">
      <formula>NOT(ISERROR(SEARCH("▽",AA73)))</formula>
    </cfRule>
    <cfRule type="containsText" dxfId="564" priority="2121" operator="containsText" text="△">
      <formula>NOT(ISERROR(SEARCH("△",AA73)))</formula>
    </cfRule>
  </conditionalFormatting>
  <conditionalFormatting sqref="AA74">
    <cfRule type="containsText" dxfId="563" priority="2133" operator="containsText" text="△">
      <formula>NOT(ISERROR(SEARCH("△",AA74)))</formula>
    </cfRule>
    <cfRule type="containsText" dxfId="562" priority="2134" operator="containsText" text="▽">
      <formula>NOT(ISERROR(SEARCH("▽",AA74)))</formula>
    </cfRule>
  </conditionalFormatting>
  <conditionalFormatting sqref="AA74:AA75">
    <cfRule type="containsText" dxfId="561" priority="2135" operator="containsText" text="△">
      <formula>NOT(ISERROR(SEARCH("△",AA74)))</formula>
    </cfRule>
    <cfRule type="containsText" dxfId="560" priority="2136" operator="containsText" text="▽">
      <formula>NOT(ISERROR(SEARCH("▽",AA74)))</formula>
    </cfRule>
  </conditionalFormatting>
  <conditionalFormatting sqref="AA75">
    <cfRule type="containsText" dxfId="559" priority="2139" operator="containsText" text="△">
      <formula>NOT(ISERROR(SEARCH("△",AA75)))</formula>
    </cfRule>
    <cfRule type="containsText" dxfId="558" priority="2140" operator="containsText" text="▽">
      <formula>NOT(ISERROR(SEARCH("▽",AA75)))</formula>
    </cfRule>
  </conditionalFormatting>
  <conditionalFormatting sqref="AA76">
    <cfRule type="containsText" dxfId="557" priority="2119" operator="containsText" text="△">
      <formula>NOT(ISERROR(SEARCH("△",AA76)))</formula>
    </cfRule>
    <cfRule type="containsText" dxfId="556" priority="2117" operator="containsText" text="△">
      <formula>NOT(ISERROR(SEARCH("△",AA76)))</formula>
    </cfRule>
    <cfRule type="containsText" dxfId="555" priority="2118" operator="containsText" text="▽">
      <formula>NOT(ISERROR(SEARCH("▽",AA76)))</formula>
    </cfRule>
    <cfRule type="containsText" dxfId="554" priority="2120" operator="containsText" text="▽">
      <formula>NOT(ISERROR(SEARCH("▽",AA76)))</formula>
    </cfRule>
  </conditionalFormatting>
  <conditionalFormatting sqref="AA77:AA110">
    <cfRule type="containsText" dxfId="553" priority="2144" operator="containsText" text="▽">
      <formula>NOT(ISERROR(SEARCH("▽",AA77)))</formula>
    </cfRule>
    <cfRule type="containsText" dxfId="552" priority="2141" operator="containsText" text="△">
      <formula>NOT(ISERROR(SEARCH("△",AA77)))</formula>
    </cfRule>
    <cfRule type="containsText" dxfId="551" priority="2142" operator="containsText" text="▽">
      <formula>NOT(ISERROR(SEARCH("▽",AA77)))</formula>
    </cfRule>
    <cfRule type="containsText" dxfId="550" priority="2143" operator="containsText" text="△">
      <formula>NOT(ISERROR(SEARCH("△",AA77)))</formula>
    </cfRule>
  </conditionalFormatting>
  <conditionalFormatting sqref="AA78">
    <cfRule type="containsText" dxfId="549" priority="2148" operator="containsText" text="▽">
      <formula>NOT(ISERROR(SEARCH("▽",AA78)))</formula>
    </cfRule>
    <cfRule type="containsText" dxfId="548" priority="2147" operator="containsText" text="△">
      <formula>NOT(ISERROR(SEARCH("△",AA78)))</formula>
    </cfRule>
    <cfRule type="containsText" dxfId="547" priority="2146" operator="containsText" text="▽">
      <formula>NOT(ISERROR(SEARCH("▽",AA78)))</formula>
    </cfRule>
    <cfRule type="containsText" dxfId="546" priority="2145" operator="containsText" text="△">
      <formula>NOT(ISERROR(SEARCH("△",AA78)))</formula>
    </cfRule>
  </conditionalFormatting>
  <conditionalFormatting sqref="AA79:AA110">
    <cfRule type="containsText" dxfId="545" priority="2116" operator="containsText" text="▽">
      <formula>NOT(ISERROR(SEARCH("▽",AA79)))</formula>
    </cfRule>
    <cfRule type="containsText" dxfId="544" priority="2113" operator="containsText" text="△">
      <formula>NOT(ISERROR(SEARCH("△",AA79)))</formula>
    </cfRule>
    <cfRule type="containsText" dxfId="543" priority="2114" operator="containsText" text="▽">
      <formula>NOT(ISERROR(SEARCH("▽",AA79)))</formula>
    </cfRule>
    <cfRule type="containsText" dxfId="542" priority="2115" operator="containsText" text="△">
      <formula>NOT(ISERROR(SEARCH("△",AA79)))</formula>
    </cfRule>
  </conditionalFormatting>
  <conditionalFormatting sqref="AA80">
    <cfRule type="containsText" dxfId="541" priority="2150" operator="containsText" text="▽">
      <formula>NOT(ISERROR(SEARCH("▽",AA80)))</formula>
    </cfRule>
    <cfRule type="containsText" dxfId="540" priority="2149" operator="containsText" text="△">
      <formula>NOT(ISERROR(SEARCH("△",AA80)))</formula>
    </cfRule>
  </conditionalFormatting>
  <conditionalFormatting sqref="AA80:AA81">
    <cfRule type="containsText" dxfId="539" priority="2152" operator="containsText" text="▽">
      <formula>NOT(ISERROR(SEARCH("▽",AA80)))</formula>
    </cfRule>
    <cfRule type="containsText" dxfId="538" priority="2151" operator="containsText" text="△">
      <formula>NOT(ISERROR(SEARCH("△",AA80)))</formula>
    </cfRule>
  </conditionalFormatting>
  <conditionalFormatting sqref="AA81">
    <cfRule type="containsText" dxfId="537" priority="2156" operator="containsText" text="▽">
      <formula>NOT(ISERROR(SEARCH("▽",AA81)))</formula>
    </cfRule>
    <cfRule type="containsText" dxfId="536" priority="2155" operator="containsText" text="△">
      <formula>NOT(ISERROR(SEARCH("△",AA81)))</formula>
    </cfRule>
  </conditionalFormatting>
  <conditionalFormatting sqref="AA82">
    <cfRule type="containsText" dxfId="535" priority="2106" operator="containsText" text="▽">
      <formula>NOT(ISERROR(SEARCH("▽",AA82)))</formula>
    </cfRule>
    <cfRule type="containsText" dxfId="534" priority="2105" operator="containsText" text="△">
      <formula>NOT(ISERROR(SEARCH("△",AA82)))</formula>
    </cfRule>
  </conditionalFormatting>
  <conditionalFormatting sqref="AA82:AA83">
    <cfRule type="containsText" dxfId="533" priority="2107" operator="containsText" text="△">
      <formula>NOT(ISERROR(SEARCH("△",AA82)))</formula>
    </cfRule>
    <cfRule type="containsText" dxfId="532" priority="2108" operator="containsText" text="▽">
      <formula>NOT(ISERROR(SEARCH("▽",AA82)))</formula>
    </cfRule>
  </conditionalFormatting>
  <conditionalFormatting sqref="AA83">
    <cfRule type="containsText" dxfId="531" priority="2111" operator="containsText" text="△">
      <formula>NOT(ISERROR(SEARCH("△",AA83)))</formula>
    </cfRule>
    <cfRule type="containsText" dxfId="530" priority="2112" operator="containsText" text="▽">
      <formula>NOT(ISERROR(SEARCH("▽",AA83)))</formula>
    </cfRule>
  </conditionalFormatting>
  <conditionalFormatting sqref="AA84:AA110">
    <cfRule type="containsText" dxfId="529" priority="2160" operator="containsText" text="▽">
      <formula>NOT(ISERROR(SEARCH("▽",AA84)))</formula>
    </cfRule>
    <cfRule type="containsText" dxfId="528" priority="2159" operator="containsText" text="△">
      <formula>NOT(ISERROR(SEARCH("△",AA84)))</formula>
    </cfRule>
    <cfRule type="containsText" dxfId="527" priority="2158" operator="containsText" text="▽">
      <formula>NOT(ISERROR(SEARCH("▽",AA84)))</formula>
    </cfRule>
    <cfRule type="containsText" dxfId="526" priority="2157" operator="containsText" text="△">
      <formula>NOT(ISERROR(SEARCH("△",AA84)))</formula>
    </cfRule>
  </conditionalFormatting>
  <conditionalFormatting sqref="AA85:AA110">
    <cfRule type="containsText" dxfId="525" priority="2093" operator="containsText" text="△">
      <formula>NOT(ISERROR(SEARCH("△",AA85)))</formula>
    </cfRule>
    <cfRule type="containsText" dxfId="524" priority="2094" operator="containsText" text="▽">
      <formula>NOT(ISERROR(SEARCH("▽",AA85)))</formula>
    </cfRule>
    <cfRule type="containsText" dxfId="523" priority="2095" operator="containsText" text="△">
      <formula>NOT(ISERROR(SEARCH("△",AA85)))</formula>
    </cfRule>
    <cfRule type="containsText" dxfId="522" priority="2096" operator="containsText" text="▽">
      <formula>NOT(ISERROR(SEARCH("▽",AA85)))</formula>
    </cfRule>
  </conditionalFormatting>
  <conditionalFormatting sqref="AA86:AA110">
    <cfRule type="containsText" dxfId="521" priority="2098" operator="containsText" text="▽">
      <formula>NOT(ISERROR(SEARCH("▽",AA86)))</formula>
    </cfRule>
    <cfRule type="containsText" dxfId="520" priority="2099" operator="containsText" text="△">
      <formula>NOT(ISERROR(SEARCH("△",AA86)))</formula>
    </cfRule>
    <cfRule type="containsText" dxfId="519" priority="2100" operator="containsText" text="▽">
      <formula>NOT(ISERROR(SEARCH("▽",AA86)))</formula>
    </cfRule>
    <cfRule type="containsText" dxfId="518" priority="2097" operator="containsText" text="△">
      <formula>NOT(ISERROR(SEARCH("△",AA86)))</formula>
    </cfRule>
  </conditionalFormatting>
  <conditionalFormatting sqref="AA87:AA110">
    <cfRule type="containsText" dxfId="517" priority="2077" operator="containsText" text="△">
      <formula>NOT(ISERROR(SEARCH("△",AA87)))</formula>
    </cfRule>
    <cfRule type="containsText" dxfId="516" priority="2078" operator="containsText" text="▽">
      <formula>NOT(ISERROR(SEARCH("▽",AA87)))</formula>
    </cfRule>
    <cfRule type="containsText" dxfId="515" priority="2079" operator="containsText" text="△">
      <formula>NOT(ISERROR(SEARCH("△",AA87)))</formula>
    </cfRule>
    <cfRule type="containsText" dxfId="514" priority="2080" operator="containsText" text="▽">
      <formula>NOT(ISERROR(SEARCH("▽",AA87)))</formula>
    </cfRule>
  </conditionalFormatting>
  <conditionalFormatting sqref="AA88:AA110">
    <cfRule type="containsText" dxfId="513" priority="2073" operator="containsText" text="△">
      <formula>NOT(ISERROR(SEARCH("△",AA88)))</formula>
    </cfRule>
    <cfRule type="containsText" dxfId="512" priority="2074" operator="containsText" text="▽">
      <formula>NOT(ISERROR(SEARCH("▽",AA88)))</formula>
    </cfRule>
    <cfRule type="containsText" dxfId="511" priority="2075" operator="containsText" text="△">
      <formula>NOT(ISERROR(SEARCH("△",AA88)))</formula>
    </cfRule>
    <cfRule type="containsText" dxfId="510" priority="2076" operator="containsText" text="▽">
      <formula>NOT(ISERROR(SEARCH("▽",AA88)))</formula>
    </cfRule>
  </conditionalFormatting>
  <conditionalFormatting sqref="AA89:AA110">
    <cfRule type="containsText" dxfId="509" priority="2101" operator="containsText" text="△">
      <formula>NOT(ISERROR(SEARCH("△",AA89)))</formula>
    </cfRule>
    <cfRule type="containsText" dxfId="508" priority="2103" operator="containsText" text="△">
      <formula>NOT(ISERROR(SEARCH("△",AA89)))</formula>
    </cfRule>
    <cfRule type="containsText" dxfId="507" priority="2102" operator="containsText" text="▽">
      <formula>NOT(ISERROR(SEARCH("▽",AA89)))</formula>
    </cfRule>
    <cfRule type="containsText" dxfId="506" priority="2104" operator="containsText" text="▽">
      <formula>NOT(ISERROR(SEARCH("▽",AA89)))</formula>
    </cfRule>
  </conditionalFormatting>
  <conditionalFormatting sqref="AA90:AA110">
    <cfRule type="containsText" dxfId="505" priority="2059" operator="containsText" text="△">
      <formula>NOT(ISERROR(SEARCH("△",AA90)))</formula>
    </cfRule>
    <cfRule type="containsText" dxfId="504" priority="2060" operator="containsText" text="▽">
      <formula>NOT(ISERROR(SEARCH("▽",AA90)))</formula>
    </cfRule>
    <cfRule type="containsText" dxfId="503" priority="2058" operator="containsText" text="▽">
      <formula>NOT(ISERROR(SEARCH("▽",AA90)))</formula>
    </cfRule>
    <cfRule type="containsText" dxfId="502" priority="2057" operator="containsText" text="△">
      <formula>NOT(ISERROR(SEARCH("△",AA90)))</formula>
    </cfRule>
  </conditionalFormatting>
  <conditionalFormatting sqref="AA91:AA110">
    <cfRule type="containsText" dxfId="501" priority="2083" operator="containsText" text="△">
      <formula>NOT(ISERROR(SEARCH("△",AA91)))</formula>
    </cfRule>
    <cfRule type="containsText" dxfId="500" priority="2081" operator="containsText" text="△">
      <formula>NOT(ISERROR(SEARCH("△",AA91)))</formula>
    </cfRule>
    <cfRule type="containsText" dxfId="499" priority="2084" operator="containsText" text="▽">
      <formula>NOT(ISERROR(SEARCH("▽",AA91)))</formula>
    </cfRule>
    <cfRule type="containsText" dxfId="498" priority="2082" operator="containsText" text="▽">
      <formula>NOT(ISERROR(SEARCH("▽",AA91)))</formula>
    </cfRule>
  </conditionalFormatting>
  <conditionalFormatting sqref="AA92">
    <cfRule type="containsText" dxfId="497" priority="2085" operator="containsText" text="△">
      <formula>NOT(ISERROR(SEARCH("△",AA92)))</formula>
    </cfRule>
    <cfRule type="containsText" dxfId="496" priority="2086" operator="containsText" text="▽">
      <formula>NOT(ISERROR(SEARCH("▽",AA92)))</formula>
    </cfRule>
    <cfRule type="containsText" dxfId="495" priority="2087" operator="containsText" text="△">
      <formula>NOT(ISERROR(SEARCH("△",AA92)))</formula>
    </cfRule>
    <cfRule type="containsText" dxfId="494" priority="2088" operator="containsText" text="▽">
      <formula>NOT(ISERROR(SEARCH("▽",AA92)))</formula>
    </cfRule>
  </conditionalFormatting>
  <conditionalFormatting sqref="AA93:AA110">
    <cfRule type="containsText" dxfId="493" priority="2069" operator="containsText" text="△">
      <formula>NOT(ISERROR(SEARCH("△",AA93)))</formula>
    </cfRule>
    <cfRule type="containsText" dxfId="492" priority="2070" operator="containsText" text="▽">
      <formula>NOT(ISERROR(SEARCH("▽",AA93)))</formula>
    </cfRule>
    <cfRule type="containsText" dxfId="491" priority="2071" operator="containsText" text="△">
      <formula>NOT(ISERROR(SEARCH("△",AA93)))</formula>
    </cfRule>
    <cfRule type="containsText" dxfId="490" priority="2072" operator="containsText" text="▽">
      <formula>NOT(ISERROR(SEARCH("▽",AA93)))</formula>
    </cfRule>
  </conditionalFormatting>
  <conditionalFormatting sqref="AA94:AA110">
    <cfRule type="containsText" dxfId="489" priority="2041" operator="containsText" text="△">
      <formula>NOT(ISERROR(SEARCH("△",AA94)))</formula>
    </cfRule>
    <cfRule type="containsText" dxfId="488" priority="2042" operator="containsText" text="▽">
      <formula>NOT(ISERROR(SEARCH("▽",AA94)))</formula>
    </cfRule>
    <cfRule type="containsText" dxfId="487" priority="2044" operator="containsText" text="▽">
      <formula>NOT(ISERROR(SEARCH("▽",AA94)))</formula>
    </cfRule>
    <cfRule type="containsText" dxfId="486" priority="2043" operator="containsText" text="△">
      <formula>NOT(ISERROR(SEARCH("△",AA94)))</formula>
    </cfRule>
  </conditionalFormatting>
  <conditionalFormatting sqref="AA95:AA110">
    <cfRule type="containsText" dxfId="485" priority="2045" operator="containsText" text="△">
      <formula>NOT(ISERROR(SEARCH("△",AA95)))</formula>
    </cfRule>
    <cfRule type="containsText" dxfId="484" priority="2047" operator="containsText" text="△">
      <formula>NOT(ISERROR(SEARCH("△",AA95)))</formula>
    </cfRule>
    <cfRule type="containsText" dxfId="483" priority="2046" operator="containsText" text="▽">
      <formula>NOT(ISERROR(SEARCH("▽",AA95)))</formula>
    </cfRule>
    <cfRule type="containsText" dxfId="482" priority="2048" operator="containsText" text="▽">
      <formula>NOT(ISERROR(SEARCH("▽",AA95)))</formula>
    </cfRule>
  </conditionalFormatting>
  <conditionalFormatting sqref="AA96:AA110">
    <cfRule type="containsText" dxfId="481" priority="2089" operator="containsText" text="△">
      <formula>NOT(ISERROR(SEARCH("△",AA96)))</formula>
    </cfRule>
    <cfRule type="containsText" dxfId="480" priority="2092" operator="containsText" text="▽">
      <formula>NOT(ISERROR(SEARCH("▽",AA96)))</formula>
    </cfRule>
    <cfRule type="containsText" dxfId="479" priority="2091" operator="containsText" text="△">
      <formula>NOT(ISERROR(SEARCH("△",AA96)))</formula>
    </cfRule>
    <cfRule type="containsText" dxfId="478" priority="2090" operator="containsText" text="▽">
      <formula>NOT(ISERROR(SEARCH("▽",AA96)))</formula>
    </cfRule>
  </conditionalFormatting>
  <conditionalFormatting sqref="AA97:AA110">
    <cfRule type="containsText" dxfId="477" priority="2040" operator="containsText" text="▽">
      <formula>NOT(ISERROR(SEARCH("▽",AA97)))</formula>
    </cfRule>
    <cfRule type="containsText" dxfId="476" priority="2039" operator="containsText" text="△">
      <formula>NOT(ISERROR(SEARCH("△",AA97)))</formula>
    </cfRule>
    <cfRule type="containsText" dxfId="475" priority="2038" operator="containsText" text="▽">
      <formula>NOT(ISERROR(SEARCH("▽",AA97)))</formula>
    </cfRule>
    <cfRule type="containsText" dxfId="474" priority="2037" operator="containsText" text="△">
      <formula>NOT(ISERROR(SEARCH("△",AA97)))</formula>
    </cfRule>
  </conditionalFormatting>
  <conditionalFormatting sqref="AA98:AA110">
    <cfRule type="containsText" dxfId="473" priority="2052" operator="containsText" text="▽">
      <formula>NOT(ISERROR(SEARCH("▽",AA98)))</formula>
    </cfRule>
    <cfRule type="containsText" dxfId="472" priority="2051" operator="containsText" text="△">
      <formula>NOT(ISERROR(SEARCH("△",AA98)))</formula>
    </cfRule>
    <cfRule type="containsText" dxfId="471" priority="2050" operator="containsText" text="▽">
      <formula>NOT(ISERROR(SEARCH("▽",AA98)))</formula>
    </cfRule>
    <cfRule type="containsText" dxfId="470" priority="2049" operator="containsText" text="△">
      <formula>NOT(ISERROR(SEARCH("△",AA98)))</formula>
    </cfRule>
  </conditionalFormatting>
  <conditionalFormatting sqref="AA99:AA110">
    <cfRule type="containsText" dxfId="469" priority="2065" operator="containsText" text="△">
      <formula>NOT(ISERROR(SEARCH("△",AA99)))</formula>
    </cfRule>
    <cfRule type="containsText" dxfId="468" priority="2067" operator="containsText" text="△">
      <formula>NOT(ISERROR(SEARCH("△",AA99)))</formula>
    </cfRule>
    <cfRule type="containsText" dxfId="467" priority="2066" operator="containsText" text="▽">
      <formula>NOT(ISERROR(SEARCH("▽",AA99)))</formula>
    </cfRule>
    <cfRule type="containsText" dxfId="466" priority="2068" operator="containsText" text="▽">
      <formula>NOT(ISERROR(SEARCH("▽",AA99)))</formula>
    </cfRule>
  </conditionalFormatting>
  <conditionalFormatting sqref="AA100:AA110">
    <cfRule type="containsText" dxfId="465" priority="2054" operator="containsText" text="▽">
      <formula>NOT(ISERROR(SEARCH("▽",AA100)))</formula>
    </cfRule>
    <cfRule type="containsText" dxfId="464" priority="2053" operator="containsText" text="△">
      <formula>NOT(ISERROR(SEARCH("△",AA100)))</formula>
    </cfRule>
    <cfRule type="containsText" dxfId="463" priority="2056" operator="containsText" text="▽">
      <formula>NOT(ISERROR(SEARCH("▽",AA100)))</formula>
    </cfRule>
    <cfRule type="containsText" dxfId="462" priority="2055" operator="containsText" text="△">
      <formula>NOT(ISERROR(SEARCH("△",AA100)))</formula>
    </cfRule>
  </conditionalFormatting>
  <conditionalFormatting sqref="AA101:AA110">
    <cfRule type="containsText" dxfId="461" priority="2030" operator="containsText" text="▽">
      <formula>NOT(ISERROR(SEARCH("▽",AA101)))</formula>
    </cfRule>
    <cfRule type="containsText" dxfId="460" priority="2029" operator="containsText" text="△">
      <formula>NOT(ISERROR(SEARCH("△",AA101)))</formula>
    </cfRule>
    <cfRule type="containsText" dxfId="459" priority="2028" operator="containsText" text="▽">
      <formula>NOT(ISERROR(SEARCH("▽",AA101)))</formula>
    </cfRule>
    <cfRule type="containsText" dxfId="458" priority="2027" operator="containsText" text="△">
      <formula>NOT(ISERROR(SEARCH("△",AA101)))</formula>
    </cfRule>
  </conditionalFormatting>
  <conditionalFormatting sqref="AA102:AA110">
    <cfRule type="containsText" dxfId="457" priority="2022" operator="containsText" text="▽">
      <formula>NOT(ISERROR(SEARCH("▽",AA102)))</formula>
    </cfRule>
    <cfRule type="containsText" dxfId="456" priority="2021" operator="containsText" text="△">
      <formula>NOT(ISERROR(SEARCH("△",AA102)))</formula>
    </cfRule>
    <cfRule type="containsText" dxfId="455" priority="2020" operator="containsText" text="▽">
      <formula>NOT(ISERROR(SEARCH("▽",AA102)))</formula>
    </cfRule>
    <cfRule type="containsText" dxfId="454" priority="2019" operator="containsText" text="△">
      <formula>NOT(ISERROR(SEARCH("△",AA102)))</formula>
    </cfRule>
  </conditionalFormatting>
  <conditionalFormatting sqref="AA103:AA110">
    <cfRule type="containsText" dxfId="453" priority="2036" operator="containsText" text="▽">
      <formula>NOT(ISERROR(SEARCH("▽",AA103)))</formula>
    </cfRule>
    <cfRule type="containsText" dxfId="452" priority="2035" operator="containsText" text="△">
      <formula>NOT(ISERROR(SEARCH("△",AA103)))</formula>
    </cfRule>
    <cfRule type="containsText" dxfId="451" priority="2034" operator="containsText" text="▽">
      <formula>NOT(ISERROR(SEARCH("▽",AA103)))</formula>
    </cfRule>
    <cfRule type="containsText" dxfId="450" priority="2033" operator="containsText" text="△">
      <formula>NOT(ISERROR(SEARCH("△",AA103)))</formula>
    </cfRule>
  </conditionalFormatting>
  <conditionalFormatting sqref="AA104:AA110">
    <cfRule type="containsText" dxfId="449" priority="2018" operator="containsText" text="▽">
      <formula>NOT(ISERROR(SEARCH("▽",AA104)))</formula>
    </cfRule>
    <cfRule type="containsText" dxfId="448" priority="2017" operator="containsText" text="△">
      <formula>NOT(ISERROR(SEARCH("△",AA104)))</formula>
    </cfRule>
    <cfRule type="containsText" dxfId="447" priority="2016" operator="containsText" text="▽">
      <formula>NOT(ISERROR(SEARCH("▽",AA104)))</formula>
    </cfRule>
    <cfRule type="containsText" dxfId="446" priority="2015" operator="containsText" text="△">
      <formula>NOT(ISERROR(SEARCH("△",AA104)))</formula>
    </cfRule>
  </conditionalFormatting>
  <conditionalFormatting sqref="AA105">
    <cfRule type="containsText" dxfId="445" priority="2010" operator="containsText" text="▽">
      <formula>NOT(ISERROR(SEARCH("▽",AA105)))</formula>
    </cfRule>
    <cfRule type="containsText" dxfId="444" priority="2009" operator="containsText" text="△">
      <formula>NOT(ISERROR(SEARCH("△",AA105)))</formula>
    </cfRule>
  </conditionalFormatting>
  <conditionalFormatting sqref="AA105:AA110">
    <cfRule type="containsText" dxfId="443" priority="2001" operator="containsText" text="△">
      <formula>NOT(ISERROR(SEARCH("△",AA105)))</formula>
    </cfRule>
    <cfRule type="containsText" dxfId="442" priority="2002" operator="containsText" text="▽">
      <formula>NOT(ISERROR(SEARCH("▽",AA105)))</formula>
    </cfRule>
  </conditionalFormatting>
  <conditionalFormatting sqref="AA106">
    <cfRule type="containsText" dxfId="441" priority="1999" operator="containsText" text="△">
      <formula>NOT(ISERROR(SEARCH("△",AA106)))</formula>
    </cfRule>
    <cfRule type="containsText" dxfId="440" priority="2000" operator="containsText" text="▽">
      <formula>NOT(ISERROR(SEARCH("▽",AA106)))</formula>
    </cfRule>
  </conditionalFormatting>
  <conditionalFormatting sqref="AA107:AA110">
    <cfRule type="containsText" dxfId="439" priority="2005" operator="containsText" text="△">
      <formula>NOT(ISERROR(SEARCH("△",AA107)))</formula>
    </cfRule>
    <cfRule type="containsText" dxfId="438" priority="2006" operator="containsText" text="▽">
      <formula>NOT(ISERROR(SEARCH("▽",AA107)))</formula>
    </cfRule>
  </conditionalFormatting>
  <conditionalFormatting sqref="AA108">
    <cfRule type="containsText" dxfId="437" priority="1998" operator="containsText" text="▽">
      <formula>NOT(ISERROR(SEARCH("▽",AA108)))</formula>
    </cfRule>
    <cfRule type="containsText" dxfId="436" priority="1997" operator="containsText" text="△">
      <formula>NOT(ISERROR(SEARCH("△",AA108)))</formula>
    </cfRule>
  </conditionalFormatting>
  <conditionalFormatting sqref="AA108:AA110">
    <cfRule type="containsText" dxfId="435" priority="1993" operator="containsText" text="△">
      <formula>NOT(ISERROR(SEARCH("△",AA108)))</formula>
    </cfRule>
    <cfRule type="containsText" dxfId="434" priority="1994" operator="containsText" text="▽">
      <formula>NOT(ISERROR(SEARCH("▽",AA108)))</formula>
    </cfRule>
  </conditionalFormatting>
  <conditionalFormatting sqref="AA109:AA110">
    <cfRule type="containsText" dxfId="433" priority="1991" operator="containsText" text="△">
      <formula>NOT(ISERROR(SEARCH("△",AA109)))</formula>
    </cfRule>
    <cfRule type="containsText" dxfId="432" priority="1992" operator="containsText" text="▽">
      <formula>NOT(ISERROR(SEARCH("▽",AA109)))</formula>
    </cfRule>
  </conditionalFormatting>
  <conditionalFormatting sqref="AA110">
    <cfRule type="containsText" dxfId="431" priority="2011" operator="containsText" text="△">
      <formula>NOT(ISERROR(SEARCH("△",AA110)))</formula>
    </cfRule>
    <cfRule type="containsText" dxfId="430" priority="2014" operator="containsText" text="▽">
      <formula>NOT(ISERROR(SEARCH("▽",AA110)))</formula>
    </cfRule>
    <cfRule type="containsText" dxfId="429" priority="2013" operator="containsText" text="△">
      <formula>NOT(ISERROR(SEARCH("△",AA110)))</formula>
    </cfRule>
    <cfRule type="containsText" dxfId="428" priority="2012" operator="containsText" text="▽">
      <formula>NOT(ISERROR(SEARCH("▽",AA110)))</formula>
    </cfRule>
  </conditionalFormatting>
  <conditionalFormatting sqref="AA116">
    <cfRule type="containsText" dxfId="427" priority="2061" operator="containsText" text="△">
      <formula>NOT(ISERROR(SEARCH("△",AA116)))</formula>
    </cfRule>
    <cfRule type="containsText" dxfId="426" priority="2062" operator="containsText" text="▽">
      <formula>NOT(ISERROR(SEARCH("▽",AA116)))</formula>
    </cfRule>
    <cfRule type="containsText" dxfId="425" priority="2063" operator="containsText" text="△">
      <formula>NOT(ISERROR(SEARCH("△",AA116)))</formula>
    </cfRule>
    <cfRule type="containsText" dxfId="424" priority="2064" operator="containsText" text="▽">
      <formula>NOT(ISERROR(SEARCH("▽",AA116)))</formula>
    </cfRule>
  </conditionalFormatting>
  <conditionalFormatting sqref="AA125">
    <cfRule type="containsText" dxfId="423" priority="1983" operator="containsText" text="△">
      <formula>NOT(ISERROR(SEARCH("△",AA125)))</formula>
    </cfRule>
    <cfRule type="containsText" dxfId="422" priority="1984" operator="containsText" text="▽">
      <formula>NOT(ISERROR(SEARCH("▽",AA125)))</formula>
    </cfRule>
    <cfRule type="containsText" dxfId="421" priority="1985" operator="containsText" text="△">
      <formula>NOT(ISERROR(SEARCH("△",AA125)))</formula>
    </cfRule>
    <cfRule type="containsText" dxfId="420" priority="1986" operator="containsText" text="▽">
      <formula>NOT(ISERROR(SEARCH("▽",AA125)))</formula>
    </cfRule>
  </conditionalFormatting>
  <conditionalFormatting sqref="AA130:AA131">
    <cfRule type="containsText" dxfId="419" priority="2023" operator="containsText" text="△">
      <formula>NOT(ISERROR(SEARCH("△",AA130)))</formula>
    </cfRule>
    <cfRule type="containsText" dxfId="418" priority="2024" operator="containsText" text="▽">
      <formula>NOT(ISERROR(SEARCH("▽",AA130)))</formula>
    </cfRule>
    <cfRule type="containsText" dxfId="417" priority="2025" operator="containsText" text="△">
      <formula>NOT(ISERROR(SEARCH("△",AA130)))</formula>
    </cfRule>
    <cfRule type="containsText" dxfId="416" priority="2026" operator="containsText" text="▽">
      <formula>NOT(ISERROR(SEARCH("▽",AA130)))</formula>
    </cfRule>
  </conditionalFormatting>
  <conditionalFormatting sqref="AA131">
    <cfRule type="containsText" dxfId="415" priority="1989" operator="containsText" text="△">
      <formula>NOT(ISERROR(SEARCH("△",AA131)))</formula>
    </cfRule>
    <cfRule type="containsText" dxfId="414" priority="1990" operator="containsText" text="▽">
      <formula>NOT(ISERROR(SEARCH("▽",AA131)))</formula>
    </cfRule>
  </conditionalFormatting>
  <conditionalFormatting sqref="AA131:AA132">
    <cfRule type="containsText" dxfId="413" priority="1982" operator="containsText" text="▽">
      <formula>NOT(ISERROR(SEARCH("▽",AA131)))</formula>
    </cfRule>
    <cfRule type="containsText" dxfId="412" priority="1981" operator="containsText" text="△">
      <formula>NOT(ISERROR(SEARCH("△",AA131)))</formula>
    </cfRule>
  </conditionalFormatting>
  <conditionalFormatting sqref="AA132:AA134">
    <cfRule type="containsText" dxfId="411" priority="1971" operator="containsText" text="△">
      <formula>NOT(ISERROR(SEARCH("△",AA132)))</formula>
    </cfRule>
    <cfRule type="containsText" dxfId="410" priority="1972" operator="containsText" text="▽">
      <formula>NOT(ISERROR(SEARCH("▽",AA132)))</formula>
    </cfRule>
  </conditionalFormatting>
  <conditionalFormatting sqref="AA133">
    <cfRule type="containsText" dxfId="409" priority="1969" operator="containsText" text="△">
      <formula>NOT(ISERROR(SEARCH("△",AA133)))</formula>
    </cfRule>
    <cfRule type="containsText" dxfId="408" priority="1970" operator="containsText" text="▽">
      <formula>NOT(ISERROR(SEARCH("▽",AA133)))</formula>
    </cfRule>
  </conditionalFormatting>
  <conditionalFormatting sqref="AA134">
    <cfRule type="containsText" dxfId="407" priority="1978" operator="containsText" text="▽">
      <formula>NOT(ISERROR(SEARCH("▽",AA134)))</formula>
    </cfRule>
    <cfRule type="containsText" dxfId="406" priority="1977" operator="containsText" text="△">
      <formula>NOT(ISERROR(SEARCH("△",AA134)))</formula>
    </cfRule>
  </conditionalFormatting>
  <conditionalFormatting sqref="AA136:AA138">
    <cfRule type="containsText" dxfId="405" priority="1856" operator="containsText" text="▽">
      <formula>NOT(ISERROR(SEARCH("▽",AA136)))</formula>
    </cfRule>
    <cfRule type="containsText" dxfId="404" priority="1850" operator="containsText" text="▽">
      <formula>NOT(ISERROR(SEARCH("▽",AA136)))</formula>
    </cfRule>
    <cfRule type="containsText" dxfId="403" priority="1851" operator="containsText" text="△">
      <formula>NOT(ISERROR(SEARCH("△",AA136)))</formula>
    </cfRule>
    <cfRule type="containsText" dxfId="402" priority="1852" operator="containsText" text="▽">
      <formula>NOT(ISERROR(SEARCH("▽",AA136)))</formula>
    </cfRule>
    <cfRule type="containsText" dxfId="401" priority="1855" operator="containsText" text="△">
      <formula>NOT(ISERROR(SEARCH("△",AA136)))</formula>
    </cfRule>
    <cfRule type="containsText" dxfId="400" priority="1849" operator="containsText" text="△">
      <formula>NOT(ISERROR(SEARCH("△",AA136)))</formula>
    </cfRule>
  </conditionalFormatting>
  <conditionalFormatting sqref="AA137:AA138">
    <cfRule type="containsText" dxfId="399" priority="1848" operator="containsText" text="▽">
      <formula>NOT(ISERROR(SEARCH("▽",AA137)))</formula>
    </cfRule>
    <cfRule type="containsText" dxfId="398" priority="1846" operator="containsText" text="▽">
      <formula>NOT(ISERROR(SEARCH("▽",AA137)))</formula>
    </cfRule>
    <cfRule type="containsText" dxfId="397" priority="1847" operator="containsText" text="△">
      <formula>NOT(ISERROR(SEARCH("△",AA137)))</formula>
    </cfRule>
    <cfRule type="containsText" dxfId="396" priority="1845" operator="containsText" text="△">
      <formula>NOT(ISERROR(SEARCH("△",AA137)))</formula>
    </cfRule>
  </conditionalFormatting>
  <conditionalFormatting sqref="AA138">
    <cfRule type="containsText" dxfId="395" priority="1843" operator="containsText" text="△">
      <formula>NOT(ISERROR(SEARCH("△",AA138)))</formula>
    </cfRule>
    <cfRule type="containsText" dxfId="394" priority="1844" operator="containsText" text="▽">
      <formula>NOT(ISERROR(SEARCH("▽",AA138)))</formula>
    </cfRule>
  </conditionalFormatting>
  <conditionalFormatting sqref="AA138:AA141">
    <cfRule type="containsText" dxfId="393" priority="1837" operator="containsText" text="△">
      <formula>NOT(ISERROR(SEARCH("△",AA138)))</formula>
    </cfRule>
    <cfRule type="containsText" dxfId="392" priority="1838" operator="containsText" text="▽">
      <formula>NOT(ISERROR(SEARCH("▽",AA138)))</formula>
    </cfRule>
  </conditionalFormatting>
  <conditionalFormatting sqref="AA139:AA141 Z271:AA271 Z272:Z288">
    <cfRule type="containsText" dxfId="391" priority="1833" operator="containsText" text="▲">
      <formula>NOT(ISERROR(SEARCH("▲",Z139)))</formula>
    </cfRule>
    <cfRule type="containsText" dxfId="390" priority="1834" operator="containsText" text="▼">
      <formula>NOT(ISERROR(SEARCH("▼",Z139)))</formula>
    </cfRule>
  </conditionalFormatting>
  <conditionalFormatting sqref="AA139:AA141">
    <cfRule type="containsText" dxfId="389" priority="1821" operator="containsText" text="△">
      <formula>NOT(ISERROR(SEARCH("△",AA139)))</formula>
    </cfRule>
    <cfRule type="containsText" dxfId="388" priority="1822" operator="containsText" text="▽">
      <formula>NOT(ISERROR(SEARCH("▽",AA139)))</formula>
    </cfRule>
    <cfRule type="containsText" dxfId="387" priority="1823" operator="containsText" text="△">
      <formula>NOT(ISERROR(SEARCH("△",AA139)))</formula>
    </cfRule>
    <cfRule type="containsText" dxfId="386" priority="1824" operator="containsText" text="▽">
      <formula>NOT(ISERROR(SEARCH("▽",AA139)))</formula>
    </cfRule>
    <cfRule type="containsText" dxfId="385" priority="1825" operator="containsText" text="△">
      <formula>NOT(ISERROR(SEARCH("△",AA139)))</formula>
    </cfRule>
    <cfRule type="containsText" dxfId="384" priority="1826" operator="containsText" text="▽">
      <formula>NOT(ISERROR(SEARCH("▽",AA139)))</formula>
    </cfRule>
    <cfRule type="containsText" dxfId="383" priority="1827" operator="containsText" text="△">
      <formula>NOT(ISERROR(SEARCH("△",AA139)))</formula>
    </cfRule>
    <cfRule type="containsText" dxfId="382" priority="1828" operator="containsText" text="▽">
      <formula>NOT(ISERROR(SEARCH("▽",AA139)))</formula>
    </cfRule>
    <cfRule type="containsText" dxfId="381" priority="1813" operator="containsText" text="△">
      <formula>NOT(ISERROR(SEARCH("△",AA139)))</formula>
    </cfRule>
    <cfRule type="containsText" dxfId="380" priority="1831" operator="containsText" text="△">
      <formula>NOT(ISERROR(SEARCH("△",AA139)))</formula>
    </cfRule>
    <cfRule type="containsText" dxfId="379" priority="1832" operator="containsText" text="▽">
      <formula>NOT(ISERROR(SEARCH("▽",AA139)))</formula>
    </cfRule>
    <cfRule type="containsText" dxfId="378" priority="1816" operator="containsText" text="▽">
      <formula>NOT(ISERROR(SEARCH("▽",AA139)))</formula>
    </cfRule>
    <cfRule type="containsText" dxfId="377" priority="1815" operator="containsText" text="△">
      <formula>NOT(ISERROR(SEARCH("△",AA139)))</formula>
    </cfRule>
    <cfRule type="containsText" dxfId="376" priority="1811" operator="containsText" text="△">
      <formula>NOT(ISERROR(SEARCH("△",AA139)))</formula>
    </cfRule>
    <cfRule type="containsText" dxfId="375" priority="1812" operator="containsText" text="▽">
      <formula>NOT(ISERROR(SEARCH("▽",AA139)))</formula>
    </cfRule>
    <cfRule type="containsText" dxfId="374" priority="1814" operator="containsText" text="▽">
      <formula>NOT(ISERROR(SEARCH("▽",AA139)))</formula>
    </cfRule>
  </conditionalFormatting>
  <conditionalFormatting sqref="AA139:AA142">
    <cfRule type="containsText" dxfId="373" priority="1803" operator="containsText" text="△">
      <formula>NOT(ISERROR(SEARCH("△",AA139)))</formula>
    </cfRule>
    <cfRule type="containsText" dxfId="372" priority="1804" operator="containsText" text="▽">
      <formula>NOT(ISERROR(SEARCH("▽",AA139)))</formula>
    </cfRule>
  </conditionalFormatting>
  <conditionalFormatting sqref="AA141">
    <cfRule type="containsText" dxfId="371" priority="1819" operator="containsText" text="△">
      <formula>NOT(ISERROR(SEARCH("△",AA141)))</formula>
    </cfRule>
    <cfRule type="containsText" dxfId="370" priority="1820" operator="containsText" text="▽">
      <formula>NOT(ISERROR(SEARCH("▽",AA141)))</formula>
    </cfRule>
    <cfRule type="containsText" dxfId="369" priority="1817" operator="containsText" text="△">
      <formula>NOT(ISERROR(SEARCH("△",AA141)))</formula>
    </cfRule>
    <cfRule type="containsText" dxfId="368" priority="1818" operator="containsText" text="▽">
      <formula>NOT(ISERROR(SEARCH("▽",AA141)))</formula>
    </cfRule>
  </conditionalFormatting>
  <conditionalFormatting sqref="AA142">
    <cfRule type="containsText" dxfId="367" priority="1797" operator="containsText" text="△">
      <formula>NOT(ISERROR(SEARCH("△",AA142)))</formula>
    </cfRule>
    <cfRule type="containsText" dxfId="366" priority="1798" operator="containsText" text="▽">
      <formula>NOT(ISERROR(SEARCH("▽",AA142)))</formula>
    </cfRule>
    <cfRule type="containsText" dxfId="365" priority="1799" operator="containsText" text="△">
      <formula>NOT(ISERROR(SEARCH("△",AA142)))</formula>
    </cfRule>
    <cfRule type="containsText" dxfId="364" priority="1800" operator="containsText" text="▽">
      <formula>NOT(ISERROR(SEARCH("▽",AA142)))</formula>
    </cfRule>
    <cfRule type="containsText" dxfId="363" priority="1801" operator="containsText" text="△">
      <formula>NOT(ISERROR(SEARCH("△",AA142)))</formula>
    </cfRule>
    <cfRule type="containsText" dxfId="362" priority="1802" operator="containsText" text="▽">
      <formula>NOT(ISERROR(SEARCH("▽",AA142)))</formula>
    </cfRule>
    <cfRule type="containsText" dxfId="361" priority="1796" operator="containsText" text="▽">
      <formula>NOT(ISERROR(SEARCH("▽",AA142)))</formula>
    </cfRule>
    <cfRule type="containsText" dxfId="360" priority="1781" operator="containsText" text="△">
      <formula>NOT(ISERROR(SEARCH("△",AA142)))</formula>
    </cfRule>
    <cfRule type="containsText" dxfId="359" priority="1782" operator="containsText" text="▽">
      <formula>NOT(ISERROR(SEARCH("▽",AA142)))</formula>
    </cfRule>
    <cfRule type="containsText" dxfId="358" priority="1785" operator="containsText" text="△">
      <formula>NOT(ISERROR(SEARCH("△",AA142)))</formula>
    </cfRule>
    <cfRule type="containsText" dxfId="357" priority="1786" operator="containsText" text="▽">
      <formula>NOT(ISERROR(SEARCH("▽",AA142)))</formula>
    </cfRule>
    <cfRule type="containsText" dxfId="356" priority="1787" operator="containsText" text="△">
      <formula>NOT(ISERROR(SEARCH("△",AA142)))</formula>
    </cfRule>
    <cfRule type="containsText" dxfId="355" priority="1788" operator="containsText" text="▽">
      <formula>NOT(ISERROR(SEARCH("▽",AA142)))</formula>
    </cfRule>
    <cfRule type="containsText" dxfId="354" priority="1789" operator="containsText" text="△">
      <formula>NOT(ISERROR(SEARCH("△",AA142)))</formula>
    </cfRule>
    <cfRule type="containsText" dxfId="353" priority="1790" operator="containsText" text="▽">
      <formula>NOT(ISERROR(SEARCH("▽",AA142)))</formula>
    </cfRule>
    <cfRule type="containsText" dxfId="352" priority="1791" operator="containsText" text="△">
      <formula>NOT(ISERROR(SEARCH("△",AA142)))</formula>
    </cfRule>
    <cfRule type="containsText" dxfId="351" priority="1792" operator="containsText" text="▽">
      <formula>NOT(ISERROR(SEARCH("▽",AA142)))</formula>
    </cfRule>
    <cfRule type="containsText" dxfId="350" priority="1793" operator="containsText" text="△">
      <formula>NOT(ISERROR(SEARCH("△",AA142)))</formula>
    </cfRule>
    <cfRule type="containsText" dxfId="349" priority="1794" operator="containsText" text="▽">
      <formula>NOT(ISERROR(SEARCH("▽",AA142)))</formula>
    </cfRule>
    <cfRule type="containsText" dxfId="348" priority="1795" operator="containsText" text="△">
      <formula>NOT(ISERROR(SEARCH("△",AA142)))</formula>
    </cfRule>
    <cfRule type="containsText" dxfId="347" priority="1784" operator="containsText" text="▽">
      <formula>NOT(ISERROR(SEARCH("▽",AA142)))</formula>
    </cfRule>
    <cfRule type="containsText" dxfId="346" priority="1783" operator="containsText" text="△">
      <formula>NOT(ISERROR(SEARCH("△",AA142)))</formula>
    </cfRule>
  </conditionalFormatting>
  <conditionalFormatting sqref="AA142:AA143">
    <cfRule type="containsText" dxfId="345" priority="1772" operator="containsText" text="▽">
      <formula>NOT(ISERROR(SEARCH("▽",AA142)))</formula>
    </cfRule>
    <cfRule type="containsText" dxfId="344" priority="1771" operator="containsText" text="△">
      <formula>NOT(ISERROR(SEARCH("△",AA142)))</formula>
    </cfRule>
  </conditionalFormatting>
  <conditionalFormatting sqref="AA143">
    <cfRule type="containsText" dxfId="343" priority="1775" operator="containsText" text="▲">
      <formula>NOT(ISERROR(SEARCH("▲",AA143)))</formula>
    </cfRule>
    <cfRule type="containsText" dxfId="342" priority="1776" operator="containsText" text="▼">
      <formula>NOT(ISERROR(SEARCH("▼",AA143)))</formula>
    </cfRule>
  </conditionalFormatting>
  <conditionalFormatting sqref="AA143:AA145">
    <cfRule type="containsText" dxfId="341" priority="801" operator="containsText" text="△">
      <formula>NOT(ISERROR(SEARCH("△",AA143)))</formula>
    </cfRule>
    <cfRule type="containsText" dxfId="340" priority="802" operator="containsText" text="▽">
      <formula>NOT(ISERROR(SEARCH("▽",AA143)))</formula>
    </cfRule>
  </conditionalFormatting>
  <conditionalFormatting sqref="AA144">
    <cfRule type="containsText" dxfId="339" priority="799" operator="containsText" text="△">
      <formula>NOT(ISERROR(SEARCH("△",AA144)))</formula>
    </cfRule>
    <cfRule type="containsText" dxfId="338" priority="800" operator="containsText" text="▽">
      <formula>NOT(ISERROR(SEARCH("▽",AA144)))</formula>
    </cfRule>
  </conditionalFormatting>
  <conditionalFormatting sqref="AA144:AA148">
    <cfRule type="containsText" dxfId="337" priority="1766" operator="containsText" text="▼">
      <formula>NOT(ISERROR(SEARCH("▼",AA144)))</formula>
    </cfRule>
    <cfRule type="containsText" dxfId="336" priority="1765" operator="containsText" text="▲">
      <formula>NOT(ISERROR(SEARCH("▲",AA144)))</formula>
    </cfRule>
  </conditionalFormatting>
  <conditionalFormatting sqref="AA145:AA146">
    <cfRule type="containsText" dxfId="335" priority="805" operator="containsText" text="△">
      <formula>NOT(ISERROR(SEARCH("△",AA145)))</formula>
    </cfRule>
    <cfRule type="containsText" dxfId="334" priority="806" operator="containsText" text="▽">
      <formula>NOT(ISERROR(SEARCH("▽",AA145)))</formula>
    </cfRule>
  </conditionalFormatting>
  <conditionalFormatting sqref="AA146:AA150">
    <cfRule type="containsText" dxfId="333" priority="1706" operator="containsText" text="▽">
      <formula>NOT(ISERROR(SEARCH("▽",AA146)))</formula>
    </cfRule>
    <cfRule type="containsText" dxfId="332" priority="1705" operator="containsText" text="△">
      <formula>NOT(ISERROR(SEARCH("△",AA146)))</formula>
    </cfRule>
  </conditionalFormatting>
  <conditionalFormatting sqref="AA147:AA148">
    <cfRule type="containsText" dxfId="331" priority="1764" operator="containsText" text="▽">
      <formula>NOT(ISERROR(SEARCH("▽",AA147)))</formula>
    </cfRule>
    <cfRule type="containsText" dxfId="330" priority="1763" operator="containsText" text="△">
      <formula>NOT(ISERROR(SEARCH("△",AA147)))</formula>
    </cfRule>
  </conditionalFormatting>
  <conditionalFormatting sqref="AA148:AA152">
    <cfRule type="containsText" dxfId="329" priority="377" operator="containsText" text="▲">
      <formula>NOT(ISERROR(SEARCH("▲",AA148)))</formula>
    </cfRule>
    <cfRule type="containsText" dxfId="328" priority="378" operator="containsText" text="▼">
      <formula>NOT(ISERROR(SEARCH("▼",AA148)))</formula>
    </cfRule>
  </conditionalFormatting>
  <conditionalFormatting sqref="AA153">
    <cfRule type="containsText" dxfId="327" priority="1734" operator="containsText" text="▽">
      <formula>NOT(ISERROR(SEARCH("▽",AA153)))</formula>
    </cfRule>
    <cfRule type="containsText" dxfId="326" priority="1733" operator="containsText" text="△">
      <formula>NOT(ISERROR(SEARCH("△",AA153)))</formula>
    </cfRule>
  </conditionalFormatting>
  <conditionalFormatting sqref="AA153:AA161 AA163:AA173">
    <cfRule type="containsText" dxfId="325" priority="1724" operator="containsText" text="▼">
      <formula>NOT(ISERROR(SEARCH("▼",AA153)))</formula>
    </cfRule>
  </conditionalFormatting>
  <conditionalFormatting sqref="AA155:AA161 AA163:AA173">
    <cfRule type="containsText" dxfId="324" priority="1727" operator="containsText" text="▲">
      <formula>NOT(ISERROR(SEARCH("▲",AA155)))</formula>
    </cfRule>
    <cfRule type="containsText" dxfId="323" priority="1728" operator="containsText" text="▼">
      <formula>NOT(ISERROR(SEARCH("▼",AA155)))</formula>
    </cfRule>
  </conditionalFormatting>
  <conditionalFormatting sqref="AA156:AA161 AA163:AA173">
    <cfRule type="containsText" dxfId="322" priority="1712" operator="containsText" text="▼">
      <formula>NOT(ISERROR(SEARCH("▼",AA156)))</formula>
    </cfRule>
  </conditionalFormatting>
  <conditionalFormatting sqref="AA157:AA161 AA163:AA173">
    <cfRule type="containsText" dxfId="321" priority="1748" operator="containsText" text="▼">
      <formula>NOT(ISERROR(SEARCH("▼",AA157)))</formula>
    </cfRule>
  </conditionalFormatting>
  <conditionalFormatting sqref="AA158:AA161 AA163:AA173">
    <cfRule type="containsText" dxfId="320" priority="1716" operator="containsText" text="▼">
      <formula>NOT(ISERROR(SEARCH("▼",AA158)))</formula>
    </cfRule>
    <cfRule type="containsText" dxfId="319" priority="1715" operator="containsText" text="▲">
      <formula>NOT(ISERROR(SEARCH("▲",AA158)))</formula>
    </cfRule>
  </conditionalFormatting>
  <conditionalFormatting sqref="AA159:AA162">
    <cfRule type="containsText" dxfId="318" priority="1664" operator="containsText" text="▼">
      <formula>NOT(ISERROR(SEARCH("▼",AA159)))</formula>
    </cfRule>
    <cfRule type="containsText" dxfId="317" priority="1663" operator="containsText" text="▲">
      <formula>NOT(ISERROR(SEARCH("▲",AA159)))</formula>
    </cfRule>
  </conditionalFormatting>
  <conditionalFormatting sqref="AA160:AA161 AA163:AA173">
    <cfRule type="containsText" dxfId="316" priority="1752" operator="containsText" text="▼">
      <formula>NOT(ISERROR(SEARCH("▼",AA160)))</formula>
    </cfRule>
    <cfRule type="containsText" dxfId="315" priority="1751" operator="containsText" text="▲">
      <formula>NOT(ISERROR(SEARCH("▲",AA160)))</formula>
    </cfRule>
  </conditionalFormatting>
  <conditionalFormatting sqref="AA161 AA163:AA173">
    <cfRule type="containsText" dxfId="314" priority="1686" operator="containsText" text="▼">
      <formula>NOT(ISERROR(SEARCH("▼",AA161)))</formula>
    </cfRule>
  </conditionalFormatting>
  <conditionalFormatting sqref="AA162">
    <cfRule type="containsText" dxfId="313" priority="1639" operator="containsText" text="▲">
      <formula>NOT(ISERROR(SEARCH("▲",AA162)))</formula>
    </cfRule>
    <cfRule type="containsText" dxfId="312" priority="1640" operator="containsText" text="▼">
      <formula>NOT(ISERROR(SEARCH("▼",AA162)))</formula>
    </cfRule>
    <cfRule type="containsText" dxfId="311" priority="1643" operator="containsText" text="▲">
      <formula>NOT(ISERROR(SEARCH("▲",AA162)))</formula>
    </cfRule>
    <cfRule type="containsText" dxfId="310" priority="1644" operator="containsText" text="▼">
      <formula>NOT(ISERROR(SEARCH("▼",AA162)))</formula>
    </cfRule>
    <cfRule type="containsText" dxfId="309" priority="1647" operator="containsText" text="▲">
      <formula>NOT(ISERROR(SEARCH("▲",AA162)))</formula>
    </cfRule>
    <cfRule type="containsText" dxfId="308" priority="1648" operator="containsText" text="▼">
      <formula>NOT(ISERROR(SEARCH("▼",AA162)))</formula>
    </cfRule>
    <cfRule type="containsText" dxfId="307" priority="1651" operator="containsText" text="▲">
      <formula>NOT(ISERROR(SEARCH("▲",AA162)))</formula>
    </cfRule>
    <cfRule type="containsText" dxfId="306" priority="1655" operator="containsText" text="▲">
      <formula>NOT(ISERROR(SEARCH("▲",AA162)))</formula>
    </cfRule>
    <cfRule type="containsText" dxfId="305" priority="1656" operator="containsText" text="▼">
      <formula>NOT(ISERROR(SEARCH("▼",AA162)))</formula>
    </cfRule>
    <cfRule type="containsText" dxfId="304" priority="1659" operator="containsText" text="▲">
      <formula>NOT(ISERROR(SEARCH("▲",AA162)))</formula>
    </cfRule>
    <cfRule type="containsText" dxfId="303" priority="1660" operator="containsText" text="▼">
      <formula>NOT(ISERROR(SEARCH("▼",AA162)))</formula>
    </cfRule>
    <cfRule type="containsText" dxfId="302" priority="1652" operator="containsText" text="▼">
      <formula>NOT(ISERROR(SEARCH("▼",AA162)))</formula>
    </cfRule>
    <cfRule type="containsText" dxfId="301" priority="1635" operator="containsText" text="▲">
      <formula>NOT(ISERROR(SEARCH("▲",AA162)))</formula>
    </cfRule>
    <cfRule type="containsText" dxfId="300" priority="1636" operator="containsText" text="▼">
      <formula>NOT(ISERROR(SEARCH("▼",AA162)))</formula>
    </cfRule>
  </conditionalFormatting>
  <conditionalFormatting sqref="AA163:AA173 AA153:AA161">
    <cfRule type="containsText" dxfId="299" priority="1723" operator="containsText" text="▲">
      <formula>NOT(ISERROR(SEARCH("▲",AA153)))</formula>
    </cfRule>
  </conditionalFormatting>
  <conditionalFormatting sqref="AA163:AA173 AA156:AA161">
    <cfRule type="containsText" dxfId="298" priority="1711" operator="containsText" text="▲">
      <formula>NOT(ISERROR(SEARCH("▲",AA156)))</formula>
    </cfRule>
  </conditionalFormatting>
  <conditionalFormatting sqref="AA163:AA173 AA157:AA161">
    <cfRule type="containsText" dxfId="297" priority="1747" operator="containsText" text="▲">
      <formula>NOT(ISERROR(SEARCH("▲",AA157)))</formula>
    </cfRule>
  </conditionalFormatting>
  <conditionalFormatting sqref="AA163:AA173 AA161">
    <cfRule type="containsText" dxfId="296" priority="1685" operator="containsText" text="▲">
      <formula>NOT(ISERROR(SEARCH("▲",AA161)))</formula>
    </cfRule>
  </conditionalFormatting>
  <conditionalFormatting sqref="AA163:AA173">
    <cfRule type="containsText" dxfId="295" priority="1675" operator="containsText" text="▲">
      <formula>NOT(ISERROR(SEARCH("▲",AA163)))</formula>
    </cfRule>
    <cfRule type="containsText" dxfId="294" priority="1677" operator="containsText" text="▲">
      <formula>NOT(ISERROR(SEARCH("▲",AA163)))</formula>
    </cfRule>
    <cfRule type="containsText" dxfId="293" priority="1676" operator="containsText" text="▼">
      <formula>NOT(ISERROR(SEARCH("▼",AA163)))</formula>
    </cfRule>
    <cfRule type="containsText" dxfId="292" priority="1678" operator="containsText" text="▼">
      <formula>NOT(ISERROR(SEARCH("▼",AA163)))</formula>
    </cfRule>
  </conditionalFormatting>
  <conditionalFormatting sqref="AA164:AA173">
    <cfRule type="containsText" dxfId="291" priority="1708" operator="containsText" text="▼">
      <formula>NOT(ISERROR(SEARCH("▼",AA164)))</formula>
    </cfRule>
    <cfRule type="containsText" dxfId="290" priority="1707" operator="containsText" text="▲">
      <formula>NOT(ISERROR(SEARCH("▲",AA164)))</formula>
    </cfRule>
  </conditionalFormatting>
  <conditionalFormatting sqref="AA166:AA173">
    <cfRule type="containsText" dxfId="289" priority="1744" operator="containsText" text="▼">
      <formula>NOT(ISERROR(SEARCH("▼",AA166)))</formula>
    </cfRule>
    <cfRule type="containsText" dxfId="288" priority="1743" operator="containsText" text="▲">
      <formula>NOT(ISERROR(SEARCH("▲",AA166)))</formula>
    </cfRule>
  </conditionalFormatting>
  <conditionalFormatting sqref="AA167:AA173">
    <cfRule type="containsText" dxfId="287" priority="1719" operator="containsText" text="▲">
      <formula>NOT(ISERROR(SEARCH("▲",AA167)))</formula>
    </cfRule>
    <cfRule type="containsText" dxfId="286" priority="1720" operator="containsText" text="▼">
      <formula>NOT(ISERROR(SEARCH("▼",AA167)))</formula>
    </cfRule>
  </conditionalFormatting>
  <conditionalFormatting sqref="AA168:AA173">
    <cfRule type="containsText" dxfId="285" priority="1692" operator="containsText" text="▼">
      <formula>NOT(ISERROR(SEARCH("▼",AA168)))</formula>
    </cfRule>
    <cfRule type="containsText" dxfId="284" priority="1691" operator="containsText" text="▲">
      <formula>NOT(ISERROR(SEARCH("▲",AA168)))</formula>
    </cfRule>
  </conditionalFormatting>
  <conditionalFormatting sqref="AA169:AA173">
    <cfRule type="containsText" dxfId="283" priority="1687" operator="containsText" text="▲">
      <formula>NOT(ISERROR(SEARCH("▲",AA169)))</formula>
    </cfRule>
    <cfRule type="containsText" dxfId="282" priority="1688" operator="containsText" text="▼">
      <formula>NOT(ISERROR(SEARCH("▼",AA169)))</formula>
    </cfRule>
  </conditionalFormatting>
  <conditionalFormatting sqref="AA170:AA173">
    <cfRule type="containsText" dxfId="281" priority="1682" operator="containsText" text="▼">
      <formula>NOT(ISERROR(SEARCH("▼",AA170)))</formula>
    </cfRule>
    <cfRule type="containsText" dxfId="280" priority="1681" operator="containsText" text="▲">
      <formula>NOT(ISERROR(SEARCH("▲",AA170)))</formula>
    </cfRule>
  </conditionalFormatting>
  <conditionalFormatting sqref="AA171:AA189">
    <cfRule type="containsText" dxfId="279" priority="1619" operator="containsText" text="▲">
      <formula>NOT(ISERROR(SEARCH("▲",AA171)))</formula>
    </cfRule>
    <cfRule type="containsText" dxfId="278" priority="1620" operator="containsText" text="▼">
      <formula>NOT(ISERROR(SEARCH("▼",AA171)))</formula>
    </cfRule>
  </conditionalFormatting>
  <conditionalFormatting sqref="AA172:AA173">
    <cfRule type="containsText" dxfId="277" priority="1672" operator="containsText" text="▼">
      <formula>NOT(ISERROR(SEARCH("▼",AA172)))</formula>
    </cfRule>
    <cfRule type="containsText" dxfId="276" priority="1671" operator="containsText" text="▲">
      <formula>NOT(ISERROR(SEARCH("▲",AA172)))</formula>
    </cfRule>
  </conditionalFormatting>
  <conditionalFormatting sqref="AA174">
    <cfRule type="containsText" dxfId="275" priority="1593" operator="containsText" text="△">
      <formula>NOT(ISERROR(SEARCH("△",AA174)))</formula>
    </cfRule>
    <cfRule type="containsText" dxfId="274" priority="1605" operator="containsText" text="△">
      <formula>NOT(ISERROR(SEARCH("△",AA174)))</formula>
    </cfRule>
    <cfRule type="containsText" dxfId="273" priority="1604" operator="containsText" text="▽">
      <formula>NOT(ISERROR(SEARCH("▽",AA174)))</formula>
    </cfRule>
    <cfRule type="containsText" dxfId="272" priority="1603" operator="containsText" text="△">
      <formula>NOT(ISERROR(SEARCH("△",AA174)))</formula>
    </cfRule>
    <cfRule type="containsText" dxfId="271" priority="1601" operator="containsText" text="△">
      <formula>NOT(ISERROR(SEARCH("△",AA174)))</formula>
    </cfRule>
    <cfRule type="containsText" dxfId="270" priority="1600" operator="containsText" text="▽">
      <formula>NOT(ISERROR(SEARCH("▽",AA174)))</formula>
    </cfRule>
    <cfRule type="containsText" dxfId="269" priority="1599" operator="containsText" text="△">
      <formula>NOT(ISERROR(SEARCH("△",AA174)))</formula>
    </cfRule>
    <cfRule type="containsText" dxfId="268" priority="1598" operator="containsText" text="▽">
      <formula>NOT(ISERROR(SEARCH("▽",AA174)))</formula>
    </cfRule>
    <cfRule type="containsText" dxfId="267" priority="1613" operator="containsText" text="△">
      <formula>NOT(ISERROR(SEARCH("△",AA174)))</formula>
    </cfRule>
    <cfRule type="containsText" dxfId="266" priority="1610" operator="containsText" text="▽">
      <formula>NOT(ISERROR(SEARCH("▽",AA174)))</formula>
    </cfRule>
    <cfRule type="containsText" dxfId="265" priority="1614" operator="containsText" text="▽">
      <formula>NOT(ISERROR(SEARCH("▽",AA174)))</formula>
    </cfRule>
    <cfRule type="containsText" dxfId="264" priority="1609" operator="containsText" text="△">
      <formula>NOT(ISERROR(SEARCH("△",AA174)))</formula>
    </cfRule>
    <cfRule type="containsText" dxfId="263" priority="1608" operator="containsText" text="▽">
      <formula>NOT(ISERROR(SEARCH("▽",AA174)))</formula>
    </cfRule>
    <cfRule type="containsText" dxfId="262" priority="1594" operator="containsText" text="▽">
      <formula>NOT(ISERROR(SEARCH("▽",AA174)))</formula>
    </cfRule>
    <cfRule type="containsText" dxfId="261" priority="1629" operator="containsText" text="△">
      <formula>NOT(ISERROR(SEARCH("△",AA174)))</formula>
    </cfRule>
    <cfRule type="containsText" dxfId="260" priority="1630" operator="containsText" text="▽">
      <formula>NOT(ISERROR(SEARCH("▽",AA174)))</formula>
    </cfRule>
    <cfRule type="containsText" dxfId="259" priority="1607" operator="containsText" text="△">
      <formula>NOT(ISERROR(SEARCH("△",AA174)))</formula>
    </cfRule>
    <cfRule type="containsText" dxfId="258" priority="1595" operator="containsText" text="△">
      <formula>NOT(ISERROR(SEARCH("△",AA174)))</formula>
    </cfRule>
    <cfRule type="containsText" dxfId="257" priority="1596" operator="containsText" text="▽">
      <formula>NOT(ISERROR(SEARCH("▽",AA174)))</formula>
    </cfRule>
    <cfRule type="containsText" dxfId="256" priority="1602" operator="containsText" text="▽">
      <formula>NOT(ISERROR(SEARCH("▽",AA174)))</formula>
    </cfRule>
    <cfRule type="containsText" dxfId="255" priority="1597" operator="containsText" text="△">
      <formula>NOT(ISERROR(SEARCH("△",AA174)))</formula>
    </cfRule>
    <cfRule type="containsText" dxfId="254" priority="1606" operator="containsText" text="▽">
      <formula>NOT(ISERROR(SEARCH("▽",AA174)))</formula>
    </cfRule>
  </conditionalFormatting>
  <conditionalFormatting sqref="AA178 AA180:AA189">
    <cfRule type="containsText" dxfId="253" priority="1626" operator="containsText" text="▼">
      <formula>NOT(ISERROR(SEARCH("▼",AA178)))</formula>
    </cfRule>
  </conditionalFormatting>
  <conditionalFormatting sqref="AA180:AA189 AA178">
    <cfRule type="containsText" dxfId="252" priority="1625" operator="containsText" text="▲">
      <formula>NOT(ISERROR(SEARCH("▲",AA178)))</formula>
    </cfRule>
  </conditionalFormatting>
  <conditionalFormatting sqref="AA185:AA189">
    <cfRule type="containsText" dxfId="251" priority="1622" operator="containsText" text="▼">
      <formula>NOT(ISERROR(SEARCH("▼",AA185)))</formula>
    </cfRule>
    <cfRule type="containsText" dxfId="250" priority="1621" operator="containsText" text="▲">
      <formula>NOT(ISERROR(SEARCH("▲",AA185)))</formula>
    </cfRule>
  </conditionalFormatting>
  <conditionalFormatting sqref="AA190">
    <cfRule type="containsText" dxfId="249" priority="1588" operator="containsText" text="▽">
      <formula>NOT(ISERROR(SEARCH("▽",AA190)))</formula>
    </cfRule>
    <cfRule type="containsText" dxfId="248" priority="1579" operator="containsText" text="▲">
      <formula>NOT(ISERROR(SEARCH("▲",AA190)))</formula>
    </cfRule>
    <cfRule type="containsText" dxfId="247" priority="1578" operator="containsText" text="▼">
      <formula>NOT(ISERROR(SEARCH("▼",AA190)))</formula>
    </cfRule>
    <cfRule type="containsText" dxfId="246" priority="1577" operator="containsText" text="▲">
      <formula>NOT(ISERROR(SEARCH("▲",AA190)))</formula>
    </cfRule>
    <cfRule type="containsText" dxfId="245" priority="1576" operator="containsText" text="▼">
      <formula>NOT(ISERROR(SEARCH("▼",AA190)))</formula>
    </cfRule>
    <cfRule type="containsText" dxfId="244" priority="1574" operator="containsText" text="▼">
      <formula>NOT(ISERROR(SEARCH("▼",AA190)))</formula>
    </cfRule>
    <cfRule type="containsText" dxfId="243" priority="1573" operator="containsText" text="▲">
      <formula>NOT(ISERROR(SEARCH("▲",AA190)))</formula>
    </cfRule>
    <cfRule type="containsText" dxfId="242" priority="1575" operator="containsText" text="▲">
      <formula>NOT(ISERROR(SEARCH("▲",AA190)))</formula>
    </cfRule>
    <cfRule type="containsText" dxfId="241" priority="1580" operator="containsText" text="▼">
      <formula>NOT(ISERROR(SEARCH("▼",AA190)))</formula>
    </cfRule>
    <cfRule type="containsText" dxfId="240" priority="1583" operator="containsText" text="▲">
      <formula>NOT(ISERROR(SEARCH("▲",AA190)))</formula>
    </cfRule>
    <cfRule type="containsText" dxfId="239" priority="1584" operator="containsText" text="▼">
      <formula>NOT(ISERROR(SEARCH("▼",AA190)))</formula>
    </cfRule>
    <cfRule type="containsText" dxfId="238" priority="1587" operator="containsText" text="△">
      <formula>NOT(ISERROR(SEARCH("△",AA190)))</formula>
    </cfRule>
  </conditionalFormatting>
  <conditionalFormatting sqref="AA190:AA216">
    <cfRule type="containsText" dxfId="237" priority="1557" operator="containsText" text="▲">
      <formula>NOT(ISERROR(SEARCH("▲",AA190)))</formula>
    </cfRule>
    <cfRule type="containsText" dxfId="236" priority="1558" operator="containsText" text="▼">
      <formula>NOT(ISERROR(SEARCH("▼",AA190)))</formula>
    </cfRule>
  </conditionalFormatting>
  <conditionalFormatting sqref="AA191">
    <cfRule type="containsText" dxfId="235" priority="1511" operator="containsText" text="△">
      <formula>NOT(ISERROR(SEARCH("△",AA191)))</formula>
    </cfRule>
    <cfRule type="containsText" dxfId="234" priority="1504" operator="containsText" text="▽">
      <formula>NOT(ISERROR(SEARCH("▽",AA191)))</formula>
    </cfRule>
    <cfRule type="containsText" dxfId="233" priority="1515" operator="containsText" text="△">
      <formula>NOT(ISERROR(SEARCH("△",AA191)))</formula>
    </cfRule>
    <cfRule type="containsText" dxfId="232" priority="1514" operator="containsText" text="▽">
      <formula>NOT(ISERROR(SEARCH("▽",AA191)))</formula>
    </cfRule>
    <cfRule type="containsText" dxfId="231" priority="1513" operator="containsText" text="△">
      <formula>NOT(ISERROR(SEARCH("△",AA191)))</formula>
    </cfRule>
    <cfRule type="containsText" dxfId="230" priority="1503" operator="containsText" text="△">
      <formula>NOT(ISERROR(SEARCH("△",AA191)))</formula>
    </cfRule>
    <cfRule type="containsText" dxfId="229" priority="1501" operator="containsText" text="△">
      <formula>NOT(ISERROR(SEARCH("△",AA191)))</formula>
    </cfRule>
    <cfRule type="containsText" dxfId="228" priority="1500" operator="containsText" text="▽">
      <formula>NOT(ISERROR(SEARCH("▽",AA191)))</formula>
    </cfRule>
    <cfRule type="containsText" dxfId="227" priority="1499" operator="containsText" text="△">
      <formula>NOT(ISERROR(SEARCH("△",AA191)))</formula>
    </cfRule>
    <cfRule type="containsText" dxfId="226" priority="1498" operator="containsText" text="▽">
      <formula>NOT(ISERROR(SEARCH("▽",AA191)))</formula>
    </cfRule>
    <cfRule type="containsText" dxfId="225" priority="1497" operator="containsText" text="△">
      <formula>NOT(ISERROR(SEARCH("△",AA191)))</formula>
    </cfRule>
    <cfRule type="containsText" dxfId="224" priority="1496" operator="containsText" text="▽">
      <formula>NOT(ISERROR(SEARCH("▽",AA191)))</formula>
    </cfRule>
    <cfRule type="containsText" dxfId="223" priority="1495" operator="containsText" text="△">
      <formula>NOT(ISERROR(SEARCH("△",AA191)))</formula>
    </cfRule>
    <cfRule type="containsText" dxfId="222" priority="1520" operator="containsText" text="▽">
      <formula>NOT(ISERROR(SEARCH("▽",AA191)))</formula>
    </cfRule>
    <cfRule type="containsText" dxfId="221" priority="1519" operator="containsText" text="△">
      <formula>NOT(ISERROR(SEARCH("△",AA191)))</formula>
    </cfRule>
    <cfRule type="containsText" dxfId="220" priority="1516" operator="containsText" text="▽">
      <formula>NOT(ISERROR(SEARCH("▽",AA191)))</formula>
    </cfRule>
    <cfRule type="containsText" dxfId="219" priority="1512" operator="containsText" text="▽">
      <formula>NOT(ISERROR(SEARCH("▽",AA191)))</formula>
    </cfRule>
    <cfRule type="containsText" dxfId="218" priority="1508" operator="containsText" text="▽">
      <formula>NOT(ISERROR(SEARCH("▽",AA191)))</formula>
    </cfRule>
    <cfRule type="containsText" dxfId="217" priority="1510" operator="containsText" text="▽">
      <formula>NOT(ISERROR(SEARCH("▽",AA191)))</formula>
    </cfRule>
    <cfRule type="containsText" dxfId="216" priority="1509" operator="containsText" text="△">
      <formula>NOT(ISERROR(SEARCH("△",AA191)))</formula>
    </cfRule>
    <cfRule type="containsText" dxfId="215" priority="1502" operator="containsText" text="▽">
      <formula>NOT(ISERROR(SEARCH("▽",AA191)))</formula>
    </cfRule>
    <cfRule type="containsText" dxfId="214" priority="1507" operator="containsText" text="△">
      <formula>NOT(ISERROR(SEARCH("△",AA191)))</formula>
    </cfRule>
    <cfRule type="containsText" dxfId="213" priority="1506" operator="containsText" text="▽">
      <formula>NOT(ISERROR(SEARCH("▽",AA191)))</formula>
    </cfRule>
    <cfRule type="containsText" dxfId="212" priority="1505" operator="containsText" text="△">
      <formula>NOT(ISERROR(SEARCH("△",AA191)))</formula>
    </cfRule>
  </conditionalFormatting>
  <conditionalFormatting sqref="AA191:AA192">
    <cfRule type="containsText" dxfId="211" priority="1569" operator="containsText" text="△">
      <formula>NOT(ISERROR(SEARCH("△",AA191)))</formula>
    </cfRule>
    <cfRule type="containsText" dxfId="210" priority="1570" operator="containsText" text="▽">
      <formula>NOT(ISERROR(SEARCH("▽",AA191)))</formula>
    </cfRule>
  </conditionalFormatting>
  <conditionalFormatting sqref="AA194:AA216">
    <cfRule type="containsText" dxfId="209" priority="1559" operator="containsText" text="▲">
      <formula>NOT(ISERROR(SEARCH("▲",AA194)))</formula>
    </cfRule>
    <cfRule type="containsText" dxfId="208" priority="1560" operator="containsText" text="▼">
      <formula>NOT(ISERROR(SEARCH("▼",AA194)))</formula>
    </cfRule>
  </conditionalFormatting>
  <conditionalFormatting sqref="AA195:AA216">
    <cfRule type="containsText" dxfId="207" priority="1563" operator="containsText" text="▲">
      <formula>NOT(ISERROR(SEARCH("▲",AA195)))</formula>
    </cfRule>
    <cfRule type="containsText" dxfId="206" priority="1564" operator="containsText" text="▼">
      <formula>NOT(ISERROR(SEARCH("▼",AA195)))</formula>
    </cfRule>
  </conditionalFormatting>
  <conditionalFormatting sqref="AA196:AA216">
    <cfRule type="containsText" dxfId="205" priority="1554" operator="containsText" text="▼">
      <formula>NOT(ISERROR(SEARCH("▼",AA196)))</formula>
    </cfRule>
    <cfRule type="containsText" dxfId="204" priority="1553" operator="containsText" text="▲">
      <formula>NOT(ISERROR(SEARCH("▲",AA196)))</formula>
    </cfRule>
  </conditionalFormatting>
  <conditionalFormatting sqref="AA198:AA216">
    <cfRule type="containsText" dxfId="203" priority="1551" operator="containsText" text="▲">
      <formula>NOT(ISERROR(SEARCH("▲",AA198)))</formula>
    </cfRule>
    <cfRule type="containsText" dxfId="202" priority="1552" operator="containsText" text="▼">
      <formula>NOT(ISERROR(SEARCH("▼",AA198)))</formula>
    </cfRule>
  </conditionalFormatting>
  <conditionalFormatting sqref="AA199:AA216">
    <cfRule type="containsText" dxfId="201" priority="1565" operator="containsText" text="▲">
      <formula>NOT(ISERROR(SEARCH("▲",AA199)))</formula>
    </cfRule>
    <cfRule type="containsText" dxfId="200" priority="1566" operator="containsText" text="▼">
      <formula>NOT(ISERROR(SEARCH("▼",AA199)))</formula>
    </cfRule>
  </conditionalFormatting>
  <conditionalFormatting sqref="AA200:AA216">
    <cfRule type="containsText" dxfId="199" priority="1539" operator="containsText" text="▲">
      <formula>NOT(ISERROR(SEARCH("▲",AA200)))</formula>
    </cfRule>
    <cfRule type="containsText" dxfId="198" priority="1540" operator="containsText" text="▼">
      <formula>NOT(ISERROR(SEARCH("▼",AA200)))</formula>
    </cfRule>
  </conditionalFormatting>
  <conditionalFormatting sqref="AA201:AA216">
    <cfRule type="containsText" dxfId="197" priority="1541" operator="containsText" text="▲">
      <formula>NOT(ISERROR(SEARCH("▲",AA201)))</formula>
    </cfRule>
    <cfRule type="containsText" dxfId="196" priority="1542" operator="containsText" text="▼">
      <formula>NOT(ISERROR(SEARCH("▼",AA201)))</formula>
    </cfRule>
  </conditionalFormatting>
  <conditionalFormatting sqref="AA202:AA216">
    <cfRule type="containsText" dxfId="195" priority="1545" operator="containsText" text="▲">
      <formula>NOT(ISERROR(SEARCH("▲",AA202)))</formula>
    </cfRule>
    <cfRule type="containsText" dxfId="194" priority="1546" operator="containsText" text="▼">
      <formula>NOT(ISERROR(SEARCH("▼",AA202)))</formula>
    </cfRule>
  </conditionalFormatting>
  <conditionalFormatting sqref="AA204:AA216">
    <cfRule type="containsText" dxfId="193" priority="1543" operator="containsText" text="▲">
      <formula>NOT(ISERROR(SEARCH("▲",AA204)))</formula>
    </cfRule>
    <cfRule type="containsText" dxfId="192" priority="1544" operator="containsText" text="▼">
      <formula>NOT(ISERROR(SEARCH("▼",AA204)))</formula>
    </cfRule>
  </conditionalFormatting>
  <conditionalFormatting sqref="AA205:AA216">
    <cfRule type="containsText" dxfId="191" priority="1530" operator="containsText" text="▼">
      <formula>NOT(ISERROR(SEARCH("▼",AA205)))</formula>
    </cfRule>
    <cfRule type="containsText" dxfId="190" priority="1529" operator="containsText" text="▲">
      <formula>NOT(ISERROR(SEARCH("▲",AA205)))</formula>
    </cfRule>
  </conditionalFormatting>
  <conditionalFormatting sqref="AA206:AA216">
    <cfRule type="containsText" dxfId="189" priority="1524" operator="containsText" text="▼">
      <formula>NOT(ISERROR(SEARCH("▼",AA206)))</formula>
    </cfRule>
    <cfRule type="containsText" dxfId="188" priority="1523" operator="containsText" text="▲">
      <formula>NOT(ISERROR(SEARCH("▲",AA206)))</formula>
    </cfRule>
  </conditionalFormatting>
  <conditionalFormatting sqref="AA207:AA222">
    <cfRule type="containsText" dxfId="187" priority="588" operator="containsText" text="▼">
      <formula>NOT(ISERROR(SEARCH("▼",AA207)))</formula>
    </cfRule>
    <cfRule type="containsText" dxfId="186" priority="587" operator="containsText" text="▲">
      <formula>NOT(ISERROR(SEARCH("▲",AA207)))</formula>
    </cfRule>
  </conditionalFormatting>
  <conditionalFormatting sqref="AA208:AA216">
    <cfRule type="containsText" dxfId="185" priority="1528" operator="containsText" text="▼">
      <formula>NOT(ISERROR(SEARCH("▼",AA208)))</formula>
    </cfRule>
    <cfRule type="containsText" dxfId="184" priority="1527" operator="containsText" text="▲">
      <formula>NOT(ISERROR(SEARCH("▲",AA208)))</formula>
    </cfRule>
  </conditionalFormatting>
  <conditionalFormatting sqref="AA209">
    <cfRule type="containsText" dxfId="183" priority="1531" operator="containsText" text="▲">
      <formula>NOT(ISERROR(SEARCH("▲",AA209)))</formula>
    </cfRule>
    <cfRule type="containsText" dxfId="182" priority="1532" operator="containsText" text="▼">
      <formula>NOT(ISERROR(SEARCH("▼",AA209)))</formula>
    </cfRule>
  </conditionalFormatting>
  <conditionalFormatting sqref="AA210:AA216">
    <cfRule type="containsText" dxfId="181" priority="1536" operator="containsText" text="▼">
      <formula>NOT(ISERROR(SEARCH("▼",AA210)))</formula>
    </cfRule>
    <cfRule type="containsText" dxfId="180" priority="1535" operator="containsText" text="▲">
      <formula>NOT(ISERROR(SEARCH("▲",AA210)))</formula>
    </cfRule>
  </conditionalFormatting>
  <conditionalFormatting sqref="AA211:AA216">
    <cfRule type="containsText" dxfId="179" priority="1549" operator="containsText" text="▲">
      <formula>NOT(ISERROR(SEARCH("▲",AA211)))</formula>
    </cfRule>
    <cfRule type="containsText" dxfId="178" priority="1550" operator="containsText" text="▼">
      <formula>NOT(ISERROR(SEARCH("▼",AA211)))</formula>
    </cfRule>
  </conditionalFormatting>
  <conditionalFormatting sqref="AA212:AA216">
    <cfRule type="containsText" dxfId="177" priority="1525" operator="containsText" text="▲">
      <formula>NOT(ISERROR(SEARCH("▲",AA212)))</formula>
    </cfRule>
    <cfRule type="containsText" dxfId="176" priority="1526" operator="containsText" text="▼">
      <formula>NOT(ISERROR(SEARCH("▼",AA212)))</formula>
    </cfRule>
  </conditionalFormatting>
  <conditionalFormatting sqref="AA213:AA216">
    <cfRule type="containsText" dxfId="175" priority="1533" operator="containsText" text="▲">
      <formula>NOT(ISERROR(SEARCH("▲",AA213)))</formula>
    </cfRule>
    <cfRule type="containsText" dxfId="174" priority="1534" operator="containsText" text="▼">
      <formula>NOT(ISERROR(SEARCH("▼",AA213)))</formula>
    </cfRule>
  </conditionalFormatting>
  <conditionalFormatting sqref="AA214">
    <cfRule type="containsText" dxfId="173" priority="1537" operator="containsText" text="▲">
      <formula>NOT(ISERROR(SEARCH("▲",AA214)))</formula>
    </cfRule>
    <cfRule type="containsText" dxfId="172" priority="1538" operator="containsText" text="▼">
      <formula>NOT(ISERROR(SEARCH("▼",AA214)))</formula>
    </cfRule>
  </conditionalFormatting>
  <conditionalFormatting sqref="AA217:AA222">
    <cfRule type="containsText" dxfId="171" priority="589" operator="containsText" text="△">
      <formula>NOT(ISERROR(SEARCH("△",AA217)))</formula>
    </cfRule>
    <cfRule type="containsText" dxfId="170" priority="590" operator="containsText" text="▽">
      <formula>NOT(ISERROR(SEARCH("▽",AA217)))</formula>
    </cfRule>
  </conditionalFormatting>
  <conditionalFormatting sqref="AA222">
    <cfRule type="containsText" dxfId="169" priority="583" operator="containsText" text="▲">
      <formula>NOT(ISERROR(SEARCH("▲",AA222)))</formula>
    </cfRule>
    <cfRule type="containsText" dxfId="168" priority="584" operator="containsText" text="▼">
      <formula>NOT(ISERROR(SEARCH("▼",AA222)))</formula>
    </cfRule>
    <cfRule type="containsText" dxfId="167" priority="585" operator="containsText" text="▲">
      <formula>NOT(ISERROR(SEARCH("▲",AA222)))</formula>
    </cfRule>
    <cfRule type="containsText" dxfId="166" priority="586" operator="containsText" text="▼">
      <formula>NOT(ISERROR(SEARCH("▼",AA222)))</formula>
    </cfRule>
  </conditionalFormatting>
  <conditionalFormatting sqref="AA223:AA225">
    <cfRule type="containsText" dxfId="165" priority="1473" operator="containsText" text="▲">
      <formula>NOT(ISERROR(SEARCH("▲",AA223)))</formula>
    </cfRule>
    <cfRule type="containsText" dxfId="164" priority="1478" operator="containsText" text="▽">
      <formula>NOT(ISERROR(SEARCH("▽",AA223)))</formula>
    </cfRule>
    <cfRule type="containsText" dxfId="163" priority="1477" operator="containsText" text="△">
      <formula>NOT(ISERROR(SEARCH("△",AA223)))</formula>
    </cfRule>
    <cfRule type="containsText" dxfId="162" priority="1474" operator="containsText" text="▼">
      <formula>NOT(ISERROR(SEARCH("▼",AA223)))</formula>
    </cfRule>
  </conditionalFormatting>
  <conditionalFormatting sqref="AA224:AA225">
    <cfRule type="containsText" dxfId="161" priority="1470" operator="containsText" text="▼">
      <formula>NOT(ISERROR(SEARCH("▼",AA224)))</formula>
    </cfRule>
    <cfRule type="containsText" dxfId="160" priority="1472" operator="containsText" text="▼">
      <formula>NOT(ISERROR(SEARCH("▼",AA224)))</formula>
    </cfRule>
    <cfRule type="containsText" dxfId="159" priority="1469" operator="containsText" text="▲">
      <formula>NOT(ISERROR(SEARCH("▲",AA224)))</formula>
    </cfRule>
    <cfRule type="containsText" dxfId="158" priority="1471" operator="containsText" text="▲">
      <formula>NOT(ISERROR(SEARCH("▲",AA224)))</formula>
    </cfRule>
  </conditionalFormatting>
  <conditionalFormatting sqref="AA224:AA259">
    <cfRule type="containsText" dxfId="157" priority="1462" operator="containsText" text="▼">
      <formula>NOT(ISERROR(SEARCH("▼",AA224)))</formula>
    </cfRule>
    <cfRule type="containsText" dxfId="156" priority="1461" operator="containsText" text="▲">
      <formula>NOT(ISERROR(SEARCH("▲",AA224)))</formula>
    </cfRule>
  </conditionalFormatting>
  <conditionalFormatting sqref="AA226:AA249">
    <cfRule type="containsText" dxfId="155" priority="1466" operator="containsText" text="▽">
      <formula>NOT(ISERROR(SEARCH("▽",AA226)))</formula>
    </cfRule>
    <cfRule type="containsText" dxfId="154" priority="1465" operator="containsText" text="△">
      <formula>NOT(ISERROR(SEARCH("△",AA226)))</formula>
    </cfRule>
  </conditionalFormatting>
  <conditionalFormatting sqref="AA236">
    <cfRule type="containsText" dxfId="153" priority="1456" operator="containsText" text="▼">
      <formula>NOT(ISERROR(SEARCH("▼",AA236)))</formula>
    </cfRule>
    <cfRule type="containsText" dxfId="152" priority="1455" operator="containsText" text="▲">
      <formula>NOT(ISERROR(SEARCH("▲",AA236)))</formula>
    </cfRule>
  </conditionalFormatting>
  <conditionalFormatting sqref="AA260:AA270">
    <cfRule type="containsText" dxfId="151" priority="1441" operator="containsText" text="▲">
      <formula>NOT(ISERROR(SEARCH("▲",AA260)))</formula>
    </cfRule>
    <cfRule type="containsText" dxfId="150" priority="1442" operator="containsText" text="▼">
      <formula>NOT(ISERROR(SEARCH("▼",AA260)))</formula>
    </cfRule>
  </conditionalFormatting>
  <conditionalFormatting sqref="AA272:AA345">
    <cfRule type="containsText" dxfId="149" priority="9" operator="containsText" text="▲">
      <formula>NOT(ISERROR(SEARCH("▲",AA272)))</formula>
    </cfRule>
    <cfRule type="containsText" dxfId="148" priority="10" operator="containsText" text="▼">
      <formula>NOT(ISERROR(SEARCH("▼",AA272)))</formula>
    </cfRule>
  </conditionalFormatting>
  <conditionalFormatting sqref="AA349">
    <cfRule type="containsText" dxfId="147" priority="1363" operator="containsText" text="△">
      <formula>NOT(ISERROR(SEARCH("△",AA349)))</formula>
    </cfRule>
    <cfRule type="containsText" dxfId="146" priority="1364" operator="containsText" text="▽">
      <formula>NOT(ISERROR(SEARCH("▽",AA349)))</formula>
    </cfRule>
  </conditionalFormatting>
  <conditionalFormatting sqref="AA355">
    <cfRule type="containsText" dxfId="145" priority="1365" operator="containsText" text="△">
      <formula>NOT(ISERROR(SEARCH("△",AA355)))</formula>
    </cfRule>
    <cfRule type="containsText" dxfId="144" priority="1366" operator="containsText" text="▽">
      <formula>NOT(ISERROR(SEARCH("▽",AA355)))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9"/>
  <sheetViews>
    <sheetView zoomScale="85" zoomScaleNormal="85" workbookViewId="0">
      <pane xSplit="4" ySplit="1" topLeftCell="E75" activePane="bottomRight" state="frozen"/>
      <selection activeCell="F42" sqref="F42"/>
      <selection pane="topRight" activeCell="F42" sqref="F42"/>
      <selection pane="bottomLeft" activeCell="F42" sqref="F42"/>
      <selection pane="bottomRight" activeCell="A92" sqref="A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4275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26</v>
      </c>
      <c r="Z2" s="38">
        <f>VLOOKUP(C2,台股行情!A:E,5,FALSE)</f>
        <v>-0.65</v>
      </c>
      <c r="AA2" s="277">
        <f ca="1">IF(I2="",((TODAY()-A2)*G2)/365.24,((1)*G2)/365.24)</f>
        <v>74.19778775599606</v>
      </c>
      <c r="AB2" s="103" t="s">
        <v>4276</v>
      </c>
      <c r="AC2" s="103" t="s">
        <v>4277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2405</v>
      </c>
      <c r="Z3" s="38">
        <f>VLOOKUP(C3,台股行情!A:E,5,FALSE)</f>
        <v>-15</v>
      </c>
      <c r="AA3" s="90">
        <f ca="1">IF(I3="",((TODAY()-A3)*G3)/365.24,((I3-A3)*G3)/365.24)</f>
        <v>138320.00876136238</v>
      </c>
      <c r="AB3" s="103" t="s">
        <v>4276</v>
      </c>
      <c r="AC3" s="103" t="s">
        <v>4876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2405</v>
      </c>
      <c r="Z4" s="38">
        <f>VLOOKUP(C4,台股行情!A:E,5,FALSE)</f>
        <v>-15</v>
      </c>
      <c r="AA4" s="90">
        <f t="shared" ref="AA4:AA8" ca="1" si="8">IF(I4="",((TODAY()-A4)*G4)/365.24,((I4-A4)*G4)/365.24)</f>
        <v>18196.802102726975</v>
      </c>
      <c r="AB4" s="103" t="s">
        <v>4276</v>
      </c>
      <c r="AC4" s="103" t="s">
        <v>4876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2405</v>
      </c>
      <c r="Z5" s="38">
        <f>VLOOKUP(C5,台股行情!A:E,5,FALSE)</f>
        <v>-15</v>
      </c>
      <c r="AA5" s="90">
        <f t="shared" ca="1" si="8"/>
        <v>82947.240170846562</v>
      </c>
      <c r="AB5" s="103" t="s">
        <v>4276</v>
      </c>
      <c r="AC5" s="103" t="s">
        <v>4876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29.15</v>
      </c>
      <c r="Z6" s="38">
        <f>VLOOKUP(C6,台股行情!A:E,5,FALSE)</f>
        <v>0.02</v>
      </c>
      <c r="AA6" s="90">
        <f t="shared" ca="1" si="8"/>
        <v>23672.106012484939</v>
      </c>
      <c r="AB6" s="103" t="s">
        <v>4280</v>
      </c>
      <c r="AC6" s="103" t="s">
        <v>4871</v>
      </c>
      <c r="AD6" s="344" t="s">
        <v>4872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29.15</v>
      </c>
      <c r="Z7" s="38">
        <f>VLOOKUP(C7,台股行情!A:E,5,FALSE)</f>
        <v>0.02</v>
      </c>
      <c r="AA7" s="90">
        <f t="shared" ca="1" si="8"/>
        <v>16855.711313109186</v>
      </c>
      <c r="AB7" s="103" t="s">
        <v>4280</v>
      </c>
      <c r="AC7" s="103" t="s">
        <v>4871</v>
      </c>
      <c r="AD7" s="344" t="s">
        <v>4872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29.15</v>
      </c>
      <c r="Z8" s="38">
        <f>VLOOKUP(C8,台股行情!A:E,5,FALSE)</f>
        <v>0.02</v>
      </c>
      <c r="AA8" s="90">
        <f t="shared" ca="1" si="8"/>
        <v>1858.1754462818967</v>
      </c>
      <c r="AB8" s="103" t="s">
        <v>4280</v>
      </c>
      <c r="AC8" s="103" t="s">
        <v>4876</v>
      </c>
      <c r="AD8" s="344" t="s">
        <v>4872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106.25</v>
      </c>
      <c r="Z9" s="38">
        <f>VLOOKUP(C9,台股行情!A:E,5,FALSE)</f>
        <v>-0.7</v>
      </c>
      <c r="AA9" s="90">
        <f t="shared" ref="AA9:AA20" ca="1" si="16">IF(I9="",((TODAY()-A9)*G9)/365.24,((I9-A9)*G9)/365.24)</f>
        <v>5120.7343116854672</v>
      </c>
      <c r="AB9" s="103" t="s">
        <v>4280</v>
      </c>
      <c r="AC9" s="103" t="s">
        <v>4870</v>
      </c>
      <c r="AD9" s="344" t="s">
        <v>4873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106.25</v>
      </c>
      <c r="Z10" s="38">
        <f>VLOOKUP(C10,台股行情!A:E,5,FALSE)</f>
        <v>-0.7</v>
      </c>
      <c r="AA10" s="90">
        <f t="shared" ca="1" si="16"/>
        <v>4636.0201511335008</v>
      </c>
      <c r="AB10" s="103" t="s">
        <v>4280</v>
      </c>
      <c r="AC10" s="103" t="s">
        <v>4870</v>
      </c>
      <c r="AD10" s="344" t="s">
        <v>4873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106.25</v>
      </c>
      <c r="Z11" s="38">
        <f>VLOOKUP(C11,台股行情!A:E,5,FALSE)</f>
        <v>-0.7</v>
      </c>
      <c r="AA11" s="90">
        <f t="shared" ca="1" si="16"/>
        <v>4279.7256598401054</v>
      </c>
      <c r="AB11" s="103" t="s">
        <v>4280</v>
      </c>
      <c r="AC11" s="103" t="s">
        <v>4870</v>
      </c>
      <c r="AD11" s="344" t="s">
        <v>4873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106.25</v>
      </c>
      <c r="Z12" s="38">
        <f>VLOOKUP(C12,台股行情!A:E,5,FALSE)</f>
        <v>-0.7</v>
      </c>
      <c r="AA12" s="90">
        <f t="shared" ca="1" si="16"/>
        <v>3827.5572226481218</v>
      </c>
      <c r="AB12" s="103" t="s">
        <v>4280</v>
      </c>
      <c r="AC12" s="103" t="s">
        <v>4870</v>
      </c>
      <c r="AD12" s="344" t="s">
        <v>4873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106.25</v>
      </c>
      <c r="Z13" s="38">
        <f>VLOOKUP(C13,台股行情!A:E,5,FALSE)</f>
        <v>-0.7</v>
      </c>
      <c r="AA13" s="90">
        <f t="shared" ca="1" si="16"/>
        <v>3471.0902420326361</v>
      </c>
      <c r="AB13" s="103" t="s">
        <v>4280</v>
      </c>
      <c r="AC13" s="103" t="s">
        <v>4870</v>
      </c>
      <c r="AD13" s="344" t="s">
        <v>4873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106.25</v>
      </c>
      <c r="Z14" s="38">
        <f>VLOOKUP(C14,台股行情!A:E,5,FALSE)</f>
        <v>-0.7</v>
      </c>
      <c r="AA14" s="90">
        <f t="shared" ca="1" si="16"/>
        <v>2659.5553608586133</v>
      </c>
      <c r="AB14" s="103" t="s">
        <v>4280</v>
      </c>
      <c r="AC14" s="103" t="s">
        <v>4870</v>
      </c>
      <c r="AD14" s="344" t="s">
        <v>4873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106.25</v>
      </c>
      <c r="Z15" s="38">
        <f>VLOOKUP(C15,台股行情!A:E,5,FALSE)</f>
        <v>-0.7</v>
      </c>
      <c r="AA15" s="90">
        <f t="shared" ca="1" si="16"/>
        <v>2230.9632022779542</v>
      </c>
      <c r="AB15" s="103" t="s">
        <v>4280</v>
      </c>
      <c r="AC15" s="103" t="s">
        <v>4870</v>
      </c>
      <c r="AD15" s="344" t="s">
        <v>4873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106.25</v>
      </c>
      <c r="Z16" s="38">
        <f>VLOOKUP(C16,台股行情!A:E,5,FALSE)</f>
        <v>-0.7</v>
      </c>
      <c r="AA16" s="90">
        <f t="shared" ca="1" si="16"/>
        <v>1830.3745482422516</v>
      </c>
      <c r="AB16" s="103" t="s">
        <v>4280</v>
      </c>
      <c r="AC16" s="103" t="s">
        <v>4870</v>
      </c>
      <c r="AD16" s="344" t="s">
        <v>4873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106.25</v>
      </c>
      <c r="Z17" s="38">
        <f>VLOOKUP(C17,台股行情!A:E,5,FALSE)</f>
        <v>-0.7</v>
      </c>
      <c r="AA17" s="90">
        <f t="shared" ca="1" si="16"/>
        <v>1407.7757091227686</v>
      </c>
      <c r="AB17" s="103" t="s">
        <v>4280</v>
      </c>
      <c r="AC17" s="103" t="s">
        <v>4870</v>
      </c>
      <c r="AD17" s="344" t="s">
        <v>4873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106.25</v>
      </c>
      <c r="Z18" s="38">
        <f>VLOOKUP(C18,台股行情!A:E,5,FALSE)</f>
        <v>-0.7</v>
      </c>
      <c r="AA18" s="90">
        <f t="shared" ca="1" si="16"/>
        <v>977.76804293067573</v>
      </c>
      <c r="AB18" s="103" t="s">
        <v>4280</v>
      </c>
      <c r="AC18" s="103" t="s">
        <v>4870</v>
      </c>
      <c r="AD18" s="344" t="s">
        <v>4873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106.25</v>
      </c>
      <c r="Z19" s="38">
        <f>VLOOKUP(C19,台股行情!A:E,5,FALSE)</f>
        <v>-0.7</v>
      </c>
      <c r="AA19" s="90">
        <f t="shared" ca="1" si="16"/>
        <v>1582.5210820282553</v>
      </c>
      <c r="AB19" s="103" t="s">
        <v>4280</v>
      </c>
      <c r="AC19" s="103" t="s">
        <v>4869</v>
      </c>
      <c r="AD19" s="345" t="s">
        <v>4874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106.25</v>
      </c>
      <c r="Z20" s="38">
        <f>VLOOKUP(C20,台股行情!A:E,5,FALSE)</f>
        <v>-0.7</v>
      </c>
      <c r="AA20" s="90">
        <f t="shared" ca="1" si="16"/>
        <v>1388.5390428211585</v>
      </c>
      <c r="AB20" s="103" t="s">
        <v>4280</v>
      </c>
      <c r="AC20" s="103" t="s">
        <v>4869</v>
      </c>
      <c r="AD20" s="345" t="s">
        <v>4874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106.25</v>
      </c>
      <c r="Z21" s="38">
        <f>VLOOKUP(C21,台股行情!A:E,5,FALSE)</f>
        <v>-0.7</v>
      </c>
      <c r="AA21" s="90">
        <f t="shared" ref="AA21:AA38" ca="1" si="25">IF(I21="",((TODAY()-A21)*G21)/365.24,((I21-A21)*G21)/365.24)</f>
        <v>596.92257145986196</v>
      </c>
      <c r="AB21" s="103" t="s">
        <v>4280</v>
      </c>
      <c r="AC21" s="103" t="s">
        <v>4870</v>
      </c>
      <c r="AD21" s="344" t="s">
        <v>4873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106.25</v>
      </c>
      <c r="Z22" s="38">
        <f>VLOOKUP(C22,台股行情!A:E,5,FALSE)</f>
        <v>-0.7</v>
      </c>
      <c r="AA22" s="90">
        <f t="shared" ca="1" si="25"/>
        <v>176.04314970977987</v>
      </c>
      <c r="AB22" s="103" t="s">
        <v>4280</v>
      </c>
      <c r="AC22" s="103" t="s">
        <v>4870</v>
      </c>
      <c r="AD22" s="344" t="s">
        <v>4873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118.5</v>
      </c>
      <c r="Z23" s="38">
        <f>VLOOKUP(C23,台股行情!A:E,5,FALSE)</f>
        <v>-0.5</v>
      </c>
      <c r="AA23" s="90">
        <f t="shared" ca="1" si="25"/>
        <v>8980.396451648232</v>
      </c>
      <c r="AB23" s="103" t="s">
        <v>4812</v>
      </c>
      <c r="AC23" s="103" t="s">
        <v>4868</v>
      </c>
      <c r="AD23" s="353" t="s">
        <v>4875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91.1</v>
      </c>
      <c r="Z24" s="38">
        <f>VLOOKUP(C24,台股行情!A:E,5,FALSE)</f>
        <v>-0.6</v>
      </c>
      <c r="AA24" s="90">
        <f t="shared" ca="1" si="25"/>
        <v>148068.2838681415</v>
      </c>
      <c r="AB24" s="103" t="s">
        <v>4280</v>
      </c>
      <c r="AC24" s="103" t="s">
        <v>4876</v>
      </c>
      <c r="AD24" s="353" t="s">
        <v>4929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91.1</v>
      </c>
      <c r="Z25" s="38">
        <f>VLOOKUP(C25,台股行情!A:E,5,FALSE)</f>
        <v>-0.6</v>
      </c>
      <c r="AA25" s="90">
        <f t="shared" ca="1" si="25"/>
        <v>85900.038330960466</v>
      </c>
      <c r="AB25" s="103" t="s">
        <v>4280</v>
      </c>
      <c r="AC25" s="103" t="s">
        <v>4876</v>
      </c>
      <c r="AD25" s="353" t="s">
        <v>4929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61.9</v>
      </c>
      <c r="Z26" s="38">
        <f>VLOOKUP(C26,台股行情!A:E,5,FALSE)</f>
        <v>0.35</v>
      </c>
      <c r="AA26" s="90">
        <f t="shared" ca="1" si="25"/>
        <v>2493.5056401270399</v>
      </c>
      <c r="AB26" s="103" t="s">
        <v>4280</v>
      </c>
      <c r="AC26" s="103" t="s">
        <v>4870</v>
      </c>
      <c r="AD26" s="354" t="s">
        <v>4938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61.9</v>
      </c>
      <c r="Z27" s="38">
        <f>VLOOKUP(C27,台股行情!A:E,5,FALSE)</f>
        <v>0.35</v>
      </c>
      <c r="AA27" s="90">
        <f t="shared" ca="1" si="25"/>
        <v>2392.4268973825428</v>
      </c>
      <c r="AB27" s="103" t="s">
        <v>4280</v>
      </c>
      <c r="AC27" s="103" t="s">
        <v>4870</v>
      </c>
      <c r="AD27" s="354" t="s">
        <v>4938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61.9</v>
      </c>
      <c r="Z28" s="38">
        <f>VLOOKUP(C28,台股行情!A:E,5,FALSE)</f>
        <v>0.35</v>
      </c>
      <c r="AA28" s="90">
        <f t="shared" ca="1" si="25"/>
        <v>5433.7586244661043</v>
      </c>
      <c r="AB28" s="103" t="s">
        <v>4280</v>
      </c>
      <c r="AC28" s="103" t="s">
        <v>4870</v>
      </c>
      <c r="AD28" s="354" t="s">
        <v>4938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61.9</v>
      </c>
      <c r="Z29" s="38">
        <f>VLOOKUP(C29,台股行情!A:E,5,FALSE)</f>
        <v>0.35</v>
      </c>
      <c r="AA29" s="90">
        <f t="shared" ca="1" si="25"/>
        <v>5100.9747015660932</v>
      </c>
      <c r="AB29" s="103" t="s">
        <v>4280</v>
      </c>
      <c r="AC29" s="103" t="s">
        <v>4870</v>
      </c>
      <c r="AD29" s="353" t="s">
        <v>4929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61.9</v>
      </c>
      <c r="Z30" s="38">
        <f>VLOOKUP(C30,台股行情!A:E,5,FALSE)</f>
        <v>0.35</v>
      </c>
      <c r="AA30" s="90">
        <f t="shared" ca="1" si="25"/>
        <v>4761.1324060891466</v>
      </c>
      <c r="AB30" s="103" t="s">
        <v>4280</v>
      </c>
      <c r="AC30" s="103" t="s">
        <v>4870</v>
      </c>
      <c r="AD30" s="354" t="s">
        <v>4938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61.9</v>
      </c>
      <c r="Z31" s="38">
        <f>VLOOKUP(C31,台股行情!A:E,5,FALSE)</f>
        <v>0.35</v>
      </c>
      <c r="AA31" s="90">
        <f t="shared" ca="1" si="25"/>
        <v>4312.2330522396232</v>
      </c>
      <c r="AB31" s="103" t="s">
        <v>4280</v>
      </c>
      <c r="AC31" s="103" t="s">
        <v>4870</v>
      </c>
      <c r="AD31" s="353" t="s">
        <v>4929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61.9</v>
      </c>
      <c r="Z32" s="38">
        <f>VLOOKUP(C32,台股行情!A:E,5,FALSE)</f>
        <v>0.35</v>
      </c>
      <c r="AA32" s="90">
        <f t="shared" ca="1" si="25"/>
        <v>3888.848428430621</v>
      </c>
      <c r="AB32" s="103" t="s">
        <v>4280</v>
      </c>
      <c r="AC32" s="103" t="s">
        <v>4870</v>
      </c>
      <c r="AD32" s="353" t="s">
        <v>4929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61.9</v>
      </c>
      <c r="Z33" s="38">
        <f>VLOOKUP(C33,台股行情!A:E,5,FALSE)</f>
        <v>0.35</v>
      </c>
      <c r="AA33" s="90">
        <f t="shared" ca="1" si="25"/>
        <v>3490.52677691381</v>
      </c>
      <c r="AB33" s="103" t="s">
        <v>4280</v>
      </c>
      <c r="AC33" s="103" t="s">
        <v>4870</v>
      </c>
      <c r="AD33" s="353" t="s">
        <v>4929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61.9</v>
      </c>
      <c r="Z34" s="38">
        <f>VLOOKUP(C34,台股行情!A:E,5,FALSE)</f>
        <v>0.35</v>
      </c>
      <c r="AA34" s="90">
        <f t="shared" ca="1" si="25"/>
        <v>3039.4918409812726</v>
      </c>
      <c r="AB34" s="103" t="s">
        <v>4280</v>
      </c>
      <c r="AC34" s="103" t="s">
        <v>4870</v>
      </c>
      <c r="AD34" s="353" t="s">
        <v>4929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61.9</v>
      </c>
      <c r="Z35" s="38">
        <f>VLOOKUP(C35,台股行情!A:E,5,FALSE)</f>
        <v>0.35</v>
      </c>
      <c r="AA35" s="90">
        <f t="shared" ca="1" si="25"/>
        <v>2643.8506187712187</v>
      </c>
      <c r="AB35" s="103" t="s">
        <v>4280</v>
      </c>
      <c r="AC35" s="103" t="s">
        <v>4870</v>
      </c>
      <c r="AD35" s="353" t="s">
        <v>4929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61.9</v>
      </c>
      <c r="Z36" s="38">
        <f>VLOOKUP(C36,台股行情!A:E,5,FALSE)</f>
        <v>0.35</v>
      </c>
      <c r="AA36" s="90">
        <f t="shared" ca="1" si="25"/>
        <v>2227.1383200087612</v>
      </c>
      <c r="AB36" s="103" t="s">
        <v>4280</v>
      </c>
      <c r="AC36" s="103" t="s">
        <v>4870</v>
      </c>
      <c r="AD36" s="353" t="s">
        <v>4929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61.9</v>
      </c>
      <c r="Z37" s="38">
        <f>VLOOKUP(C37,台股行情!A:E,5,FALSE)</f>
        <v>0.35</v>
      </c>
      <c r="AA37" s="90">
        <f t="shared" ca="1" si="25"/>
        <v>1809.0680100755667</v>
      </c>
      <c r="AB37" s="103" t="s">
        <v>4280</v>
      </c>
      <c r="AC37" s="103" t="s">
        <v>4870</v>
      </c>
      <c r="AD37" s="354" t="s">
        <v>4938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61.9</v>
      </c>
      <c r="Z38" s="38">
        <f>VLOOKUP(C38,台股行情!A:E,5,FALSE)</f>
        <v>0.35</v>
      </c>
      <c r="AA38" s="90">
        <f t="shared" ca="1" si="25"/>
        <v>1405.5196583068666</v>
      </c>
      <c r="AB38" s="103" t="s">
        <v>4280</v>
      </c>
      <c r="AC38" s="103" t="s">
        <v>4870</v>
      </c>
      <c r="AD38" s="353" t="s">
        <v>4929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61.9</v>
      </c>
      <c r="Z39" s="38">
        <f>VLOOKUP(C39,台股行情!A:E,5,FALSE)</f>
        <v>0.35</v>
      </c>
      <c r="AA39" s="90">
        <f t="shared" ref="AA39" ca="1" si="38">IF(I39="",((TODAY()-A39)*G39)/365.24,((I39-A39)*G39)/365.24)</f>
        <v>995.74526338845692</v>
      </c>
      <c r="AB39" s="103" t="s">
        <v>4280</v>
      </c>
      <c r="AC39" s="103" t="s">
        <v>4870</v>
      </c>
      <c r="AD39" s="353" t="s">
        <v>4929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61.9</v>
      </c>
      <c r="Z40" s="38">
        <f>VLOOKUP(C40,台股行情!A:E,5,FALSE)</f>
        <v>0.35</v>
      </c>
      <c r="AA40" s="90">
        <f t="shared" ref="AA40:AA49" ca="1" si="44">IF(I40="",((TODAY()-A40)*G40)/365.24,((I40-A40)*G40)/365.24)</f>
        <v>573.4694995071734</v>
      </c>
      <c r="AB40" s="103" t="s">
        <v>4280</v>
      </c>
      <c r="AC40" s="103" t="s">
        <v>4870</v>
      </c>
      <c r="AD40" s="354" t="s">
        <v>4938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61.9</v>
      </c>
      <c r="Z41" s="38">
        <f>VLOOKUP(C41,台股行情!A:E,5,FALSE)</f>
        <v>0.35</v>
      </c>
      <c r="AA41" s="90">
        <f t="shared" ca="1" si="44"/>
        <v>149.5619318804074</v>
      </c>
      <c r="AB41" s="103" t="s">
        <v>4280</v>
      </c>
      <c r="AC41" s="103" t="s">
        <v>4870</v>
      </c>
      <c r="AD41" s="355" t="s">
        <v>4938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34.61</v>
      </c>
      <c r="Z42" s="38">
        <f>VLOOKUP(C42,台股行情!A:E,5,FALSE)</f>
        <v>0.35</v>
      </c>
      <c r="AA42" s="90">
        <f t="shared" ca="1" si="44"/>
        <v>83047.85894206549</v>
      </c>
      <c r="AB42" s="103" t="s">
        <v>4280</v>
      </c>
      <c r="AC42" s="103" t="s">
        <v>4871</v>
      </c>
      <c r="AD42" s="353" t="s">
        <v>4929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31.96</v>
      </c>
      <c r="Z43" s="38">
        <f>VLOOKUP(C43,台股行情!A:E,5,FALSE)</f>
        <v>0.52</v>
      </c>
      <c r="AA43" s="90">
        <f t="shared" ca="1" si="44"/>
        <v>83047.85894206549</v>
      </c>
      <c r="AB43" s="103" t="s">
        <v>4280</v>
      </c>
      <c r="AC43" s="103" t="s">
        <v>4871</v>
      </c>
      <c r="AD43" s="353" t="s">
        <v>4929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54.6</v>
      </c>
      <c r="Z44" s="38">
        <f>VLOOKUP(C44,台股行情!A:E,5,FALSE)</f>
        <v>0.75</v>
      </c>
      <c r="AA44" s="90">
        <f t="shared" ca="1" si="44"/>
        <v>2538.3528638703319</v>
      </c>
      <c r="AB44" s="103" t="s">
        <v>4280</v>
      </c>
      <c r="AC44" s="103" t="s">
        <v>4870</v>
      </c>
      <c r="AD44" s="353" t="s">
        <v>4929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54.6</v>
      </c>
      <c r="Z45" s="38">
        <f>VLOOKUP(C45,台股行情!A:E,5,FALSE)</f>
        <v>0.75</v>
      </c>
      <c r="AA45" s="90">
        <f t="shared" ca="1" si="44"/>
        <v>2356.4505530610008</v>
      </c>
      <c r="AB45" s="103" t="s">
        <v>4280</v>
      </c>
      <c r="AC45" s="103" t="s">
        <v>4870</v>
      </c>
      <c r="AD45" s="353" t="s">
        <v>4929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33.18</v>
      </c>
      <c r="Z46" s="38">
        <f>VLOOKUP(C46,台股行情!A:E,5,FALSE)</f>
        <v>0.18</v>
      </c>
      <c r="AA46" s="90">
        <f t="shared" ca="1" si="44"/>
        <v>2561.4171503668822</v>
      </c>
      <c r="AB46" s="103" t="s">
        <v>4280</v>
      </c>
      <c r="AC46" s="103" t="s">
        <v>4870</v>
      </c>
      <c r="AD46" s="353" t="s">
        <v>4929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33.18</v>
      </c>
      <c r="Z47" s="38">
        <f>VLOOKUP(C47,台股行情!A:E,5,FALSE)</f>
        <v>0.18</v>
      </c>
      <c r="AA47" s="90">
        <f t="shared" ca="1" si="44"/>
        <v>2388.8292629503885</v>
      </c>
      <c r="AB47" s="103" t="s">
        <v>4280</v>
      </c>
      <c r="AC47" s="103" t="s">
        <v>4870</v>
      </c>
      <c r="AD47" s="353" t="s">
        <v>4929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49.34</v>
      </c>
      <c r="Z48" s="38">
        <f>VLOOKUP(C48,台股行情!A:E,5,FALSE)</f>
        <v>-0.96</v>
      </c>
      <c r="AA48" s="90">
        <f t="shared" ca="1" si="44"/>
        <v>6488.8949731683279</v>
      </c>
      <c r="AB48" s="103" t="s">
        <v>4280</v>
      </c>
      <c r="AC48" s="103" t="s">
        <v>4877</v>
      </c>
      <c r="AD48" s="353" t="s">
        <v>4929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49.34</v>
      </c>
      <c r="Z49" s="38">
        <f>VLOOKUP(C49,台股行情!A:E,5,FALSE)</f>
        <v>-0.96</v>
      </c>
      <c r="AA49" s="90">
        <f t="shared" ca="1" si="44"/>
        <v>6113.3282225386047</v>
      </c>
      <c r="AB49" s="103" t="s">
        <v>4280</v>
      </c>
      <c r="AC49" s="103" t="s">
        <v>4877</v>
      </c>
      <c r="AD49" s="353" t="s">
        <v>4929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49.34</v>
      </c>
      <c r="Z50" s="38">
        <f>VLOOKUP(C50,台股行情!A:E,5,FALSE)</f>
        <v>-0.96</v>
      </c>
      <c r="AA50" s="90">
        <f t="shared" ref="AA50" ca="1" si="57">IF(I50="",((TODAY()-A50)*G50)/365.24,((I50-A50)*G50)/365.24)</f>
        <v>5698.2997481108314</v>
      </c>
      <c r="AB50" s="103" t="s">
        <v>4280</v>
      </c>
      <c r="AC50" s="103" t="s">
        <v>4877</v>
      </c>
      <c r="AD50" s="353" t="s">
        <v>4929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49.34</v>
      </c>
      <c r="Z51" s="38">
        <f>VLOOKUP(C51,台股行情!A:E,5,FALSE)</f>
        <v>-0.96</v>
      </c>
      <c r="AA51" s="90">
        <f t="shared" ref="AA51" ca="1" si="65">IF(I51="",((TODAY()-A51)*G51)/365.24,((I51-A51)*G51)/365.24)</f>
        <v>5242.0463257036472</v>
      </c>
      <c r="AB51" s="103" t="s">
        <v>4280</v>
      </c>
      <c r="AC51" s="103" t="s">
        <v>4877</v>
      </c>
      <c r="AD51" s="353" t="s">
        <v>4929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49.34</v>
      </c>
      <c r="Z52" s="38">
        <f>VLOOKUP(C52,台股行情!A:E,5,FALSE)</f>
        <v>-0.96</v>
      </c>
      <c r="AA52" s="90">
        <f ca="1">IF(I52="",((TODAY()-A52)*G52)/365.24,((I52-A52)*G52)/365.24)</f>
        <v>4867.6486693680863</v>
      </c>
      <c r="AB52" s="103" t="s">
        <v>4280</v>
      </c>
      <c r="AC52" s="103" t="s">
        <v>4877</v>
      </c>
      <c r="AD52" s="356" t="s">
        <v>4929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49.34</v>
      </c>
      <c r="Z53" s="38">
        <f>VLOOKUP(C53,台股行情!A:E,5,FALSE)</f>
        <v>-0.96</v>
      </c>
      <c r="AA53" s="90">
        <f t="shared" ref="AA53" ca="1" si="71">IF(I53="",((TODAY()-A53)*G53)/365.24,((I53-A53)*G53)/365.24)</f>
        <v>4464.8696747344211</v>
      </c>
      <c r="AB53" s="103" t="s">
        <v>4280</v>
      </c>
      <c r="AC53" s="103" t="s">
        <v>4877</v>
      </c>
      <c r="AD53" s="383" t="s">
        <v>4929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49.34</v>
      </c>
      <c r="Z54" s="38">
        <f>VLOOKUP(C54,台股行情!A:E,5,FALSE)</f>
        <v>-0.96</v>
      </c>
      <c r="AA54" s="90">
        <f t="shared" ref="AA54" ca="1" si="77">IF(I54="",((TODAY()-A54)*G54)/365.24,((I54-A54)*G54)/365.24)</f>
        <v>5534.645712408279</v>
      </c>
      <c r="AB54" s="103" t="s">
        <v>4280</v>
      </c>
      <c r="AC54" s="103" t="s">
        <v>4877</v>
      </c>
      <c r="AD54" s="383" t="s">
        <v>5144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49.34</v>
      </c>
      <c r="Z55" s="38">
        <f>VLOOKUP(C55,台股行情!A:E,5,FALSE)</f>
        <v>-0.96</v>
      </c>
      <c r="AA55" s="90">
        <f t="shared" ref="AA55" ca="1" si="84">IF(I55="",((TODAY()-A55)*G55)/365.24,((I55-A55)*G55)/365.24)</f>
        <v>5121.2901106121999</v>
      </c>
      <c r="AB55" s="103" t="s">
        <v>4280</v>
      </c>
      <c r="AC55" s="103" t="s">
        <v>4877</v>
      </c>
      <c r="AD55" s="383" t="s">
        <v>5144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49.34</v>
      </c>
      <c r="Z56" s="38">
        <f>VLOOKUP(C56,台股行情!A:E,5,FALSE)</f>
        <v>-0.96</v>
      </c>
      <c r="AA56" s="90">
        <f t="shared" ref="AA56:AA60" ca="1" si="91">IF(I56="",((TODAY()-A56)*G56)/365.24,((I56-A56)*G56)/365.24)</f>
        <v>4705.919395465995</v>
      </c>
      <c r="AB56" s="103" t="s">
        <v>4280</v>
      </c>
      <c r="AC56" s="103" t="s">
        <v>4877</v>
      </c>
      <c r="AD56" s="383" t="s">
        <v>5144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49.34</v>
      </c>
      <c r="Z57" s="38">
        <f>VLOOKUP(C57,台股行情!A:E,5,FALSE)</f>
        <v>-0.96</v>
      </c>
      <c r="AA57" s="90">
        <f t="shared" ca="1" si="91"/>
        <v>4247.2456466980611</v>
      </c>
      <c r="AB57" s="103" t="s">
        <v>4280</v>
      </c>
      <c r="AC57" s="103" t="s">
        <v>4877</v>
      </c>
      <c r="AD57" s="383" t="s">
        <v>5144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49.34</v>
      </c>
      <c r="Z58" s="38">
        <f>VLOOKUP(C58,台股行情!A:E,5,FALSE)</f>
        <v>-0.96</v>
      </c>
      <c r="AA58" s="90">
        <f t="shared" ca="1" si="91"/>
        <v>3864.8669368086735</v>
      </c>
      <c r="AB58" s="103" t="s">
        <v>4280</v>
      </c>
      <c r="AC58" s="103" t="s">
        <v>4877</v>
      </c>
      <c r="AD58" s="383" t="s">
        <v>5144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49.34</v>
      </c>
      <c r="Z59" s="38">
        <f>VLOOKUP(C59,台股行情!A:E,5,FALSE)</f>
        <v>-0.96</v>
      </c>
      <c r="AA59" s="90">
        <f t="shared" ca="1" si="91"/>
        <v>3448.2367758186397</v>
      </c>
      <c r="AB59" s="103" t="s">
        <v>4280</v>
      </c>
      <c r="AC59" s="103" t="s">
        <v>4877</v>
      </c>
      <c r="AD59" s="383" t="s">
        <v>5144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49.34</v>
      </c>
      <c r="Z60" s="38">
        <f>VLOOKUP(C60,台股行情!A:E,5,FALSE)</f>
        <v>-0.96</v>
      </c>
      <c r="AA60" s="90">
        <f t="shared" ca="1" si="91"/>
        <v>3015.1215639031871</v>
      </c>
      <c r="AB60" s="103" t="s">
        <v>4280</v>
      </c>
      <c r="AC60" s="103" t="s">
        <v>4877</v>
      </c>
      <c r="AD60" s="383" t="s">
        <v>5144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49.34</v>
      </c>
      <c r="Z61" s="38">
        <f>VLOOKUP(C61,台股行情!A:E,5,FALSE)</f>
        <v>-0.96</v>
      </c>
      <c r="AA61" s="90">
        <f t="shared" ref="AA61" ca="1" si="98">IF(I61="",((TODAY()-A61)*G61)/365.24,((I61-A61)*G61)/365.24)</f>
        <v>2618.4207644288686</v>
      </c>
      <c r="AB61" s="103" t="s">
        <v>4280</v>
      </c>
      <c r="AC61" s="103" t="s">
        <v>4877</v>
      </c>
      <c r="AD61" s="383" t="s">
        <v>5144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49.34</v>
      </c>
      <c r="Z62" s="38">
        <f>VLOOKUP(C62,台股行情!A:E,5,FALSE)</f>
        <v>-0.96</v>
      </c>
      <c r="AA62" s="90">
        <f ca="1">IF(I62="",((TODAY()-A62)*G62)/365.24,((I62-A62)*G62)/365.24)</f>
        <v>2196.9773299748113</v>
      </c>
      <c r="AB62" s="103" t="s">
        <v>4280</v>
      </c>
      <c r="AC62" s="103" t="s">
        <v>4877</v>
      </c>
      <c r="AD62" s="383" t="s">
        <v>5144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49.34</v>
      </c>
      <c r="Z63" s="38">
        <f>VLOOKUP(C63,台股行情!A:E,5,FALSE)</f>
        <v>-0.96</v>
      </c>
      <c r="AA63" s="90">
        <f t="shared" ref="AA63" ca="1" si="104">IF(I63="",((TODAY()-A63)*G63)/365.24,((I63-A63)*G63)/365.24)</f>
        <v>1672.7110940751286</v>
      </c>
      <c r="AB63" s="103" t="s">
        <v>4280</v>
      </c>
      <c r="AC63" s="103" t="s">
        <v>4877</v>
      </c>
      <c r="AD63" s="383" t="s">
        <v>5144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49.34</v>
      </c>
      <c r="Z64" s="38">
        <f>VLOOKUP(C64,台股行情!A:E,5,FALSE)</f>
        <v>-0.96</v>
      </c>
      <c r="AA64" s="90">
        <f t="shared" ref="AA64" ca="1" si="111">IF(I64="",((TODAY()-A64)*G64)/365.24,((I64-A64)*G64)/365.24)</f>
        <v>1396.3421312014018</v>
      </c>
      <c r="AB64" s="103" t="s">
        <v>4280</v>
      </c>
      <c r="AC64" s="103" t="s">
        <v>4877</v>
      </c>
      <c r="AD64" s="383" t="s">
        <v>5144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49.34</v>
      </c>
      <c r="Z65" s="38">
        <f>VLOOKUP(C65,台股行情!A:E,5,FALSE)</f>
        <v>-0.96</v>
      </c>
      <c r="AA65" s="90">
        <f ca="1">IF(I65="",((TODAY()-A65)*G65)/365.24,((I65-A65)*G65)/365.24)</f>
        <v>963.60475303909755</v>
      </c>
      <c r="AB65" s="103" t="s">
        <v>4280</v>
      </c>
      <c r="AC65" s="103" t="s">
        <v>4877</v>
      </c>
      <c r="AD65" s="383" t="s">
        <v>5144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49.34</v>
      </c>
      <c r="Z66" s="38">
        <f>VLOOKUP(C66,台股行情!A:E,5,FALSE)</f>
        <v>-0.96</v>
      </c>
      <c r="AA66" s="90">
        <f ca="1">IF(I66="",((TODAY()-A66)*G66)/365.24,((I66-A66)*G66)/365.24)</f>
        <v>530.47858942065488</v>
      </c>
      <c r="AB66" s="103" t="s">
        <v>4280</v>
      </c>
      <c r="AC66" s="103" t="s">
        <v>4877</v>
      </c>
      <c r="AD66" s="383" t="s">
        <v>5144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49.34</v>
      </c>
      <c r="Z67" s="38">
        <f>VLOOKUP(C67,台股行情!A:E,5,FALSE)</f>
        <v>-0.96</v>
      </c>
      <c r="AA67" s="90">
        <f ca="1">IF(I67="",((TODAY()-A67)*G67)/365.24,((I67-A67)*G67)/365.24)</f>
        <v>136.62249479794107</v>
      </c>
      <c r="AB67" s="103" t="s">
        <v>4280</v>
      </c>
      <c r="AC67" s="103" t="s">
        <v>4877</v>
      </c>
      <c r="AD67" s="383" t="s">
        <v>5144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2405</v>
      </c>
      <c r="Z68" s="38">
        <f>VLOOKUP(C68,台股行情!A:E,5,FALSE)</f>
        <v>-15</v>
      </c>
      <c r="AA68" s="90">
        <f t="shared" ref="AA68" ca="1" si="123">IF(I68="",((TODAY()-A68)*G68)/365.24,((I68-A68)*G68)/365.24)</f>
        <v>893.11137881940635</v>
      </c>
      <c r="AB68" s="103" t="s">
        <v>4280</v>
      </c>
      <c r="AC68" s="103" t="s">
        <v>3031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MIN(A94:A94)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91100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58672.318625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1.9398975850499376</v>
      </c>
      <c r="Y71" s="16">
        <f>VLOOKUP(C71,台股行情!A:D,4,FALSE)</f>
        <v>91.1</v>
      </c>
      <c r="Z71" s="38">
        <f>VLOOKUP(C71,台股行情!A:E,5,FALSE)</f>
        <v>-0.6</v>
      </c>
      <c r="AA71" s="90">
        <f t="shared" ref="AA71:AA72" ca="1" si="133">IF(I71="",((TODAY()-A71)*G71)/365.24,((I71-A71)*G71)/365.24)</f>
        <v>86582.740116088054</v>
      </c>
      <c r="AB71" s="103" t="s">
        <v>4280</v>
      </c>
      <c r="AC71" s="103" t="s">
        <v>4876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91100</v>
      </c>
      <c r="P72" s="14">
        <f t="shared" si="129"/>
        <v>4945</v>
      </c>
      <c r="Q72" s="14">
        <f t="shared" si="130"/>
        <v>46172.318625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1.1479299039973052</v>
      </c>
      <c r="Y72" s="16">
        <f>VLOOKUP(C72,台股行情!A:D,4,FALSE)</f>
        <v>91.1</v>
      </c>
      <c r="Z72" s="38">
        <f>VLOOKUP(C72,台股行情!A:E,5,FALSE)</f>
        <v>-0.6</v>
      </c>
      <c r="AA72" s="90">
        <f t="shared" ca="1" si="133"/>
        <v>75590.29679115102</v>
      </c>
      <c r="AB72" s="103" t="s">
        <v>4280</v>
      </c>
      <c r="AC72" s="103" t="s">
        <v>4876</v>
      </c>
      <c r="AD72" s="209"/>
    </row>
    <row r="73" spans="1:30">
      <c r="A73" s="99">
        <v>46051</v>
      </c>
      <c r="B73" s="11" t="s">
        <v>19</v>
      </c>
      <c r="C73" s="343" t="s">
        <v>4867</v>
      </c>
      <c r="D73" s="189" t="str">
        <f>VLOOKUP(C73,台股行情!A:B,2,FALSE)</f>
        <v>主動統一台股增長</v>
      </c>
      <c r="E73" s="11">
        <v>1000</v>
      </c>
      <c r="F73" s="11">
        <v>18.21</v>
      </c>
      <c r="G73" s="11">
        <f t="shared" ref="G73" si="135">E73*F73</f>
        <v>18210</v>
      </c>
      <c r="H73" s="11">
        <v>25</v>
      </c>
      <c r="I73" s="104"/>
      <c r="J73" s="16"/>
      <c r="K73" s="11">
        <f t="shared" ref="K73" si="136">E73*J73</f>
        <v>0</v>
      </c>
      <c r="L73" s="11">
        <f t="shared" ref="L73" si="137">ROUND(J73*E73*0.1425%,0)</f>
        <v>0</v>
      </c>
      <c r="M73" s="11">
        <f t="shared" ref="M73" si="138">ROUND(J73*E73*0.3%,0)</f>
        <v>0</v>
      </c>
      <c r="N73" s="11">
        <v>0</v>
      </c>
      <c r="O73" s="13">
        <f t="shared" ref="O73" si="139">IF(I73="",E73*Y73,0)</f>
        <v>29400</v>
      </c>
      <c r="P73" s="14">
        <f t="shared" si="129"/>
        <v>385</v>
      </c>
      <c r="Q73" s="14">
        <f t="shared" ref="Q73" si="140">IF(I73="",(O73-G73-(O73*0.1425%*0.65)-(O73*0.3%)-S73-T73),0)</f>
        <v>11064.568249999998</v>
      </c>
      <c r="R73" s="14">
        <v>410</v>
      </c>
      <c r="S73" s="14">
        <v>10</v>
      </c>
      <c r="T73" s="14">
        <f t="shared" ref="T73" si="141">IF(ROUND(R73*(1+V73),0)&gt;20000,ROUND(ROUND(R73*(1+V73),0)*2%,0),0)</f>
        <v>0</v>
      </c>
      <c r="U73" s="69"/>
      <c r="V73" s="69"/>
      <c r="W73" s="70"/>
      <c r="X73" s="15">
        <f t="shared" ref="X73" si="142">(P73+Q73)/G73</f>
        <v>0.62875168863261932</v>
      </c>
      <c r="Y73" s="16">
        <f>VLOOKUP(C73,台股行情!A:D,4,FALSE)</f>
        <v>29.4</v>
      </c>
      <c r="Z73" s="38">
        <f>VLOOKUP(C73,台股行情!A:E,5,FALSE)</f>
        <v>-0.69</v>
      </c>
      <c r="AA73" s="90">
        <f t="shared" ref="AA73" ca="1" si="143">IF(I73="",((TODAY()-A73)*G73)/365.24,((I73-A73)*G73)/365.24)</f>
        <v>10669.532362282334</v>
      </c>
      <c r="AB73" s="103" t="s">
        <v>4280</v>
      </c>
      <c r="AC73" s="103" t="s">
        <v>4871</v>
      </c>
      <c r="AD73" s="209"/>
    </row>
    <row r="74" spans="1:30" outlineLevel="1">
      <c r="A74" s="99">
        <v>46058</v>
      </c>
      <c r="B74" s="11" t="s">
        <v>19</v>
      </c>
      <c r="C74" s="343" t="s">
        <v>4859</v>
      </c>
      <c r="D74" s="189" t="str">
        <f>VLOOKUP(C74,台股行情!A:B,2,FALSE)</f>
        <v>主動統一台股增長</v>
      </c>
      <c r="E74" s="11">
        <v>272</v>
      </c>
      <c r="F74" s="11">
        <v>18.38</v>
      </c>
      <c r="G74" s="183">
        <v>4999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7996.7999999999993</v>
      </c>
      <c r="P74" s="14">
        <f t="shared" si="129"/>
        <v>111</v>
      </c>
      <c r="Q74" s="14">
        <f>IF(I74="",(O74-G74-(O74*0.1425%*0.65)-(O74*0.3%)-S74-T74),0)</f>
        <v>2956.4025639999991</v>
      </c>
      <c r="R74" s="14">
        <v>112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0.6136032334466891</v>
      </c>
      <c r="Y74" s="16">
        <f>VLOOKUP(C74,台股行情!A:D,4,FALSE)</f>
        <v>29.4</v>
      </c>
      <c r="Z74" s="38">
        <f>VLOOKUP(C74,台股行情!A:E,5,FALSE)</f>
        <v>-0.69</v>
      </c>
      <c r="AA74" s="90">
        <f ca="1">IF(I74="",((TODAY()-A74)*G74)/365.24,((I74-A74)*G74)/365.24)</f>
        <v>2833.1863979848868</v>
      </c>
      <c r="AB74" s="103" t="s">
        <v>4280</v>
      </c>
      <c r="AC74" s="103" t="s">
        <v>4870</v>
      </c>
      <c r="AD74" s="344"/>
    </row>
    <row r="75" spans="1:30" outlineLevel="1">
      <c r="A75" s="99">
        <v>46086</v>
      </c>
      <c r="B75" s="11" t="s">
        <v>19</v>
      </c>
      <c r="C75" s="343" t="s">
        <v>4859</v>
      </c>
      <c r="D75" s="189" t="str">
        <f>VLOOKUP(C75,台股行情!A:B,2,FALSE)</f>
        <v>主動統一台股增長</v>
      </c>
      <c r="E75" s="11">
        <v>256</v>
      </c>
      <c r="F75" s="352" t="s">
        <v>4928</v>
      </c>
      <c r="G75" s="183">
        <v>4989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7526.4</v>
      </c>
      <c r="P75" s="14">
        <f t="shared" si="129"/>
        <v>104</v>
      </c>
      <c r="Q75" s="14">
        <f>IF(I75="",(O75-G75-(O75*0.1425%*0.65)-(O75*0.3%)-S75-T75),0)</f>
        <v>2497.8494719999994</v>
      </c>
      <c r="R75" s="14">
        <v>105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0.52151723231108427</v>
      </c>
      <c r="Y75" s="16">
        <f>VLOOKUP(C75,台股行情!A:D,4,FALSE)</f>
        <v>29.4</v>
      </c>
      <c r="Z75" s="38">
        <f>VLOOKUP(C75,台股行情!A:E,5,FALSE)</f>
        <v>-0.69</v>
      </c>
      <c r="AA75" s="90">
        <f ca="1">IF(I75="",((TODAY()-A75)*G75)/365.24,((I75-A75)*G75)/365.24)</f>
        <v>2445.0525681743511</v>
      </c>
      <c r="AB75" s="103" t="s">
        <v>4280</v>
      </c>
      <c r="AC75" s="103" t="s">
        <v>4870</v>
      </c>
      <c r="AD75" s="344"/>
    </row>
    <row r="76" spans="1:30" outlineLevel="1">
      <c r="A76" s="99">
        <v>46119</v>
      </c>
      <c r="B76" s="11" t="s">
        <v>19</v>
      </c>
      <c r="C76" s="343" t="s">
        <v>4859</v>
      </c>
      <c r="D76" s="189" t="str">
        <f>VLOOKUP(C76,台股行情!A:B,2,FALSE)</f>
        <v>主動統一台股增長</v>
      </c>
      <c r="E76" s="11">
        <v>241</v>
      </c>
      <c r="F76" s="352">
        <v>20.73</v>
      </c>
      <c r="G76" s="183">
        <v>4995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7085.4</v>
      </c>
      <c r="P76" s="14">
        <f t="shared" si="129"/>
        <v>1322</v>
      </c>
      <c r="Q76" s="14">
        <f>IF(I76="",(O76-G76-(O76*0.1425%*0.65)-(O76*0.3%)-S76-T76),0)</f>
        <v>2052.5809482499999</v>
      </c>
      <c r="R76" s="14">
        <v>1323</v>
      </c>
      <c r="S76" s="14">
        <v>10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0.67559178143143139</v>
      </c>
      <c r="Y76" s="16">
        <f>VLOOKUP(C76,台股行情!A:D,4,FALSE)</f>
        <v>29.4</v>
      </c>
      <c r="Z76" s="38">
        <f>VLOOKUP(C76,台股行情!A:E,5,FALSE)</f>
        <v>-0.69</v>
      </c>
      <c r="AA76" s="90">
        <f ca="1">IF(I76="",((TODAY()-A76)*G76)/365.24,((I76-A76)*G76)/365.24)</f>
        <v>1996.6871098455808</v>
      </c>
      <c r="AB76" s="103" t="s">
        <v>4280</v>
      </c>
      <c r="AC76" s="103" t="s">
        <v>4870</v>
      </c>
      <c r="AD76" s="344"/>
    </row>
    <row r="77" spans="1:30" outlineLevel="1">
      <c r="A77" s="99">
        <v>46147</v>
      </c>
      <c r="B77" s="11" t="s">
        <v>19</v>
      </c>
      <c r="C77" s="343" t="s">
        <v>4859</v>
      </c>
      <c r="D77" s="189" t="str">
        <f>VLOOKUP(C77,台股行情!A:B,2,FALSE)</f>
        <v>主動統一台股增長</v>
      </c>
      <c r="E77" s="11">
        <v>169</v>
      </c>
      <c r="F77" s="352">
        <v>29.45</v>
      </c>
      <c r="G77" s="183">
        <v>4977</v>
      </c>
      <c r="H77" s="11">
        <v>1</v>
      </c>
      <c r="I77" s="104"/>
      <c r="J77" s="16"/>
      <c r="K77" s="11">
        <f>E77*J77</f>
        <v>0</v>
      </c>
      <c r="L77" s="11">
        <f>ROUND(J77*E77*0.1425%,0)</f>
        <v>0</v>
      </c>
      <c r="M77" s="11">
        <f>ROUND(J77*E77*0.3%,0)</f>
        <v>0</v>
      </c>
      <c r="N77" s="11">
        <v>0</v>
      </c>
      <c r="O77" s="13">
        <f>IF(I77="",E77*Y77,0)</f>
        <v>4968.5999999999995</v>
      </c>
      <c r="P77" s="14">
        <f t="shared" si="129"/>
        <v>-1</v>
      </c>
      <c r="Q77" s="14">
        <f>IF(I77="",(O77-G77-(O77*0.1425%*0.65)-(O77*0.3%)-S77-T77),0)</f>
        <v>-27.907965750000542</v>
      </c>
      <c r="R77" s="14"/>
      <c r="S77" s="14">
        <v>0</v>
      </c>
      <c r="T77" s="14">
        <f>IF(ROUND(R77*(1+V77),0)&gt;20000,ROUND(ROUND(R77*(1+V77),0)*2%,0),0)</f>
        <v>0</v>
      </c>
      <c r="U77" s="69"/>
      <c r="V77" s="69"/>
      <c r="W77" s="70"/>
      <c r="X77" s="15">
        <f>(P77+Q77)/G77</f>
        <v>-5.8083113823589596E-3</v>
      </c>
      <c r="Y77" s="16">
        <f>VLOOKUP(C77,台股行情!A:D,4,FALSE)</f>
        <v>29.4</v>
      </c>
      <c r="Z77" s="38">
        <f>VLOOKUP(C77,台股行情!A:E,5,FALSE)</f>
        <v>-0.69</v>
      </c>
      <c r="AA77" s="90">
        <f ca="1">IF(I77="",((TODAY()-A77)*G77)/365.24,((I77-A77)*G77)/365.24)</f>
        <v>1607.9454605191106</v>
      </c>
      <c r="AB77" s="103" t="s">
        <v>4280</v>
      </c>
      <c r="AC77" s="103" t="s">
        <v>4870</v>
      </c>
      <c r="AD77" s="344"/>
    </row>
    <row r="78" spans="1:30">
      <c r="A78" s="99">
        <v>46132</v>
      </c>
      <c r="B78" s="11" t="s">
        <v>19</v>
      </c>
      <c r="C78" s="181">
        <v>2330</v>
      </c>
      <c r="D78" s="189" t="str">
        <f>VLOOKUP(C78,台股行情!A:B,2,FALSE)</f>
        <v>台積電</v>
      </c>
      <c r="E78" s="11">
        <v>100</v>
      </c>
      <c r="F78" s="11">
        <v>2050</v>
      </c>
      <c r="G78" s="11">
        <f t="shared" ref="G78:G79" si="144">E78*F78</f>
        <v>205000</v>
      </c>
      <c r="H78" s="11">
        <v>292</v>
      </c>
      <c r="I78" s="104"/>
      <c r="J78" s="16"/>
      <c r="K78" s="11">
        <f t="shared" ref="K78:K81" si="145">E78*J78</f>
        <v>0</v>
      </c>
      <c r="L78" s="11">
        <f t="shared" ref="L78:L81" si="146">ROUND(J78*E78*0.1425%,0)</f>
        <v>0</v>
      </c>
      <c r="M78" s="11">
        <f t="shared" ref="M78:M81" si="147">ROUND(J78*E78*0.3%,0)</f>
        <v>0</v>
      </c>
      <c r="N78" s="11">
        <v>0</v>
      </c>
      <c r="O78" s="13">
        <f t="shared" ref="O78:O81" si="148">IF(I78="",E78*Y78,0)</f>
        <v>240500</v>
      </c>
      <c r="P78" s="14">
        <f t="shared" si="129"/>
        <v>368</v>
      </c>
      <c r="Q78" s="14">
        <f t="shared" ref="Q78:Q81" si="149">IF(I78="",(O78-G78-(O78*0.1425%*0.65)-(O78*0.3%)-S78-T78),0)</f>
        <v>34545.736875000002</v>
      </c>
      <c r="R78" s="14">
        <v>660</v>
      </c>
      <c r="S78" s="14">
        <v>10</v>
      </c>
      <c r="T78" s="14">
        <f t="shared" ref="T78:T81" si="150">IF(ROUND(R78*(1+V78),0)&gt;20000,ROUND(ROUND(R78*(1+V78),0)*2%,0),0)</f>
        <v>0</v>
      </c>
      <c r="U78" s="69"/>
      <c r="V78" s="69"/>
      <c r="W78" s="70"/>
      <c r="X78" s="15">
        <f t="shared" ref="X78:X81" si="151">(P78+Q78)/G78</f>
        <v>0.17031091158536588</v>
      </c>
      <c r="Y78" s="16">
        <f>VLOOKUP(C78,台股行情!A:D,4,FALSE)</f>
        <v>2405</v>
      </c>
      <c r="Z78" s="38">
        <f>VLOOKUP(C78,台股行情!A:E,5,FALSE)</f>
        <v>-15</v>
      </c>
      <c r="AA78" s="90">
        <f t="shared" ref="AA78:AA81" ca="1" si="152">IF(I78="",((TODAY()-A78)*G78)/365.24,((I78-A78)*G78)/365.24)</f>
        <v>74649.545504325928</v>
      </c>
      <c r="AB78" s="103" t="s">
        <v>4276</v>
      </c>
      <c r="AC78" s="103" t="s">
        <v>3031</v>
      </c>
      <c r="AD78" s="209"/>
    </row>
    <row r="79" spans="1:30">
      <c r="A79" s="99">
        <v>46136</v>
      </c>
      <c r="B79" s="11" t="s">
        <v>19</v>
      </c>
      <c r="C79" s="181">
        <v>2345</v>
      </c>
      <c r="D79" s="189" t="str">
        <f>VLOOKUP(C79,台股行情!A:B,2,FALSE)</f>
        <v>智邦</v>
      </c>
      <c r="E79" s="11">
        <v>100</v>
      </c>
      <c r="F79" s="11">
        <v>2110</v>
      </c>
      <c r="G79" s="11">
        <f t="shared" si="144"/>
        <v>211000</v>
      </c>
      <c r="H79" s="11">
        <v>300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203500</v>
      </c>
      <c r="P79" s="14">
        <f t="shared" si="129"/>
        <v>-300</v>
      </c>
      <c r="Q79" s="14">
        <f t="shared" ref="Q79" si="157">IF(I79="",(O79-G79-(O79*0.1425%*0.65)-(O79*0.3%)-S79-T79),0)</f>
        <v>-8298.9918749999997</v>
      </c>
      <c r="R79" s="14"/>
      <c r="S79" s="14">
        <v>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-4.0753515995260663E-2</v>
      </c>
      <c r="Y79" s="16">
        <f>VLOOKUP(C79,台股行情!A:D,4,FALSE)</f>
        <v>2035</v>
      </c>
      <c r="Z79" s="38">
        <f>VLOOKUP(C79,台股行情!A:E,5,FALSE)</f>
        <v>-90</v>
      </c>
      <c r="AA79" s="90">
        <f t="shared" ref="AA79" ca="1" si="160">IF(I79="",((TODAY()-A79)*G79)/365.24,((I79-A79)*G79)/365.24)</f>
        <v>74523.600919943055</v>
      </c>
      <c r="AB79" s="103" t="s">
        <v>4276</v>
      </c>
      <c r="AC79" s="103" t="s">
        <v>3031</v>
      </c>
      <c r="AD79" s="209"/>
    </row>
    <row r="80" spans="1:30">
      <c r="A80" s="99">
        <v>46136</v>
      </c>
      <c r="B80" s="11" t="s">
        <v>19</v>
      </c>
      <c r="C80" s="181">
        <v>2308</v>
      </c>
      <c r="D80" s="189" t="str">
        <f>VLOOKUP(C80,台股行情!A:B,2,FALSE)</f>
        <v>台達電</v>
      </c>
      <c r="E80" s="11">
        <v>100</v>
      </c>
      <c r="F80" s="11">
        <v>2010</v>
      </c>
      <c r="G80" s="11">
        <f t="shared" ref="G80" si="161">E80*F80</f>
        <v>201000</v>
      </c>
      <c r="H80" s="11">
        <v>286</v>
      </c>
      <c r="I80" s="104"/>
      <c r="J80" s="16"/>
      <c r="K80" s="11">
        <f t="shared" ref="K80" si="162">E80*J80</f>
        <v>0</v>
      </c>
      <c r="L80" s="11">
        <f t="shared" ref="L80" si="163">ROUND(J80*E80*0.1425%,0)</f>
        <v>0</v>
      </c>
      <c r="M80" s="11">
        <f t="shared" ref="M80" si="164">ROUND(J80*E80*0.3%,0)</f>
        <v>0</v>
      </c>
      <c r="N80" s="11">
        <v>0</v>
      </c>
      <c r="O80" s="13">
        <f t="shared" ref="O80" si="165">IF(I80="",E80*Y80,0)</f>
        <v>184000</v>
      </c>
      <c r="P80" s="14">
        <f t="shared" si="129"/>
        <v>874</v>
      </c>
      <c r="Q80" s="14">
        <f t="shared" ref="Q80" si="166">IF(I80="",(O80-G80-(O80*0.1425%*0.65)-(O80*0.3%)-S80-T80),0)</f>
        <v>-17732.43</v>
      </c>
      <c r="R80" s="14">
        <v>1160</v>
      </c>
      <c r="S80" s="14">
        <v>10</v>
      </c>
      <c r="T80" s="14">
        <f t="shared" ref="T80" si="167">IF(ROUND(R80*(1+V80),0)&gt;20000,ROUND(ROUND(R80*(1+V80),0)*2%,0),0)</f>
        <v>0</v>
      </c>
      <c r="U80" s="69"/>
      <c r="V80" s="69"/>
      <c r="W80" s="70"/>
      <c r="X80" s="15">
        <f t="shared" ref="X80" si="168">(P80+Q80)/G80</f>
        <v>-8.3872786069651747E-2</v>
      </c>
      <c r="Y80" s="16">
        <f>VLOOKUP(C80,台股行情!A:D,4,FALSE)</f>
        <v>1840</v>
      </c>
      <c r="Z80" s="38">
        <f>VLOOKUP(C80,台股行情!A:E,5,FALSE)</f>
        <v>10</v>
      </c>
      <c r="AA80" s="90">
        <f t="shared" ref="AA80" ca="1" si="169">IF(I80="",((TODAY()-A80)*G80)/365.24,((I80-A80)*G80)/365.24)</f>
        <v>70991.676705727732</v>
      </c>
      <c r="AB80" s="103" t="s">
        <v>4276</v>
      </c>
      <c r="AC80" s="103" t="s">
        <v>3031</v>
      </c>
      <c r="AD80" s="209"/>
    </row>
    <row r="81" spans="1:30">
      <c r="A81" s="99">
        <v>46136</v>
      </c>
      <c r="B81" s="11" t="s">
        <v>19</v>
      </c>
      <c r="C81" s="181">
        <v>2383</v>
      </c>
      <c r="D81" s="189" t="str">
        <f>VLOOKUP(C81,台股行情!A:B,2,FALSE)</f>
        <v>台光電</v>
      </c>
      <c r="E81" s="11">
        <v>10</v>
      </c>
      <c r="F81" s="11">
        <v>4335</v>
      </c>
      <c r="G81" s="11">
        <f t="shared" ref="G81" si="170">E81*F81</f>
        <v>43350</v>
      </c>
      <c r="H81" s="11">
        <v>61</v>
      </c>
      <c r="I81" s="104"/>
      <c r="J81" s="16"/>
      <c r="K81" s="11">
        <f t="shared" si="145"/>
        <v>0</v>
      </c>
      <c r="L81" s="11">
        <f t="shared" si="146"/>
        <v>0</v>
      </c>
      <c r="M81" s="11">
        <f t="shared" si="147"/>
        <v>0</v>
      </c>
      <c r="N81" s="11">
        <v>0</v>
      </c>
      <c r="O81" s="13">
        <f t="shared" si="148"/>
        <v>54850</v>
      </c>
      <c r="P81" s="14">
        <f t="shared" si="129"/>
        <v>-61</v>
      </c>
      <c r="Q81" s="14">
        <f t="shared" si="149"/>
        <v>11284.6451875</v>
      </c>
      <c r="R81" s="14"/>
      <c r="S81" s="14">
        <v>0</v>
      </c>
      <c r="T81" s="14">
        <f t="shared" si="150"/>
        <v>0</v>
      </c>
      <c r="U81" s="69"/>
      <c r="V81" s="69"/>
      <c r="W81" s="70"/>
      <c r="X81" s="15">
        <f t="shared" si="151"/>
        <v>0.25890761678200691</v>
      </c>
      <c r="Y81" s="16">
        <f>VLOOKUP(C81,台股行情!A:D,4,FALSE)</f>
        <v>5485</v>
      </c>
      <c r="Z81" s="38">
        <f>VLOOKUP(C81,台股行情!A:E,5,FALSE)</f>
        <v>-5</v>
      </c>
      <c r="AA81" s="90">
        <f t="shared" ca="1" si="152"/>
        <v>15310.891468623371</v>
      </c>
      <c r="AB81" s="103" t="s">
        <v>5040</v>
      </c>
      <c r="AC81" s="103" t="s">
        <v>3031</v>
      </c>
      <c r="AD81" s="209"/>
    </row>
    <row r="82" spans="1:30">
      <c r="A82" s="99">
        <v>46170</v>
      </c>
      <c r="B82" s="11" t="s">
        <v>19</v>
      </c>
      <c r="C82" s="181">
        <v>692</v>
      </c>
      <c r="D82" s="189" t="str">
        <f>VLOOKUP(C82,台股行情!A:B,2,FALSE)</f>
        <v>富邦公司治理</v>
      </c>
      <c r="E82" s="11">
        <v>1000</v>
      </c>
      <c r="F82" s="11">
        <v>87.2</v>
      </c>
      <c r="G82" s="11">
        <f t="shared" ref="G82:G84" si="171">E82*F82</f>
        <v>87200</v>
      </c>
      <c r="H82" s="11">
        <v>124</v>
      </c>
      <c r="I82" s="104"/>
      <c r="J82" s="16"/>
      <c r="K82" s="11">
        <f t="shared" ref="K82:K84" si="172">E82*J82</f>
        <v>0</v>
      </c>
      <c r="L82" s="11">
        <f t="shared" ref="L82:L84" si="173">ROUND(J82*E82*0.1425%,0)</f>
        <v>0</v>
      </c>
      <c r="M82" s="11">
        <f t="shared" ref="M82:M84" si="174">ROUND(J82*E82*0.3%,0)</f>
        <v>0</v>
      </c>
      <c r="N82" s="11">
        <v>0</v>
      </c>
      <c r="O82" s="13">
        <f t="shared" ref="O82:O84" si="175">IF(I82="",E82*Y82,0)</f>
        <v>91100</v>
      </c>
      <c r="P82" s="14">
        <f t="shared" si="129"/>
        <v>5636</v>
      </c>
      <c r="Q82" s="14">
        <f t="shared" ref="Q82:Q84" si="176">IF(I82="",(O82-G82-(O82*0.1425%*0.65)-(O82*0.3%)-S82-T82),0)</f>
        <v>3542.3186249999999</v>
      </c>
      <c r="R82" s="14">
        <v>5760</v>
      </c>
      <c r="S82" s="14">
        <v>0</v>
      </c>
      <c r="T82" s="14">
        <f t="shared" ref="T82:T84" si="177">IF(ROUND(R82*(1+V82),0)&gt;20000,ROUND(ROUND(R82*(1+V82),0)*2%,0),0)</f>
        <v>0</v>
      </c>
      <c r="U82" s="69"/>
      <c r="V82" s="69"/>
      <c r="W82" s="70"/>
      <c r="X82" s="15">
        <f t="shared" ref="X82:X84" si="178">(P82+Q82)/G82</f>
        <v>0.10525594753440366</v>
      </c>
      <c r="Y82" s="16">
        <f>VLOOKUP(C82,台股行情!A:D,4,FALSE)</f>
        <v>91.1</v>
      </c>
      <c r="Z82" s="38">
        <f>VLOOKUP(C82,台股行情!A:E,5,FALSE)</f>
        <v>-0.6</v>
      </c>
      <c r="AA82" s="90">
        <f t="shared" ref="AA82:AA84" ca="1" si="179">IF(I82="",((TODAY()-A82)*G82)/365.24,((I82-A82)*G82)/365.24)</f>
        <v>22680.976891906692</v>
      </c>
      <c r="AB82" s="103" t="s">
        <v>4280</v>
      </c>
      <c r="AC82" s="103" t="s">
        <v>3031</v>
      </c>
      <c r="AD82" s="209"/>
    </row>
    <row r="83" spans="1:30">
      <c r="A83" s="99">
        <v>46178</v>
      </c>
      <c r="B83" s="11" t="s">
        <v>19</v>
      </c>
      <c r="C83" s="343" t="s">
        <v>4859</v>
      </c>
      <c r="D83" s="189" t="str">
        <f>VLOOKUP(C83,台股行情!A:B,2,FALSE)</f>
        <v>主動統一台股增長</v>
      </c>
      <c r="E83" s="11">
        <v>162</v>
      </c>
      <c r="F83" s="352">
        <v>30.73</v>
      </c>
      <c r="G83" s="183">
        <v>4977</v>
      </c>
      <c r="H83" s="11">
        <v>1</v>
      </c>
      <c r="I83" s="104"/>
      <c r="J83" s="16"/>
      <c r="K83" s="11">
        <f>E83*J83</f>
        <v>0</v>
      </c>
      <c r="L83" s="11">
        <f>ROUND(J83*E83*0.1425%,0)</f>
        <v>0</v>
      </c>
      <c r="M83" s="11">
        <f>ROUND(J83*E83*0.3%,0)</f>
        <v>0</v>
      </c>
      <c r="N83" s="11">
        <v>0</v>
      </c>
      <c r="O83" s="13">
        <f>IF(I83="",E83*Y83,0)</f>
        <v>4762.8</v>
      </c>
      <c r="P83" s="14">
        <f t="shared" si="129"/>
        <v>-1</v>
      </c>
      <c r="Q83" s="14">
        <f>IF(I83="",(O83-G83-(O83*0.1425%*0.65)-(O83*0.3%)-S83-T83),0)</f>
        <v>-232.89994349999981</v>
      </c>
      <c r="R83" s="14"/>
      <c r="S83" s="14">
        <v>0</v>
      </c>
      <c r="T83" s="14">
        <f>IF(ROUND(R83*(1+V83),0)&gt;20000,ROUND(ROUND(R83*(1+V83),0)*2%,0),0)</f>
        <v>0</v>
      </c>
      <c r="U83" s="69"/>
      <c r="V83" s="69"/>
      <c r="W83" s="70"/>
      <c r="X83" s="15">
        <f>(P83+Q83)/G83</f>
        <v>-4.699617108700016E-2</v>
      </c>
      <c r="Y83" s="16">
        <f>VLOOKUP(C83,台股行情!A:D,4,FALSE)</f>
        <v>29.4</v>
      </c>
      <c r="Z83" s="38">
        <f>VLOOKUP(C83,台股行情!A:E,5,FALSE)</f>
        <v>-0.69</v>
      </c>
      <c r="AA83" s="90">
        <f ca="1">IF(I83="",((TODAY()-A83)*G83)/365.24,((I83-A83)*G83)/365.24)</f>
        <v>1185.5191107217172</v>
      </c>
      <c r="AB83" s="103" t="s">
        <v>4280</v>
      </c>
      <c r="AC83" s="103" t="s">
        <v>4870</v>
      </c>
      <c r="AD83" s="344"/>
    </row>
    <row r="84" spans="1:30">
      <c r="A84" s="99">
        <v>46181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2305</v>
      </c>
      <c r="G84" s="11">
        <f t="shared" si="171"/>
        <v>23050</v>
      </c>
      <c r="H84" s="11">
        <v>32</v>
      </c>
      <c r="I84" s="104"/>
      <c r="J84" s="16"/>
      <c r="K84" s="11">
        <f t="shared" si="172"/>
        <v>0</v>
      </c>
      <c r="L84" s="11">
        <f t="shared" si="173"/>
        <v>0</v>
      </c>
      <c r="M84" s="11">
        <f t="shared" si="174"/>
        <v>0</v>
      </c>
      <c r="N84" s="11">
        <v>0</v>
      </c>
      <c r="O84" s="13">
        <f t="shared" si="175"/>
        <v>24050</v>
      </c>
      <c r="P84" s="14">
        <f t="shared" si="129"/>
        <v>-32</v>
      </c>
      <c r="Q84" s="14">
        <f t="shared" si="176"/>
        <v>905.57368750000001</v>
      </c>
      <c r="R84" s="14"/>
      <c r="S84" s="14">
        <v>0</v>
      </c>
      <c r="T84" s="14">
        <f t="shared" si="177"/>
        <v>0</v>
      </c>
      <c r="U84" s="69"/>
      <c r="V84" s="69"/>
      <c r="W84" s="70"/>
      <c r="X84" s="15">
        <f t="shared" si="178"/>
        <v>3.7899075379609543E-2</v>
      </c>
      <c r="Y84" s="16">
        <f>VLOOKUP(C84,台股行情!A:D,4,FALSE)</f>
        <v>2405</v>
      </c>
      <c r="Z84" s="38">
        <f>VLOOKUP(C84,台股行情!A:E,5,FALSE)</f>
        <v>-15</v>
      </c>
      <c r="AA84" s="90">
        <f t="shared" ca="1" si="179"/>
        <v>5301.1718322199104</v>
      </c>
      <c r="AB84" s="103" t="s">
        <v>4276</v>
      </c>
      <c r="AC84" s="103" t="s">
        <v>3031</v>
      </c>
      <c r="AD84" s="209"/>
    </row>
    <row r="85" spans="1:30">
      <c r="A85" s="99">
        <v>46199</v>
      </c>
      <c r="B85" s="11" t="s">
        <v>19</v>
      </c>
      <c r="C85" s="380" t="s">
        <v>5139</v>
      </c>
      <c r="D85" s="189" t="str">
        <f>VLOOKUP(C85,台股行情!A:B,2,FALSE)</f>
        <v>主動元大AI新經濟</v>
      </c>
      <c r="E85" s="11">
        <v>1000</v>
      </c>
      <c r="F85" s="11">
        <v>20.39</v>
      </c>
      <c r="G85" s="11">
        <f t="shared" ref="G85" si="180">E85*F85</f>
        <v>20390</v>
      </c>
      <c r="H85" s="11">
        <v>29</v>
      </c>
      <c r="I85" s="104"/>
      <c r="J85" s="16"/>
      <c r="K85" s="11">
        <f t="shared" ref="K85:K87" si="181">E85*J85</f>
        <v>0</v>
      </c>
      <c r="L85" s="11">
        <f t="shared" ref="L85:L87" si="182">ROUND(J85*E85*0.1425%,0)</f>
        <v>0</v>
      </c>
      <c r="M85" s="11">
        <f t="shared" ref="M85:M87" si="183">ROUND(J85*E85*0.3%,0)</f>
        <v>0</v>
      </c>
      <c r="N85" s="11">
        <v>0</v>
      </c>
      <c r="O85" s="13">
        <f t="shared" ref="O85" si="184">IF(I85="",E85*Y85,0)</f>
        <v>15000</v>
      </c>
      <c r="P85" s="14">
        <f t="shared" si="129"/>
        <v>-29</v>
      </c>
      <c r="Q85" s="14">
        <f t="shared" ref="Q85:Q87" si="185">IF(I85="",(O85-G85-(O85*0.1425%*0.65)-(O85*0.3%)-S85-T85),0)</f>
        <v>-5448.8937500000002</v>
      </c>
      <c r="R85" s="14"/>
      <c r="S85" s="14">
        <v>0</v>
      </c>
      <c r="T85" s="14">
        <f t="shared" ref="T85:T87" si="186">IF(ROUND(R85*(1+V85),0)&gt;20000,ROUND(ROUND(R85*(1+V85),0)*2%,0),0)</f>
        <v>0</v>
      </c>
      <c r="U85" s="69"/>
      <c r="V85" s="69"/>
      <c r="W85" s="70"/>
      <c r="X85" s="15">
        <f t="shared" ref="X85:X87" si="187">(P85+Q85)/G85</f>
        <v>-0.26865589749877394</v>
      </c>
      <c r="Y85" s="16">
        <f>VLOOKUP(C85,台股行情!A:D,4,FALSE)</f>
        <v>15</v>
      </c>
      <c r="Z85" s="38">
        <f>VLOOKUP(C85,台股行情!A:E,5,FALSE)</f>
        <v>-0.37</v>
      </c>
      <c r="AA85" s="90">
        <f t="shared" ref="AA85:AA87" ca="1" si="188">IF(I85="",((TODAY()-A85)*G85)/365.24,((I85-A85)*G85)/365.24)</f>
        <v>3684.5361953783813</v>
      </c>
      <c r="AB85" s="103" t="s">
        <v>4280</v>
      </c>
      <c r="AC85" s="103" t="s">
        <v>3031</v>
      </c>
      <c r="AD85" s="209"/>
    </row>
    <row r="86" spans="1:30">
      <c r="A86" s="99">
        <v>46199</v>
      </c>
      <c r="B86" s="11" t="s">
        <v>19</v>
      </c>
      <c r="C86" s="181">
        <v>50</v>
      </c>
      <c r="D86" s="189" t="str">
        <f>VLOOKUP(C86,台股行情!A:B,2,FALSE)</f>
        <v>元大台灣50</v>
      </c>
      <c r="E86" s="11">
        <v>1000</v>
      </c>
      <c r="F86" s="11">
        <v>103.95</v>
      </c>
      <c r="G86" s="11">
        <f t="shared" ref="G86" si="189">E86*F86</f>
        <v>103950</v>
      </c>
      <c r="H86" s="11">
        <v>148</v>
      </c>
      <c r="I86" s="104"/>
      <c r="J86" s="16"/>
      <c r="K86" s="11">
        <f t="shared" si="181"/>
        <v>0</v>
      </c>
      <c r="L86" s="11">
        <f t="shared" si="182"/>
        <v>0</v>
      </c>
      <c r="M86" s="11">
        <f t="shared" si="183"/>
        <v>0</v>
      </c>
      <c r="N86" s="11">
        <v>0</v>
      </c>
      <c r="O86" s="13">
        <f t="shared" ref="O86" si="190">IF(I86="",E86*Y86,0)</f>
        <v>106250</v>
      </c>
      <c r="P86" s="14">
        <f t="shared" si="129"/>
        <v>452</v>
      </c>
      <c r="Q86" s="14">
        <f t="shared" ref="Q86" si="191">IF(I86="",(O86-G86-(O86*0.1425%*0.65)-(O86*0.3%)-S86-T86),0)</f>
        <v>1882.8359375</v>
      </c>
      <c r="R86" s="14">
        <v>600</v>
      </c>
      <c r="S86" s="14">
        <v>0</v>
      </c>
      <c r="T86" s="14">
        <f t="shared" ref="T86" si="192">IF(ROUND(R86*(1+V86),0)&gt;20000,ROUND(ROUND(R86*(1+V86),0)*2%,0),0)</f>
        <v>0</v>
      </c>
      <c r="U86" s="69"/>
      <c r="V86" s="69"/>
      <c r="W86" s="70"/>
      <c r="X86" s="15">
        <f t="shared" ref="X86" si="193">(P86+Q86)/G86</f>
        <v>2.2461144179894178E-2</v>
      </c>
      <c r="Y86" s="16">
        <f>VLOOKUP(C86,台股行情!A:D,4,FALSE)</f>
        <v>106.25</v>
      </c>
      <c r="Z86" s="38">
        <f>VLOOKUP(C86,台股行情!A:E,5,FALSE)</f>
        <v>-0.7</v>
      </c>
      <c r="AA86" s="90">
        <f t="shared" ref="AA86" ca="1" si="194">IF(I86="",((TODAY()-A86)*G86)/365.24,((I86-A86)*G86)/365.24)</f>
        <v>18784.0871755558</v>
      </c>
      <c r="AB86" s="103" t="s">
        <v>4280</v>
      </c>
      <c r="AC86" s="103" t="s">
        <v>3031</v>
      </c>
      <c r="AD86" s="209"/>
    </row>
    <row r="87" spans="1:30">
      <c r="A87" s="99">
        <v>46199</v>
      </c>
      <c r="B87" s="11" t="s">
        <v>19</v>
      </c>
      <c r="C87" s="181">
        <v>2330</v>
      </c>
      <c r="D87" s="189" t="str">
        <f>VLOOKUP(C87,台股行情!A:B,2,FALSE)</f>
        <v>台積電</v>
      </c>
      <c r="E87" s="11">
        <v>10</v>
      </c>
      <c r="F87" s="11">
        <v>2340</v>
      </c>
      <c r="G87" s="11">
        <f t="shared" ref="G87" si="195">E87*F87</f>
        <v>23400</v>
      </c>
      <c r="H87" s="11">
        <v>33</v>
      </c>
      <c r="I87" s="104"/>
      <c r="J87" s="16"/>
      <c r="K87" s="11">
        <f t="shared" si="181"/>
        <v>0</v>
      </c>
      <c r="L87" s="11">
        <f t="shared" si="182"/>
        <v>0</v>
      </c>
      <c r="M87" s="11">
        <f t="shared" si="183"/>
        <v>0</v>
      </c>
      <c r="N87" s="11">
        <v>0</v>
      </c>
      <c r="O87" s="13">
        <f t="shared" ref="O87" si="196">IF(I87="",E87*Y87,0)</f>
        <v>24050</v>
      </c>
      <c r="P87" s="14">
        <f t="shared" si="129"/>
        <v>-33</v>
      </c>
      <c r="Q87" s="14">
        <f t="shared" si="185"/>
        <v>555.57368750000001</v>
      </c>
      <c r="R87" s="14"/>
      <c r="S87" s="14">
        <v>0</v>
      </c>
      <c r="T87" s="14">
        <f t="shared" si="186"/>
        <v>0</v>
      </c>
      <c r="U87" s="69"/>
      <c r="V87" s="69"/>
      <c r="W87" s="70"/>
      <c r="X87" s="15">
        <f t="shared" si="187"/>
        <v>2.2332208867521366E-2</v>
      </c>
      <c r="Y87" s="16">
        <f>VLOOKUP(C87,台股行情!A:D,4,FALSE)</f>
        <v>2405</v>
      </c>
      <c r="Z87" s="38">
        <f>VLOOKUP(C87,台股行情!A:E,5,FALSE)</f>
        <v>-15</v>
      </c>
      <c r="AA87" s="90">
        <f t="shared" ca="1" si="188"/>
        <v>4228.4525243675389</v>
      </c>
      <c r="AB87" s="103" t="s">
        <v>4280</v>
      </c>
      <c r="AC87" s="103" t="s">
        <v>3031</v>
      </c>
      <c r="AD87" s="209"/>
    </row>
    <row r="88" spans="1:30">
      <c r="A88" s="99">
        <v>46209</v>
      </c>
      <c r="B88" s="11" t="s">
        <v>19</v>
      </c>
      <c r="C88" s="343" t="s">
        <v>4859</v>
      </c>
      <c r="D88" s="189" t="str">
        <f>VLOOKUP(C88,台股行情!A:B,2,FALSE)</f>
        <v>主動統一台股增長</v>
      </c>
      <c r="E88" s="11">
        <v>158</v>
      </c>
      <c r="F88" s="352">
        <v>31.55</v>
      </c>
      <c r="G88" s="183">
        <v>4984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4645.2</v>
      </c>
      <c r="P88" s="14">
        <f t="shared" si="129"/>
        <v>-1</v>
      </c>
      <c r="Q88" s="14">
        <f>IF(I88="",(O88-G88-(O88*0.1425%*0.65)-(O88*0.3%)-S88-T88),0)</f>
        <v>-357.0382165000002</v>
      </c>
      <c r="R88" s="14"/>
      <c r="S88" s="14">
        <v>0</v>
      </c>
      <c r="T88" s="14">
        <f>IF(ROUND(R88*(1+V88),0)&gt;20000,ROUND(ROUND(R88*(1+V88),0)*2%,0),0)</f>
        <v>0</v>
      </c>
      <c r="U88" s="69"/>
      <c r="V88" s="69"/>
      <c r="W88" s="70"/>
      <c r="X88" s="15">
        <f>(P88+Q88)/G88</f>
        <v>-7.18375233747994E-2</v>
      </c>
      <c r="Y88" s="16">
        <f>VLOOKUP(C88,台股行情!A:D,4,FALSE)</f>
        <v>29.4</v>
      </c>
      <c r="Z88" s="38">
        <f>VLOOKUP(C88,台股行情!A:E,5,FALSE)</f>
        <v>-0.69</v>
      </c>
      <c r="AA88" s="90">
        <f ca="1">IF(I88="",((TODAY()-A88)*G88)/365.24,((I88-A88)*G88)/365.24)</f>
        <v>764.16602781732558</v>
      </c>
      <c r="AB88" s="103" t="s">
        <v>4280</v>
      </c>
      <c r="AC88" s="103" t="s">
        <v>4870</v>
      </c>
      <c r="AD88" s="344"/>
    </row>
    <row r="89" spans="1:30">
      <c r="A89" s="99">
        <v>46216</v>
      </c>
      <c r="B89" s="11" t="s">
        <v>19</v>
      </c>
      <c r="C89" s="380" t="s">
        <v>5139</v>
      </c>
      <c r="D89" s="189" t="str">
        <f>VLOOKUP(C89,台股行情!A:B,2,FALSE)</f>
        <v>主動元大AI新經濟</v>
      </c>
      <c r="E89" s="11">
        <v>277</v>
      </c>
      <c r="F89" s="11">
        <v>18.02</v>
      </c>
      <c r="G89" s="11">
        <v>4991</v>
      </c>
      <c r="H89" s="11">
        <v>1</v>
      </c>
      <c r="I89" s="104"/>
      <c r="J89" s="16"/>
      <c r="K89" s="11">
        <f t="shared" ref="K89:K90" si="197">E89*J89</f>
        <v>0</v>
      </c>
      <c r="L89" s="11">
        <f t="shared" ref="L89:L90" si="198">ROUND(J89*E89*0.1425%,0)</f>
        <v>0</v>
      </c>
      <c r="M89" s="11">
        <f t="shared" ref="M89:M90" si="199">ROUND(J89*E89*0.3%,0)</f>
        <v>0</v>
      </c>
      <c r="N89" s="11">
        <v>0</v>
      </c>
      <c r="O89" s="13">
        <f t="shared" ref="O89:O90" si="200">IF(I89="",E89*Y89,0)</f>
        <v>4155</v>
      </c>
      <c r="P89" s="14">
        <f t="shared" si="129"/>
        <v>-1</v>
      </c>
      <c r="Q89" s="14">
        <f t="shared" ref="Q89:Q90" si="201">IF(I89="",(O89-G89-(O89*0.1425%*0.65)-(O89*0.3%)-S89-T89),0)</f>
        <v>-852.31356875000006</v>
      </c>
      <c r="R89" s="14"/>
      <c r="S89" s="14">
        <v>0</v>
      </c>
      <c r="T89" s="14">
        <f t="shared" ref="T89:T90" si="202">IF(ROUND(R89*(1+V89),0)&gt;20000,ROUND(ROUND(R89*(1+V89),0)*2%,0),0)</f>
        <v>0</v>
      </c>
      <c r="U89" s="69"/>
      <c r="V89" s="69"/>
      <c r="W89" s="70"/>
      <c r="X89" s="15">
        <f t="shared" ref="X89:X90" si="203">(P89+Q89)/G89</f>
        <v>-0.17097046057904228</v>
      </c>
      <c r="Y89" s="16">
        <f>VLOOKUP(C89,台股行情!A:D,4,FALSE)</f>
        <v>15</v>
      </c>
      <c r="Z89" s="38">
        <f>VLOOKUP(C89,台股行情!A:E,5,FALSE)</f>
        <v>-0.37</v>
      </c>
      <c r="AA89" s="90">
        <f t="shared" ref="AA89:AA90" ca="1" si="204">IF(I89="",((TODAY()-A89)*G89)/365.24,((I89-A89)*G89)/365.24)</f>
        <v>669.58438287153649</v>
      </c>
      <c r="AB89" s="103" t="s">
        <v>4280</v>
      </c>
      <c r="AC89" s="103" t="s">
        <v>3031</v>
      </c>
      <c r="AD89" s="209"/>
    </row>
    <row r="90" spans="1:30">
      <c r="A90" s="99">
        <v>46217</v>
      </c>
      <c r="B90" s="11" t="s">
        <v>19</v>
      </c>
      <c r="C90" s="343" t="s">
        <v>4859</v>
      </c>
      <c r="D90" s="189" t="str">
        <f>VLOOKUP(C90,台股行情!A:B,2,FALSE)</f>
        <v>主動統一台股增長</v>
      </c>
      <c r="E90" s="11">
        <v>46</v>
      </c>
      <c r="F90" s="11">
        <v>28.11</v>
      </c>
      <c r="G90" s="11">
        <v>1293</v>
      </c>
      <c r="H90" s="11">
        <v>1</v>
      </c>
      <c r="I90" s="104"/>
      <c r="J90" s="16"/>
      <c r="K90" s="11">
        <f t="shared" si="197"/>
        <v>0</v>
      </c>
      <c r="L90" s="11">
        <f t="shared" si="198"/>
        <v>0</v>
      </c>
      <c r="M90" s="11">
        <f t="shared" si="199"/>
        <v>0</v>
      </c>
      <c r="N90" s="11">
        <v>0</v>
      </c>
      <c r="O90" s="13">
        <f t="shared" si="200"/>
        <v>1352.3999999999999</v>
      </c>
      <c r="P90" s="14">
        <f t="shared" si="129"/>
        <v>-1</v>
      </c>
      <c r="Q90" s="14">
        <f t="shared" si="201"/>
        <v>54.090139499999864</v>
      </c>
      <c r="R90" s="14"/>
      <c r="S90" s="14">
        <v>0</v>
      </c>
      <c r="T90" s="14">
        <f t="shared" si="202"/>
        <v>0</v>
      </c>
      <c r="U90" s="69"/>
      <c r="V90" s="69"/>
      <c r="W90" s="70"/>
      <c r="X90" s="15">
        <f t="shared" si="203"/>
        <v>4.1059659319412113E-2</v>
      </c>
      <c r="Y90" s="16">
        <f>VLOOKUP(C90,台股行情!A:D,4,FALSE)</f>
        <v>29.4</v>
      </c>
      <c r="Z90" s="38">
        <f>VLOOKUP(C90,台股行情!A:E,5,FALSE)</f>
        <v>-0.69</v>
      </c>
      <c r="AA90" s="90">
        <f t="shared" ca="1" si="204"/>
        <v>169.92662358996824</v>
      </c>
      <c r="AB90" s="103" t="s">
        <v>4280</v>
      </c>
      <c r="AC90" s="103" t="s">
        <v>5170</v>
      </c>
      <c r="AD90" s="209"/>
    </row>
    <row r="91" spans="1:30">
      <c r="A91" s="99">
        <v>46219</v>
      </c>
      <c r="B91" s="11" t="s">
        <v>19</v>
      </c>
      <c r="C91" s="181">
        <v>895</v>
      </c>
      <c r="D91" s="189" t="str">
        <f>VLOOKUP(C91,台股行情!A:B,2,FALSE)</f>
        <v>富邦未來車</v>
      </c>
      <c r="E91" s="11">
        <v>97</v>
      </c>
      <c r="F91" s="11">
        <v>51.17</v>
      </c>
      <c r="G91" s="11">
        <v>4963</v>
      </c>
      <c r="H91" s="11">
        <v>1</v>
      </c>
      <c r="I91" s="104"/>
      <c r="J91" s="16"/>
      <c r="K91" s="11">
        <f t="shared" ref="K91:K92" si="205">E91*J91</f>
        <v>0</v>
      </c>
      <c r="L91" s="11">
        <f t="shared" ref="L91:L92" si="206">ROUND(J91*E91*0.1425%,0)</f>
        <v>0</v>
      </c>
      <c r="M91" s="11">
        <f t="shared" ref="M91:M92" si="207">ROUND(J91*E91*0.3%,0)</f>
        <v>0</v>
      </c>
      <c r="N91" s="11">
        <v>0</v>
      </c>
      <c r="O91" s="13">
        <f t="shared" ref="O91:O92" si="208">IF(I91="",E91*Y91,0)</f>
        <v>4785.9800000000005</v>
      </c>
      <c r="P91" s="14">
        <f t="shared" si="129"/>
        <v>-1</v>
      </c>
      <c r="Q91" s="14">
        <f t="shared" ref="Q91:Q92" si="209">IF(I91="",(O91-G91-(O91*0.1425%*0.65)-(O91*0.3%)-S91-T91),0)</f>
        <v>-195.81095397499953</v>
      </c>
      <c r="R91" s="14"/>
      <c r="S91" s="14">
        <v>0</v>
      </c>
      <c r="T91" s="14">
        <f t="shared" ref="T91:T92" si="210">IF(ROUND(R91*(1+V91),0)&gt;20000,ROUND(ROUND(R91*(1+V91),0)*2%,0),0)</f>
        <v>0</v>
      </c>
      <c r="U91" s="69"/>
      <c r="V91" s="69"/>
      <c r="W91" s="70"/>
      <c r="X91" s="15">
        <f t="shared" ref="X91:X92" si="211">(P91+Q91)/G91</f>
        <v>-3.965564254986894E-2</v>
      </c>
      <c r="Y91" s="16">
        <f>VLOOKUP(C91,台股行情!A:D,4,FALSE)</f>
        <v>49.34</v>
      </c>
      <c r="Z91" s="38">
        <f>VLOOKUP(C91,台股行情!A:E,5,FALSE)</f>
        <v>-0.96</v>
      </c>
      <c r="AA91" s="90">
        <f t="shared" ref="AA91:AA92" ca="1" si="212">IF(I91="",((TODAY()-A91)*G91)/365.24,((I91-A91)*G91)/365.24)</f>
        <v>625.06297229219138</v>
      </c>
      <c r="AB91" s="103" t="s">
        <v>4280</v>
      </c>
      <c r="AC91" s="103" t="s">
        <v>5170</v>
      </c>
      <c r="AD91" s="209"/>
    </row>
    <row r="92" spans="1:30">
      <c r="A92" s="99">
        <v>46232</v>
      </c>
      <c r="B92" s="11" t="s">
        <v>19</v>
      </c>
      <c r="C92" s="181">
        <v>2330</v>
      </c>
      <c r="D92" s="189" t="str">
        <f>VLOOKUP(C92,台股行情!A:B,2,FALSE)</f>
        <v>台積電</v>
      </c>
      <c r="E92" s="11">
        <v>10</v>
      </c>
      <c r="F92" s="11">
        <v>2190</v>
      </c>
      <c r="G92" s="11">
        <f t="shared" ref="G92" si="213">E92*F92</f>
        <v>21900</v>
      </c>
      <c r="H92" s="11">
        <v>31</v>
      </c>
      <c r="I92" s="104"/>
      <c r="J92" s="16"/>
      <c r="K92" s="11">
        <f t="shared" si="205"/>
        <v>0</v>
      </c>
      <c r="L92" s="11">
        <f t="shared" si="206"/>
        <v>0</v>
      </c>
      <c r="M92" s="11">
        <f t="shared" si="207"/>
        <v>0</v>
      </c>
      <c r="N92" s="11">
        <v>0</v>
      </c>
      <c r="O92" s="13">
        <f t="shared" si="208"/>
        <v>24050</v>
      </c>
      <c r="P92" s="14">
        <f t="shared" si="129"/>
        <v>-31</v>
      </c>
      <c r="Q92" s="14">
        <f t="shared" si="209"/>
        <v>2055.5736874999998</v>
      </c>
      <c r="R92" s="14"/>
      <c r="S92" s="14">
        <v>0</v>
      </c>
      <c r="T92" s="14">
        <f t="shared" si="210"/>
        <v>0</v>
      </c>
      <c r="U92" s="69"/>
      <c r="V92" s="69"/>
      <c r="W92" s="70"/>
      <c r="X92" s="15">
        <f t="shared" si="211"/>
        <v>9.2446287100456617E-2</v>
      </c>
      <c r="Y92" s="16">
        <f>VLOOKUP(C92,台股行情!A:D,4,FALSE)</f>
        <v>2405</v>
      </c>
      <c r="Z92" s="38">
        <f>VLOOKUP(C92,台股行情!A:E,5,FALSE)</f>
        <v>-15</v>
      </c>
      <c r="AA92" s="90">
        <f t="shared" ca="1" si="212"/>
        <v>1978.6989376848098</v>
      </c>
      <c r="AB92" s="103" t="s">
        <v>4280</v>
      </c>
      <c r="AC92" s="103" t="s">
        <v>3031</v>
      </c>
      <c r="AD92" s="209"/>
    </row>
    <row r="93" spans="1:30">
      <c r="A93" s="99"/>
      <c r="B93" s="11"/>
      <c r="C93" s="181"/>
      <c r="D93" s="189"/>
      <c r="E93" s="11"/>
      <c r="F93" s="11"/>
      <c r="G93" s="11"/>
      <c r="H93" s="11"/>
      <c r="I93" s="104"/>
      <c r="J93" s="16"/>
      <c r="K93" s="11"/>
      <c r="L93" s="11"/>
      <c r="M93" s="11"/>
      <c r="N93" s="11"/>
      <c r="O93" s="13"/>
      <c r="P93" s="14"/>
      <c r="Q93" s="14"/>
      <c r="R93" s="14"/>
      <c r="S93" s="14"/>
      <c r="T93" s="14"/>
      <c r="U93" s="69"/>
      <c r="V93" s="69"/>
      <c r="W93" s="70"/>
      <c r="X93" s="15"/>
      <c r="Y93" s="16"/>
      <c r="Z93" s="38"/>
      <c r="AA93" s="90"/>
      <c r="AB93" s="103"/>
      <c r="AC93" s="103"/>
      <c r="AD93" s="209"/>
    </row>
    <row r="94" spans="1:30" ht="17.25" thickBot="1">
      <c r="A94" s="48"/>
      <c r="B94" s="49"/>
      <c r="C94" s="49"/>
      <c r="D94" s="193"/>
      <c r="E94" s="49"/>
      <c r="F94" s="49"/>
      <c r="G94" s="49"/>
      <c r="H94" s="49"/>
      <c r="I94" s="50"/>
      <c r="J94" s="51"/>
      <c r="K94" s="49"/>
      <c r="L94" s="52"/>
      <c r="M94" s="49"/>
      <c r="N94" s="49"/>
      <c r="O94" s="53"/>
      <c r="P94" s="54"/>
      <c r="Q94" s="54"/>
      <c r="R94" s="54"/>
      <c r="S94" s="54"/>
      <c r="T94" s="60"/>
      <c r="U94" s="54"/>
      <c r="V94" s="54"/>
      <c r="W94" s="78"/>
      <c r="X94" s="55"/>
      <c r="Y94" s="51"/>
      <c r="Z94" s="56"/>
      <c r="AA94" s="90"/>
    </row>
    <row r="95" spans="1:30" ht="17.25" thickBot="1">
      <c r="A95" s="414"/>
      <c r="B95" s="415"/>
      <c r="C95" s="415"/>
      <c r="D95" s="238" t="s">
        <v>21</v>
      </c>
      <c r="E95" s="414"/>
      <c r="F95" s="420"/>
      <c r="G95" s="62">
        <f>SUM(G70:G94)</f>
        <v>1076188</v>
      </c>
      <c r="H95" s="62">
        <f>SUM(H70:H94)</f>
        <v>1478</v>
      </c>
      <c r="I95" s="423"/>
      <c r="J95" s="423"/>
      <c r="K95" s="426"/>
      <c r="L95" s="427"/>
      <c r="M95" s="427"/>
      <c r="N95" s="428"/>
      <c r="O95" s="62">
        <f>SUM(O70:O94)</f>
        <v>1226228.5799999998</v>
      </c>
      <c r="P95" s="62">
        <f>SUM(P70:P94)</f>
        <v>17187</v>
      </c>
      <c r="Q95" s="62">
        <f>SUM(Q70:Q94)</f>
        <v>145096.10003777506</v>
      </c>
      <c r="R95" s="62">
        <f>SUM(R70:R94)</f>
        <v>18665</v>
      </c>
      <c r="S95" s="71"/>
      <c r="T95" s="71"/>
      <c r="U95" s="71"/>
      <c r="V95" s="71"/>
      <c r="W95" s="71"/>
      <c r="X95" s="67">
        <f t="shared" ref="X95:X101" si="214">(P95+Q95)/G95</f>
        <v>0.15079437796906772</v>
      </c>
      <c r="Y95" s="409" t="s">
        <v>23</v>
      </c>
      <c r="Z95" s="84">
        <f t="shared" ref="Z95:Z101" ca="1" si="215">IF(AA95=0,0,(P95+Q95)/(AA95))</f>
        <v>0.34002129825841876</v>
      </c>
      <c r="AA95" s="90">
        <f ca="1">SUM(AA70:AA94)</f>
        <v>477273.33807907137</v>
      </c>
    </row>
    <row r="96" spans="1:30" s="36" customFormat="1" ht="17.25" outlineLevel="1" thickBot="1">
      <c r="A96" s="443"/>
      <c r="B96" s="417"/>
      <c r="C96" s="417"/>
      <c r="D96" s="342">
        <v>2021</v>
      </c>
      <c r="E96" s="443"/>
      <c r="F96" s="421"/>
      <c r="G96" s="63">
        <f>SUM(G24,G3)</f>
        <v>95140</v>
      </c>
      <c r="H96" s="63">
        <f>SUM(H24,H3)</f>
        <v>135</v>
      </c>
      <c r="I96" s="444"/>
      <c r="J96" s="444"/>
      <c r="K96" s="63">
        <f t="shared" ref="K96:R96" si="216">SUM(K24,K3)</f>
        <v>145650</v>
      </c>
      <c r="L96" s="63">
        <f t="shared" si="216"/>
        <v>207</v>
      </c>
      <c r="M96" s="63">
        <f t="shared" si="216"/>
        <v>308</v>
      </c>
      <c r="N96" s="63">
        <f t="shared" si="216"/>
        <v>0</v>
      </c>
      <c r="O96" s="63">
        <f t="shared" si="216"/>
        <v>0</v>
      </c>
      <c r="P96" s="63">
        <f t="shared" si="216"/>
        <v>59111</v>
      </c>
      <c r="Q96" s="63">
        <f t="shared" si="216"/>
        <v>0</v>
      </c>
      <c r="R96" s="63">
        <f t="shared" si="216"/>
        <v>9311</v>
      </c>
      <c r="S96" s="72"/>
      <c r="T96" s="72"/>
      <c r="U96" s="72"/>
      <c r="V96" s="72"/>
      <c r="W96" s="72"/>
      <c r="X96" s="67">
        <f t="shared" ref="X96" si="217">(P96+Q96)/G96</f>
        <v>0.62130544460794623</v>
      </c>
      <c r="Y96" s="409"/>
      <c r="Z96" s="84">
        <f t="shared" ref="Z96" ca="1" si="218">IF(AA96=0,0,(P96+Q96)/(AA96))</f>
        <v>0.12485626953689308</v>
      </c>
      <c r="AA96" s="90">
        <f ca="1">SUM(AA1,AA3:AA5,AA24:AA25)</f>
        <v>473432.37323403789</v>
      </c>
      <c r="AB96" s="87"/>
      <c r="AC96" s="88"/>
    </row>
    <row r="97" spans="1:29" s="36" customFormat="1" ht="17.25" outlineLevel="1" thickBot="1">
      <c r="A97" s="443"/>
      <c r="B97" s="417"/>
      <c r="C97" s="417"/>
      <c r="D97" s="342">
        <v>2023</v>
      </c>
      <c r="E97" s="443"/>
      <c r="F97" s="421"/>
      <c r="G97" s="63">
        <f>SUM(G2,G4:G6,G25:G71)</f>
        <v>630359</v>
      </c>
      <c r="H97" s="63">
        <f>SUM(H2,H4:H6,H25:H71)</f>
        <v>708</v>
      </c>
      <c r="I97" s="444"/>
      <c r="J97" s="444"/>
      <c r="K97" s="63">
        <f t="shared" ref="K97:R97" si="219">SUM(K2,K4:K6,K25:K71)</f>
        <v>763412.64000000013</v>
      </c>
      <c r="L97" s="63">
        <f t="shared" si="219"/>
        <v>1086</v>
      </c>
      <c r="M97" s="63">
        <f t="shared" si="219"/>
        <v>1276</v>
      </c>
      <c r="N97" s="63">
        <f t="shared" si="219"/>
        <v>0</v>
      </c>
      <c r="O97" s="63">
        <f t="shared" si="219"/>
        <v>91100</v>
      </c>
      <c r="P97" s="63">
        <f t="shared" si="219"/>
        <v>192452.94</v>
      </c>
      <c r="Q97" s="63">
        <f t="shared" si="219"/>
        <v>58672.318625</v>
      </c>
      <c r="R97" s="63">
        <f t="shared" si="219"/>
        <v>30839.3</v>
      </c>
      <c r="S97" s="72"/>
      <c r="T97" s="72"/>
      <c r="U97" s="72"/>
      <c r="V97" s="72"/>
      <c r="W97" s="72"/>
      <c r="X97" s="67">
        <f t="shared" si="214"/>
        <v>0.39838450569437417</v>
      </c>
      <c r="Y97" s="409"/>
      <c r="Z97" s="84">
        <f t="shared" ca="1" si="215"/>
        <v>0.42473485492719804</v>
      </c>
      <c r="AA97" s="90">
        <f ca="1">SUM(AA2,AA4:AA6,AA25:AA71)</f>
        <v>591251.82619647332</v>
      </c>
      <c r="AB97" s="87"/>
      <c r="AC97" s="88"/>
    </row>
    <row r="98" spans="1:29" s="36" customFormat="1" ht="17.25" outlineLevel="1" thickBot="1">
      <c r="A98" s="443"/>
      <c r="B98" s="417"/>
      <c r="C98" s="417"/>
      <c r="D98" s="342">
        <v>2024</v>
      </c>
      <c r="E98" s="443"/>
      <c r="F98" s="421"/>
      <c r="G98" s="63">
        <f>SUM(G7:G8,G48:G72)</f>
        <v>254261</v>
      </c>
      <c r="H98" s="63">
        <f>SUM(H7:H8,H48:H72)</f>
        <v>238</v>
      </c>
      <c r="I98" s="444"/>
      <c r="J98" s="444"/>
      <c r="K98" s="63">
        <f t="shared" ref="K98:R98" si="220">SUM(K7:K8,K48:K72)</f>
        <v>210898.4</v>
      </c>
      <c r="L98" s="63">
        <f t="shared" si="220"/>
        <v>273</v>
      </c>
      <c r="M98" s="63">
        <f t="shared" si="220"/>
        <v>239</v>
      </c>
      <c r="N98" s="63">
        <f t="shared" si="220"/>
        <v>0</v>
      </c>
      <c r="O98" s="63">
        <f t="shared" si="220"/>
        <v>182200</v>
      </c>
      <c r="P98" s="63">
        <f t="shared" si="220"/>
        <v>42552.400000000009</v>
      </c>
      <c r="Q98" s="63">
        <f t="shared" si="220"/>
        <v>104844.63725</v>
      </c>
      <c r="R98" s="63">
        <f t="shared" si="220"/>
        <v>10175</v>
      </c>
      <c r="S98" s="72"/>
      <c r="T98" s="72"/>
      <c r="U98" s="72"/>
      <c r="V98" s="72"/>
      <c r="W98" s="72"/>
      <c r="X98" s="67">
        <f t="shared" si="214"/>
        <v>0.57970761245334512</v>
      </c>
      <c r="Y98" s="409"/>
      <c r="Z98" s="84">
        <f t="shared" ca="1" si="215"/>
        <v>0.5800575574842145</v>
      </c>
      <c r="AA98" s="90">
        <f ca="1">SUM(AA7:AA8,AA48:AA72)</f>
        <v>254107.60595772639</v>
      </c>
      <c r="AB98" s="87"/>
      <c r="AC98" s="88"/>
    </row>
    <row r="99" spans="1:29" s="36" customFormat="1" ht="17.25" outlineLevel="1" thickBot="1">
      <c r="A99" s="443"/>
      <c r="B99" s="417"/>
      <c r="C99" s="417"/>
      <c r="D99" s="342">
        <v>2025</v>
      </c>
      <c r="E99" s="443"/>
      <c r="F99" s="421"/>
      <c r="G99" s="63">
        <f>SUM(G50:G62,G9:G23)</f>
        <v>348819</v>
      </c>
      <c r="H99" s="63">
        <f>SUM(H50:H62,H9:H23)</f>
        <v>300</v>
      </c>
      <c r="I99" s="444"/>
      <c r="J99" s="444"/>
      <c r="K99" s="63">
        <f t="shared" ref="K99:R99" si="221">SUM(K50:K62,K9:K23)</f>
        <v>436645.5</v>
      </c>
      <c r="L99" s="63">
        <f t="shared" si="221"/>
        <v>659</v>
      </c>
      <c r="M99" s="63">
        <f t="shared" si="221"/>
        <v>824</v>
      </c>
      <c r="N99" s="63">
        <f t="shared" si="221"/>
        <v>0</v>
      </c>
      <c r="O99" s="63">
        <f t="shared" si="221"/>
        <v>0</v>
      </c>
      <c r="P99" s="63">
        <f t="shared" si="221"/>
        <v>89303.5</v>
      </c>
      <c r="Q99" s="63">
        <f t="shared" si="221"/>
        <v>0</v>
      </c>
      <c r="R99" s="63">
        <f t="shared" si="221"/>
        <v>3420</v>
      </c>
      <c r="S99" s="72"/>
      <c r="T99" s="72"/>
      <c r="U99" s="72"/>
      <c r="V99" s="72"/>
      <c r="W99" s="72"/>
      <c r="X99" s="67">
        <f t="shared" si="214"/>
        <v>0.2560167307400113</v>
      </c>
      <c r="Y99" s="409"/>
      <c r="Z99" s="84">
        <f t="shared" ca="1" si="215"/>
        <v>0.15855793207761695</v>
      </c>
      <c r="AA99" s="90">
        <f ca="1">SUM(AA9:AA61)</f>
        <v>563223.16285182338</v>
      </c>
      <c r="AB99" s="87"/>
      <c r="AC99" s="88"/>
    </row>
    <row r="100" spans="1:29" s="36" customFormat="1" ht="17.25" outlineLevel="1" thickBot="1">
      <c r="A100" s="416"/>
      <c r="B100" s="417"/>
      <c r="C100" s="417"/>
      <c r="D100" s="342">
        <v>2026</v>
      </c>
      <c r="E100" s="416"/>
      <c r="F100" s="421"/>
      <c r="G100" s="63">
        <f>SUM(G62:G94)</f>
        <v>1129354</v>
      </c>
      <c r="H100" s="63">
        <f>SUM(H62:H94)</f>
        <v>1517</v>
      </c>
      <c r="I100" s="424"/>
      <c r="J100" s="424"/>
      <c r="K100" s="63">
        <f t="shared" ref="K100:R100" si="222">SUM(K62:K94)</f>
        <v>58004.2</v>
      </c>
      <c r="L100" s="63">
        <f t="shared" si="222"/>
        <v>34</v>
      </c>
      <c r="M100" s="63">
        <f t="shared" si="222"/>
        <v>71</v>
      </c>
      <c r="N100" s="63">
        <f t="shared" si="222"/>
        <v>0</v>
      </c>
      <c r="O100" s="63">
        <f t="shared" si="222"/>
        <v>1226228.5799999998</v>
      </c>
      <c r="P100" s="63">
        <f t="shared" si="222"/>
        <v>21881.200000000001</v>
      </c>
      <c r="Q100" s="63">
        <f t="shared" si="222"/>
        <v>145096.10003777506</v>
      </c>
      <c r="R100" s="63">
        <f t="shared" si="222"/>
        <v>18665</v>
      </c>
      <c r="S100" s="72"/>
      <c r="T100" s="72"/>
      <c r="U100" s="72"/>
      <c r="V100" s="72"/>
      <c r="W100" s="72"/>
      <c r="X100" s="67">
        <f t="shared" si="214"/>
        <v>0.14785204642457112</v>
      </c>
      <c r="Y100" s="410"/>
      <c r="Z100" s="84">
        <f t="shared" ca="1" si="215"/>
        <v>0.16462695368932512</v>
      </c>
      <c r="AA100" s="90">
        <f ca="1">SUM(AA22:AA94)</f>
        <v>1014276.8015551415</v>
      </c>
      <c r="AB100" s="87"/>
      <c r="AC100" s="88"/>
    </row>
    <row r="101" spans="1:29" s="36" customFormat="1" ht="17.25" thickBot="1">
      <c r="A101" s="418"/>
      <c r="B101" s="419"/>
      <c r="C101" s="419"/>
      <c r="D101" s="238" t="s">
        <v>20</v>
      </c>
      <c r="E101" s="418"/>
      <c r="F101" s="422"/>
      <c r="G101" s="63">
        <f>SUM(G2:G94)</f>
        <v>2108480</v>
      </c>
      <c r="H101" s="63">
        <f>SUM(H2:H94)</f>
        <v>2640</v>
      </c>
      <c r="I101" s="425"/>
      <c r="J101" s="425"/>
      <c r="K101" s="63">
        <f t="shared" ref="K101:R101" si="223">SUM(K2:K94)</f>
        <v>1308683.7399999998</v>
      </c>
      <c r="L101" s="63">
        <f t="shared" si="223"/>
        <v>1834</v>
      </c>
      <c r="M101" s="63">
        <f t="shared" si="223"/>
        <v>2326</v>
      </c>
      <c r="N101" s="63">
        <f t="shared" si="223"/>
        <v>0</v>
      </c>
      <c r="O101" s="63">
        <f t="shared" si="223"/>
        <v>1226228.5799999998</v>
      </c>
      <c r="P101" s="63">
        <f t="shared" si="223"/>
        <v>329230.0400000001</v>
      </c>
      <c r="Q101" s="63">
        <f t="shared" si="223"/>
        <v>145096.10003777506</v>
      </c>
      <c r="R101" s="63">
        <f t="shared" si="223"/>
        <v>60348.3</v>
      </c>
      <c r="S101" s="72"/>
      <c r="T101" s="72"/>
      <c r="U101" s="72"/>
      <c r="V101" s="72"/>
      <c r="W101" s="72"/>
      <c r="X101" s="67">
        <f t="shared" si="214"/>
        <v>0.22496117584125777</v>
      </c>
      <c r="Y101" s="410"/>
      <c r="Z101" s="84">
        <f t="shared" ca="1" si="215"/>
        <v>0.35657973519211372</v>
      </c>
      <c r="AA101" s="90">
        <f ca="1">SUM(AA2:AA94)</f>
        <v>1330210.5902967914</v>
      </c>
      <c r="AB101" s="87"/>
      <c r="AC101" s="87"/>
    </row>
    <row r="102" spans="1:29">
      <c r="B102" s="37"/>
      <c r="C102" s="37"/>
      <c r="D102" s="28"/>
    </row>
    <row r="103" spans="1:29">
      <c r="A103" s="18">
        <f>MIN(A117:A117)</f>
        <v>0</v>
      </c>
      <c r="B103" s="19"/>
      <c r="C103" s="20"/>
      <c r="D103" s="19"/>
      <c r="E103" s="19"/>
      <c r="F103" s="19"/>
      <c r="G103" s="19"/>
      <c r="H103" s="19"/>
      <c r="I103" s="21"/>
      <c r="J103" s="22"/>
      <c r="K103" s="19"/>
      <c r="L103" s="23"/>
      <c r="M103" s="19"/>
      <c r="N103" s="19"/>
      <c r="O103" s="24"/>
      <c r="P103" s="25"/>
      <c r="Q103" s="25"/>
      <c r="R103" s="25"/>
      <c r="S103" s="25"/>
      <c r="T103" s="25"/>
      <c r="U103" s="25"/>
      <c r="V103" s="74"/>
      <c r="W103" s="77"/>
      <c r="X103" s="26"/>
      <c r="Y103" s="22"/>
      <c r="Z103" s="27"/>
      <c r="AA103" s="28"/>
      <c r="AB103" s="9"/>
      <c r="AC103" s="9"/>
    </row>
    <row r="104" spans="1:29" collapsed="1">
      <c r="A104" s="224">
        <v>45743</v>
      </c>
      <c r="B104" s="11" t="s">
        <v>19</v>
      </c>
      <c r="C104" s="300" t="s">
        <v>4464</v>
      </c>
      <c r="D104" s="189" t="str">
        <f>VLOOKUP(C104,美股行情!A:C,2,FALSE)</f>
        <v>特斯拉</v>
      </c>
      <c r="E104" s="11">
        <v>5</v>
      </c>
      <c r="F104" s="11">
        <v>272</v>
      </c>
      <c r="G104" s="11">
        <f>E104*F104</f>
        <v>1360</v>
      </c>
      <c r="H104" s="11">
        <f>G104*0.25%</f>
        <v>3.4</v>
      </c>
      <c r="I104" s="104">
        <v>45898</v>
      </c>
      <c r="J104" s="16">
        <v>339.38</v>
      </c>
      <c r="K104" s="11">
        <f>E104*J104</f>
        <v>1696.9</v>
      </c>
      <c r="L104" s="17"/>
      <c r="M104" s="11"/>
      <c r="N104" s="11">
        <v>0</v>
      </c>
      <c r="O104" s="13">
        <f>IF(I104="",E104*Y104,0)</f>
        <v>0</v>
      </c>
      <c r="P104" s="14">
        <f t="shared" ref="P104:P116" si="224">IF(I104="",R104-H104,(K104-H104-SUM(L104:N104)+R104-S104-T104)-G104)+(ROUND(R104*V104,0)-ROUND(R104*(1+V104),0)*W104)</f>
        <v>333.5</v>
      </c>
      <c r="Q104" s="14">
        <f t="shared" ref="Q104:Q113" si="225">IF(I104="",(O104-G104-(O104*0.1425%*0.65)-(O104*0.3%)-S104-T104),0)</f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0.24522058823529411</v>
      </c>
      <c r="Y104" s="16">
        <f>VLOOKUP(C104,美股行情!A:C,3,FALSE)</f>
        <v>322.10000000000002</v>
      </c>
      <c r="Z104" s="38">
        <f>VLOOKUP(C104,美股行情!A:G,7,FALSE)</f>
        <v>10.89</v>
      </c>
      <c r="AA104" s="90">
        <f t="shared" ref="AA104:AA113" ca="1" si="226">IF(I104="",((TODAY()-A104)*G104)/365.24,((I104-A104)*G104)/365.24)</f>
        <v>577.15474756324602</v>
      </c>
      <c r="AB104" s="276" t="s">
        <v>4278</v>
      </c>
      <c r="AC104" s="9"/>
    </row>
    <row r="105" spans="1:29" hidden="1" outlineLevel="1">
      <c r="A105" s="224">
        <v>45931</v>
      </c>
      <c r="B105" s="11" t="s">
        <v>19</v>
      </c>
      <c r="C105" s="316" t="s">
        <v>4605</v>
      </c>
      <c r="D105" s="189" t="str">
        <f>VLOOKUP(C105,美股行情!A:C,2,FALSE)</f>
        <v>禮來製藥</v>
      </c>
      <c r="E105" s="11">
        <v>1</v>
      </c>
      <c r="F105" s="11">
        <v>815.85</v>
      </c>
      <c r="G105" s="11">
        <f>E105*F105</f>
        <v>815.85</v>
      </c>
      <c r="H105" s="11">
        <v>2.04</v>
      </c>
      <c r="I105" s="104">
        <v>46087</v>
      </c>
      <c r="J105" s="16">
        <v>971</v>
      </c>
      <c r="K105" s="11">
        <f>E105*J105</f>
        <v>971</v>
      </c>
      <c r="L105" s="17">
        <v>2.4300000000000002</v>
      </c>
      <c r="M105" s="11"/>
      <c r="N105" s="11">
        <v>0</v>
      </c>
      <c r="O105" s="13">
        <f>IF(I105="",E105*Y105,0)</f>
        <v>0</v>
      </c>
      <c r="P105" s="14">
        <f t="shared" si="224"/>
        <v>150.68000000000006</v>
      </c>
      <c r="Q105" s="14">
        <f t="shared" si="225"/>
        <v>0</v>
      </c>
      <c r="R105" s="289"/>
      <c r="S105" s="14">
        <v>0</v>
      </c>
      <c r="T105" s="14">
        <f>IF(ROUND(R105*(1+V105),0)&gt;20000,ROUND(ROUND(R105*(1+V105),0)*2%,0),0)</f>
        <v>0</v>
      </c>
      <c r="U105" s="69"/>
      <c r="V105" s="69"/>
      <c r="W105" s="70"/>
      <c r="X105" s="15">
        <f>(P105+Q105)/G105</f>
        <v>0.1846908132622419</v>
      </c>
      <c r="Y105" s="16">
        <f>VLOOKUP(C105,美股行情!A:C,3,FALSE)</f>
        <v>1121.3599999999999</v>
      </c>
      <c r="Z105" s="38">
        <f>VLOOKUP(C105,美股行情!A:G,7,FALSE)</f>
        <v>-27.48</v>
      </c>
      <c r="AA105" s="90">
        <f t="shared" ca="1" si="226"/>
        <v>348.46292848537951</v>
      </c>
      <c r="AB105" s="276" t="s">
        <v>4278</v>
      </c>
      <c r="AC105" s="9"/>
    </row>
    <row r="106" spans="1:29" hidden="1" outlineLevel="1">
      <c r="A106" s="224">
        <v>46048</v>
      </c>
      <c r="B106" s="11" t="s">
        <v>19</v>
      </c>
      <c r="C106" s="340" t="s">
        <v>4839</v>
      </c>
      <c r="D106" s="189" t="str">
        <f>VLOOKUP(C106,美股行情!A:C,2,FALSE)</f>
        <v>Samsara Inc</v>
      </c>
      <c r="E106" s="11">
        <v>10</v>
      </c>
      <c r="F106" s="11">
        <v>32.1</v>
      </c>
      <c r="G106" s="11">
        <f t="shared" ref="G106:G108" si="227">E106*F106</f>
        <v>321</v>
      </c>
      <c r="H106" s="11">
        <v>2.04</v>
      </c>
      <c r="I106" s="104">
        <v>46087</v>
      </c>
      <c r="J106" s="16">
        <v>33.954999999999998</v>
      </c>
      <c r="K106" s="11">
        <f t="shared" ref="K106:K107" si="228">E106*J106</f>
        <v>339.54999999999995</v>
      </c>
      <c r="L106" s="17">
        <v>0.85</v>
      </c>
      <c r="M106" s="11"/>
      <c r="N106" s="11">
        <v>0</v>
      </c>
      <c r="O106" s="13">
        <f t="shared" ref="O106:O108" si="229">IF(I106="",E106*Y106,0)</f>
        <v>0</v>
      </c>
      <c r="P106" s="14">
        <f t="shared" si="224"/>
        <v>15.659999999999911</v>
      </c>
      <c r="Q106" s="14">
        <f t="shared" si="225"/>
        <v>0</v>
      </c>
      <c r="R106" s="289"/>
      <c r="S106" s="14">
        <v>0</v>
      </c>
      <c r="T106" s="14">
        <f t="shared" ref="T106:T108" si="230">IF(ROUND(R106*(1+V106),0)&gt;20000,ROUND(ROUND(R106*(1+V106),0)*2%,0),0)</f>
        <v>0</v>
      </c>
      <c r="U106" s="69"/>
      <c r="V106" s="69"/>
      <c r="W106" s="70"/>
      <c r="X106" s="15">
        <f t="shared" ref="X106:X108" si="231">(P106+Q106)/G106</f>
        <v>4.8785046728971687E-2</v>
      </c>
      <c r="Y106" s="16">
        <f>VLOOKUP(C106,美股行情!A:C,3,FALSE)</f>
        <v>37.130000000000003</v>
      </c>
      <c r="Z106" s="38">
        <f>VLOOKUP(C106,美股行情!A:G,7,FALSE)</f>
        <v>-0.14000000000000001</v>
      </c>
      <c r="AA106" s="90">
        <f t="shared" ca="1" si="226"/>
        <v>34.276092432373233</v>
      </c>
      <c r="AB106" s="276" t="s">
        <v>4278</v>
      </c>
      <c r="AC106" s="9"/>
    </row>
    <row r="107" spans="1:29">
      <c r="A107" s="224">
        <v>45436</v>
      </c>
      <c r="B107" s="11" t="s">
        <v>19</v>
      </c>
      <c r="C107" s="225" t="s">
        <v>3831</v>
      </c>
      <c r="D107" s="189" t="str">
        <f>VLOOKUP(C107,美股行情!A:C,2,FALSE)</f>
        <v>英偉達公司</v>
      </c>
      <c r="E107" s="11">
        <v>10</v>
      </c>
      <c r="F107" s="11">
        <v>103.8</v>
      </c>
      <c r="G107" s="11">
        <f t="shared" si="227"/>
        <v>1038</v>
      </c>
      <c r="H107" s="11">
        <f>G107*0.25%</f>
        <v>2.5950000000000002</v>
      </c>
      <c r="I107" s="104"/>
      <c r="J107" s="16"/>
      <c r="K107" s="11">
        <f t="shared" si="228"/>
        <v>0</v>
      </c>
      <c r="L107" s="17"/>
      <c r="M107" s="11"/>
      <c r="N107" s="11">
        <v>0</v>
      </c>
      <c r="O107" s="13">
        <f t="shared" si="229"/>
        <v>2067</v>
      </c>
      <c r="P107" s="14">
        <f t="shared" si="224"/>
        <v>-1.1950000000000003</v>
      </c>
      <c r="Q107" s="14">
        <f t="shared" si="225"/>
        <v>1020.88444125</v>
      </c>
      <c r="R107" s="289">
        <f>0.35+0.35+0.35+0.35</f>
        <v>1.4</v>
      </c>
      <c r="S107" s="14">
        <v>0</v>
      </c>
      <c r="T107" s="14">
        <f t="shared" si="230"/>
        <v>0</v>
      </c>
      <c r="U107" s="69"/>
      <c r="V107" s="69"/>
      <c r="W107" s="70"/>
      <c r="X107" s="15">
        <f t="shared" si="231"/>
        <v>0.98235976999036601</v>
      </c>
      <c r="Y107" s="16">
        <f>VLOOKUP(C107,美股行情!A:C,3,FALSE)</f>
        <v>206.7</v>
      </c>
      <c r="Z107" s="38">
        <f>VLOOKUP(C107,美股行情!A:G,7,FALSE)</f>
        <v>5.95</v>
      </c>
      <c r="AA107" s="90">
        <f t="shared" ca="1" si="226"/>
        <v>2355.9905815354286</v>
      </c>
      <c r="AB107" s="276" t="s">
        <v>4278</v>
      </c>
      <c r="AC107" s="9"/>
    </row>
    <row r="108" spans="1:29" outlineLevel="1">
      <c r="A108" s="224">
        <v>45441</v>
      </c>
      <c r="B108" s="11" t="s">
        <v>19</v>
      </c>
      <c r="C108" s="225" t="s">
        <v>3831</v>
      </c>
      <c r="D108" s="189" t="str">
        <f>VLOOKUP(C108,美股行情!A:C,2,FALSE)</f>
        <v>英偉達公司</v>
      </c>
      <c r="E108" s="11">
        <v>40</v>
      </c>
      <c r="F108" s="11">
        <v>114.3</v>
      </c>
      <c r="G108" s="11">
        <f t="shared" si="227"/>
        <v>4572</v>
      </c>
      <c r="H108" s="11">
        <f>G108*0.25%</f>
        <v>11.43</v>
      </c>
      <c r="I108" s="104"/>
      <c r="J108" s="16"/>
      <c r="K108" s="11">
        <f t="shared" ref="K108:K115" si="232">E108*J108</f>
        <v>0</v>
      </c>
      <c r="L108" s="17"/>
      <c r="M108" s="11"/>
      <c r="N108" s="11">
        <v>0</v>
      </c>
      <c r="O108" s="13">
        <f t="shared" si="229"/>
        <v>8268</v>
      </c>
      <c r="P108" s="14">
        <f t="shared" si="224"/>
        <v>-1.2799999999999994</v>
      </c>
      <c r="Q108" s="14">
        <f t="shared" si="225"/>
        <v>3663.537765</v>
      </c>
      <c r="R108" s="289">
        <f>0.35+0.35+0.35+0.35+8.75</f>
        <v>10.15</v>
      </c>
      <c r="S108" s="14">
        <v>0</v>
      </c>
      <c r="T108" s="14">
        <f t="shared" si="230"/>
        <v>0</v>
      </c>
      <c r="U108" s="69"/>
      <c r="V108" s="69"/>
      <c r="W108" s="70"/>
      <c r="X108" s="15">
        <f t="shared" si="231"/>
        <v>0.80101875874890638</v>
      </c>
      <c r="Y108" s="16">
        <f>VLOOKUP(C108,美股行情!A:C,3,FALSE)</f>
        <v>206.7</v>
      </c>
      <c r="Z108" s="38">
        <f>VLOOKUP(C108,美股行情!A:G,7,FALSE)</f>
        <v>5.95</v>
      </c>
      <c r="AA108" s="90">
        <f t="shared" ca="1" si="226"/>
        <v>10314.664330303362</v>
      </c>
      <c r="AB108" s="276" t="s">
        <v>4278</v>
      </c>
      <c r="AC108" s="9"/>
    </row>
    <row r="109" spans="1:29">
      <c r="A109" s="224">
        <v>46136</v>
      </c>
      <c r="B109" s="11" t="s">
        <v>19</v>
      </c>
      <c r="C109" s="357" t="s">
        <v>5050</v>
      </c>
      <c r="D109" s="189" t="str">
        <f>VLOOKUP(C109,美股行情!A:C,2,FALSE)</f>
        <v>ASML</v>
      </c>
      <c r="E109" s="11">
        <v>0.34716999999999998</v>
      </c>
      <c r="F109" s="11">
        <v>1440.23</v>
      </c>
      <c r="G109" s="11">
        <v>500</v>
      </c>
      <c r="H109" s="11">
        <v>0.5</v>
      </c>
      <c r="I109" s="104"/>
      <c r="J109" s="16"/>
      <c r="K109" s="11">
        <f t="shared" si="232"/>
        <v>0</v>
      </c>
      <c r="L109" s="17"/>
      <c r="M109" s="11"/>
      <c r="N109" s="11">
        <v>0</v>
      </c>
      <c r="O109" s="13">
        <f t="shared" ref="O109:O110" si="233">IF(I109="",E109*Y109,0)</f>
        <v>570.23366839999994</v>
      </c>
      <c r="P109" s="14">
        <f t="shared" si="224"/>
        <v>0.43000000000000005</v>
      </c>
      <c r="Q109" s="14">
        <f t="shared" si="225"/>
        <v>67.99478845944445</v>
      </c>
      <c r="R109" s="289">
        <v>0.93</v>
      </c>
      <c r="S109" s="14">
        <v>0</v>
      </c>
      <c r="T109" s="14">
        <f t="shared" ref="T109:T110" si="234">IF(ROUND(R109*(1+V109),0)&gt;20000,ROUND(ROUND(R109*(1+V109),0)*2%,0),0)</f>
        <v>0</v>
      </c>
      <c r="U109" s="69"/>
      <c r="V109" s="69"/>
      <c r="W109" s="70"/>
      <c r="X109" s="15">
        <f t="shared" ref="X109:X110" si="235">(P109+Q109)/G109</f>
        <v>0.13684957691888891</v>
      </c>
      <c r="Y109" s="16">
        <f>VLOOKUP(C109,美股行情!A:C,3,FALSE)</f>
        <v>1642.52</v>
      </c>
      <c r="Z109" s="38">
        <f>VLOOKUP(C109,美股行情!A:G,7,FALSE)</f>
        <v>13.52</v>
      </c>
      <c r="AA109" s="90">
        <f t="shared" ca="1" si="226"/>
        <v>176.59621071076552</v>
      </c>
      <c r="AB109" s="276" t="s">
        <v>4278</v>
      </c>
      <c r="AC109" s="9"/>
    </row>
    <row r="110" spans="1:29">
      <c r="A110" s="224">
        <v>46136</v>
      </c>
      <c r="B110" s="11" t="s">
        <v>19</v>
      </c>
      <c r="C110" s="357" t="s">
        <v>5051</v>
      </c>
      <c r="D110" s="189" t="str">
        <f>VLOOKUP(C110,美股行情!A:C,2,FALSE)</f>
        <v>微軟公司</v>
      </c>
      <c r="E110" s="11">
        <v>1.19068</v>
      </c>
      <c r="F110" s="11">
        <v>419.93</v>
      </c>
      <c r="G110" s="11">
        <v>500</v>
      </c>
      <c r="H110" s="11">
        <v>0.5</v>
      </c>
      <c r="I110" s="104"/>
      <c r="J110" s="16"/>
      <c r="K110" s="11">
        <f t="shared" si="232"/>
        <v>0</v>
      </c>
      <c r="L110" s="17"/>
      <c r="M110" s="11"/>
      <c r="N110" s="11">
        <v>0</v>
      </c>
      <c r="O110" s="13">
        <f t="shared" si="233"/>
        <v>580.64700879999998</v>
      </c>
      <c r="P110" s="14">
        <f t="shared" si="224"/>
        <v>0.26</v>
      </c>
      <c r="Q110" s="14">
        <f t="shared" si="225"/>
        <v>78.367243481698978</v>
      </c>
      <c r="R110" s="289">
        <v>0.76</v>
      </c>
      <c r="S110" s="14">
        <v>0</v>
      </c>
      <c r="T110" s="14">
        <f t="shared" si="234"/>
        <v>0</v>
      </c>
      <c r="U110" s="69"/>
      <c r="V110" s="69"/>
      <c r="W110" s="70"/>
      <c r="X110" s="15">
        <f t="shared" si="235"/>
        <v>0.15725448696339797</v>
      </c>
      <c r="Y110" s="16">
        <f>VLOOKUP(C110,美股行情!A:C,3,FALSE)</f>
        <v>487.66</v>
      </c>
      <c r="Z110" s="38">
        <f>VLOOKUP(C110,美股行情!A:G,7,FALSE)</f>
        <v>22.94</v>
      </c>
      <c r="AA110" s="90">
        <f t="shared" ca="1" si="226"/>
        <v>176.59621071076552</v>
      </c>
      <c r="AB110" s="276" t="s">
        <v>4278</v>
      </c>
      <c r="AC110" s="9"/>
    </row>
    <row r="111" spans="1:29">
      <c r="A111" s="224">
        <v>46136</v>
      </c>
      <c r="B111" s="11" t="s">
        <v>19</v>
      </c>
      <c r="C111" s="357" t="s">
        <v>5052</v>
      </c>
      <c r="D111" s="189" t="str">
        <f>VLOOKUP(C111,美股行情!A:C,2,FALSE)</f>
        <v>景順QQQ ETF</v>
      </c>
      <c r="E111" s="11">
        <v>3.5188700000000002</v>
      </c>
      <c r="F111" s="11">
        <v>653.62</v>
      </c>
      <c r="G111" s="11">
        <v>2300</v>
      </c>
      <c r="H111" s="11">
        <v>2.2999999999999998</v>
      </c>
      <c r="I111" s="104"/>
      <c r="J111" s="16"/>
      <c r="K111" s="11">
        <f t="shared" si="232"/>
        <v>0</v>
      </c>
      <c r="L111" s="17"/>
      <c r="M111" s="11"/>
      <c r="N111" s="11">
        <v>0</v>
      </c>
      <c r="O111" s="13">
        <f t="shared" ref="O111" si="236">IF(I111="",E111*Y111,0)</f>
        <v>2463.4553209000005</v>
      </c>
      <c r="P111" s="14">
        <f t="shared" si="224"/>
        <v>-2.2999999999999998</v>
      </c>
      <c r="Q111" s="14">
        <f t="shared" si="225"/>
        <v>153.78317944631689</v>
      </c>
      <c r="R111" s="289"/>
      <c r="S111" s="14">
        <v>0</v>
      </c>
      <c r="T111" s="14">
        <f t="shared" ref="T111" si="237">IF(ROUND(R111*(1+V111),0)&gt;20000,ROUND(ROUND(R111*(1+V111),0)*2%,0),0)</f>
        <v>0</v>
      </c>
      <c r="U111" s="69"/>
      <c r="V111" s="69"/>
      <c r="W111" s="70"/>
      <c r="X111" s="15">
        <f t="shared" ref="X111" si="238">(P111+Q111)/G111</f>
        <v>6.5862251933181251E-2</v>
      </c>
      <c r="Y111" s="16">
        <f>VLOOKUP(C111,美股行情!A:C,3,FALSE)</f>
        <v>700.07</v>
      </c>
      <c r="Z111" s="38">
        <f>VLOOKUP(C111,美股行情!A:G,7,FALSE)</f>
        <v>12.08</v>
      </c>
      <c r="AA111" s="90">
        <f t="shared" ca="1" si="226"/>
        <v>812.34256926952139</v>
      </c>
      <c r="AB111" s="276" t="s">
        <v>4278</v>
      </c>
      <c r="AC111" s="9"/>
    </row>
    <row r="112" spans="1:29">
      <c r="A112" s="224">
        <v>46136</v>
      </c>
      <c r="B112" s="11" t="s">
        <v>19</v>
      </c>
      <c r="C112" s="357" t="s">
        <v>4464</v>
      </c>
      <c r="D112" s="189" t="str">
        <f>VLOOKUP(C112,美股行情!A:C,2,FALSE)</f>
        <v>特斯拉</v>
      </c>
      <c r="E112" s="11">
        <v>1.12001</v>
      </c>
      <c r="F112" s="11">
        <v>375</v>
      </c>
      <c r="G112" s="11">
        <v>420</v>
      </c>
      <c r="H112" s="11">
        <v>0.42</v>
      </c>
      <c r="I112" s="104"/>
      <c r="J112" s="16"/>
      <c r="K112" s="11">
        <f t="shared" si="232"/>
        <v>0</v>
      </c>
      <c r="L112" s="17"/>
      <c r="M112" s="11"/>
      <c r="N112" s="11">
        <v>0</v>
      </c>
      <c r="O112" s="13">
        <f t="shared" ref="O112:O113" si="239">IF(I112="",E112*Y112,0)</f>
        <v>360.75522100000001</v>
      </c>
      <c r="P112" s="14">
        <f t="shared" si="224"/>
        <v>-0.42</v>
      </c>
      <c r="Q112" s="14">
        <f t="shared" si="225"/>
        <v>-60.661194186451247</v>
      </c>
      <c r="R112" s="289"/>
      <c r="S112" s="14">
        <v>0</v>
      </c>
      <c r="T112" s="14">
        <f t="shared" ref="T112:T115" si="240">IF(ROUND(R112*(1+V112),0)&gt;20000,ROUND(ROUND(R112*(1+V112),0)*2%,0),0)</f>
        <v>0</v>
      </c>
      <c r="U112" s="69"/>
      <c r="V112" s="69"/>
      <c r="W112" s="70"/>
      <c r="X112" s="15">
        <f t="shared" ref="X112:X115" si="241">(P112+Q112)/G112</f>
        <v>-0.14543141472964582</v>
      </c>
      <c r="Y112" s="16">
        <f>VLOOKUP(C112,美股行情!A:C,3,FALSE)</f>
        <v>322.10000000000002</v>
      </c>
      <c r="Z112" s="38">
        <f>VLOOKUP(C112,美股行情!A:G,7,FALSE)</f>
        <v>10.89</v>
      </c>
      <c r="AA112" s="90">
        <f t="shared" ca="1" si="226"/>
        <v>148.34081699704305</v>
      </c>
      <c r="AB112" s="276" t="s">
        <v>4278</v>
      </c>
      <c r="AC112" s="9"/>
    </row>
    <row r="113" spans="1:29">
      <c r="A113" s="224">
        <v>46136</v>
      </c>
      <c r="B113" s="11" t="s">
        <v>19</v>
      </c>
      <c r="C113" s="357" t="s">
        <v>4605</v>
      </c>
      <c r="D113" s="189" t="str">
        <f>VLOOKUP(C113,美股行情!A:C,2,FALSE)</f>
        <v>禮來製藥</v>
      </c>
      <c r="E113" s="11">
        <v>0.48520000000000002</v>
      </c>
      <c r="F113" s="11">
        <v>927.45</v>
      </c>
      <c r="G113" s="11">
        <v>450</v>
      </c>
      <c r="H113" s="11">
        <v>0.45</v>
      </c>
      <c r="I113" s="104"/>
      <c r="J113" s="16"/>
      <c r="K113" s="11">
        <f t="shared" si="232"/>
        <v>0</v>
      </c>
      <c r="L113" s="17"/>
      <c r="M113" s="11"/>
      <c r="N113" s="11">
        <v>0</v>
      </c>
      <c r="O113" s="13">
        <f t="shared" si="239"/>
        <v>544.08387199999993</v>
      </c>
      <c r="P113" s="14">
        <f t="shared" si="224"/>
        <v>2.3999999999999995</v>
      </c>
      <c r="Q113" s="14">
        <f t="shared" si="225"/>
        <v>91.94766269755992</v>
      </c>
      <c r="R113" s="289">
        <f>1.05+1.21+0.59</f>
        <v>2.8499999999999996</v>
      </c>
      <c r="S113" s="14">
        <v>0</v>
      </c>
      <c r="T113" s="14">
        <f t="shared" si="240"/>
        <v>0</v>
      </c>
      <c r="U113" s="69"/>
      <c r="V113" s="69"/>
      <c r="W113" s="70"/>
      <c r="X113" s="15">
        <f t="shared" si="241"/>
        <v>0.20966147266124427</v>
      </c>
      <c r="Y113" s="16">
        <f>VLOOKUP(C113,美股行情!A:C,3,FALSE)</f>
        <v>1121.3599999999999</v>
      </c>
      <c r="Z113" s="38">
        <f>VLOOKUP(C113,美股行情!A:G,7,FALSE)</f>
        <v>-27.48</v>
      </c>
      <c r="AA113" s="90">
        <f t="shared" ca="1" si="226"/>
        <v>158.93658963968898</v>
      </c>
      <c r="AB113" s="276" t="s">
        <v>4278</v>
      </c>
      <c r="AC113" s="9"/>
    </row>
    <row r="114" spans="1:29">
      <c r="A114" s="224">
        <v>46169</v>
      </c>
      <c r="B114" s="11" t="s">
        <v>19</v>
      </c>
      <c r="C114" s="357" t="s">
        <v>5052</v>
      </c>
      <c r="D114" s="189" t="str">
        <f>VLOOKUP(C114,美股行情!A:C,2,FALSE)</f>
        <v>景順QQQ ETF</v>
      </c>
      <c r="E114" s="11">
        <v>0.13774</v>
      </c>
      <c r="F114" s="11">
        <v>726</v>
      </c>
      <c r="G114" s="11">
        <v>100</v>
      </c>
      <c r="H114" s="11">
        <v>0.1</v>
      </c>
      <c r="I114" s="104"/>
      <c r="J114" s="16"/>
      <c r="K114" s="11">
        <f t="shared" si="232"/>
        <v>0</v>
      </c>
      <c r="L114" s="17"/>
      <c r="M114" s="11"/>
      <c r="N114" s="11">
        <v>0</v>
      </c>
      <c r="O114" s="13">
        <f>IF(I114="",E114*Y114,0)</f>
        <v>96.427641800000004</v>
      </c>
      <c r="P114" s="14">
        <f t="shared" si="224"/>
        <v>-0.1</v>
      </c>
      <c r="Q114" s="14">
        <f t="shared" ref="Q114:Q116" si="242">IF(I114="",(O114-G114-(O114*0.1425%*0.65)-(O114*0.3%)-S114-T114),0)</f>
        <v>-3.9509572286172467</v>
      </c>
      <c r="R114" s="289"/>
      <c r="S114" s="14">
        <v>0</v>
      </c>
      <c r="T114" s="14">
        <f t="shared" si="240"/>
        <v>0</v>
      </c>
      <c r="U114" s="69"/>
      <c r="V114" s="69"/>
      <c r="W114" s="70"/>
      <c r="X114" s="15">
        <f t="shared" si="241"/>
        <v>-4.0509572286172461E-2</v>
      </c>
      <c r="Y114" s="16">
        <f>VLOOKUP(C114,美股行情!A:C,3,FALSE)</f>
        <v>700.07</v>
      </c>
      <c r="Z114" s="38">
        <f>VLOOKUP(C114,美股行情!A:G,7,FALSE)</f>
        <v>12.08</v>
      </c>
      <c r="AA114" s="90">
        <f t="shared" ref="AA114:AA116" ca="1" si="243">IF(I114="",((TODAY()-A114)*G114)/365.24,((I114-A114)*G114)/365.24)</f>
        <v>26.284087175555797</v>
      </c>
      <c r="AB114" s="276" t="s">
        <v>4278</v>
      </c>
      <c r="AC114" s="9"/>
    </row>
    <row r="115" spans="1:29">
      <c r="A115" s="224">
        <v>46195</v>
      </c>
      <c r="B115" s="11" t="s">
        <v>19</v>
      </c>
      <c r="C115" s="357" t="s">
        <v>4464</v>
      </c>
      <c r="D115" s="189" t="str">
        <f>VLOOKUP(C115,美股行情!A:C,2,FALSE)</f>
        <v>特斯拉</v>
      </c>
      <c r="E115" s="11">
        <v>0.25090000000000001</v>
      </c>
      <c r="F115" s="11">
        <v>398.56</v>
      </c>
      <c r="G115" s="11">
        <v>100</v>
      </c>
      <c r="H115" s="11">
        <v>0.1</v>
      </c>
      <c r="I115" s="104"/>
      <c r="J115" s="16"/>
      <c r="K115" s="11">
        <f t="shared" si="232"/>
        <v>0</v>
      </c>
      <c r="L115" s="17"/>
      <c r="M115" s="11"/>
      <c r="N115" s="11">
        <v>0</v>
      </c>
      <c r="O115" s="13">
        <f t="shared" ref="O115" si="244">IF(I115="",E115*Y115,0)</f>
        <v>80.814890000000005</v>
      </c>
      <c r="P115" s="14">
        <f t="shared" si="224"/>
        <v>-0.1</v>
      </c>
      <c r="Q115" s="14">
        <f t="shared" ref="Q115" si="245">IF(I115="",(O115-G115-(O115*0.1425%*0.65)-(O115*0.3%)-S115-T115),0)</f>
        <v>-19.502409461862495</v>
      </c>
      <c r="R115" s="289"/>
      <c r="S115" s="14">
        <v>0</v>
      </c>
      <c r="T115" s="14">
        <f t="shared" si="240"/>
        <v>0</v>
      </c>
      <c r="U115" s="69"/>
      <c r="V115" s="69"/>
      <c r="W115" s="70"/>
      <c r="X115" s="15">
        <f t="shared" si="241"/>
        <v>-0.19602409461862497</v>
      </c>
      <c r="Y115" s="16">
        <f>VLOOKUP(C115,美股行情!A:C,3,FALSE)</f>
        <v>322.10000000000002</v>
      </c>
      <c r="Z115" s="38">
        <f>VLOOKUP(C115,美股行情!A:G,7,FALSE)</f>
        <v>10.89</v>
      </c>
      <c r="AA115" s="90">
        <f t="shared" ref="AA115" ca="1" si="246">IF(I115="",((TODAY()-A115)*G115)/365.24,((I115-A115)*G115)/365.24)</f>
        <v>19.165480232176105</v>
      </c>
      <c r="AB115" s="276" t="s">
        <v>4278</v>
      </c>
      <c r="AC115" s="9"/>
    </row>
    <row r="116" spans="1:29">
      <c r="A116" s="224">
        <v>46197</v>
      </c>
      <c r="B116" s="11" t="s">
        <v>19</v>
      </c>
      <c r="C116" s="357" t="s">
        <v>4464</v>
      </c>
      <c r="D116" s="189" t="str">
        <f>VLOOKUP(C116,美股行情!A:C,2,FALSE)</f>
        <v>特斯拉</v>
      </c>
      <c r="E116" s="11">
        <v>0.25501000000000001</v>
      </c>
      <c r="F116" s="11">
        <v>392.15</v>
      </c>
      <c r="G116" s="11">
        <v>100</v>
      </c>
      <c r="H116" s="11">
        <v>0.1</v>
      </c>
      <c r="I116" s="104"/>
      <c r="J116" s="16"/>
      <c r="K116" s="11">
        <f t="shared" ref="K116" si="247">E116*J116</f>
        <v>0</v>
      </c>
      <c r="L116" s="17"/>
      <c r="M116" s="11"/>
      <c r="N116" s="11">
        <v>0</v>
      </c>
      <c r="O116" s="13">
        <f t="shared" ref="O116" si="248">IF(I116="",E116*Y116,0)</f>
        <v>82.138721000000004</v>
      </c>
      <c r="P116" s="14">
        <f t="shared" si="224"/>
        <v>-0.1</v>
      </c>
      <c r="Q116" s="14">
        <f t="shared" si="242"/>
        <v>-18.183776153326246</v>
      </c>
      <c r="R116" s="289"/>
      <c r="S116" s="14">
        <v>0</v>
      </c>
      <c r="T116" s="14">
        <f t="shared" ref="T116" si="249">IF(ROUND(R116*(1+V116),0)&gt;20000,ROUND(ROUND(R116*(1+V116),0)*2%,0),0)</f>
        <v>0</v>
      </c>
      <c r="U116" s="69"/>
      <c r="V116" s="69"/>
      <c r="W116" s="70"/>
      <c r="X116" s="15">
        <f t="shared" ref="X116" si="250">(P116+Q116)/G116</f>
        <v>-0.18283776153326248</v>
      </c>
      <c r="Y116" s="16">
        <f>VLOOKUP(C116,美股行情!A:C,3,FALSE)</f>
        <v>322.10000000000002</v>
      </c>
      <c r="Z116" s="38">
        <f>VLOOKUP(C116,美股行情!A:G,7,FALSE)</f>
        <v>10.89</v>
      </c>
      <c r="AA116" s="90">
        <f t="shared" ca="1" si="243"/>
        <v>18.617895082685358</v>
      </c>
      <c r="AB116" s="276" t="s">
        <v>4278</v>
      </c>
      <c r="AC116" s="9"/>
    </row>
    <row r="117" spans="1:29" ht="17.25" thickBot="1">
      <c r="A117" s="48"/>
      <c r="B117" s="49"/>
      <c r="C117" s="49"/>
      <c r="D117" s="49"/>
      <c r="E117" s="49"/>
      <c r="F117" s="49"/>
      <c r="G117" s="49"/>
      <c r="H117" s="49"/>
      <c r="I117" s="50"/>
      <c r="J117" s="51"/>
      <c r="K117" s="49"/>
      <c r="L117" s="52"/>
      <c r="M117" s="49"/>
      <c r="N117" s="49"/>
      <c r="O117" s="53"/>
      <c r="P117" s="54"/>
      <c r="Q117" s="54"/>
      <c r="R117" s="54"/>
      <c r="S117" s="54"/>
      <c r="T117" s="60"/>
      <c r="U117" s="54"/>
      <c r="V117" s="54"/>
      <c r="W117" s="78"/>
      <c r="X117" s="55"/>
      <c r="Y117" s="51"/>
      <c r="Z117" s="56"/>
      <c r="AA117" s="28"/>
      <c r="AB117" s="9"/>
      <c r="AC117" s="9"/>
    </row>
    <row r="118" spans="1:29" s="36" customFormat="1" ht="17.25" thickBot="1">
      <c r="A118" s="9"/>
      <c r="B118" s="9"/>
      <c r="C118" s="9"/>
      <c r="D118" s="179" t="s">
        <v>3916</v>
      </c>
      <c r="E118" s="400"/>
      <c r="F118" s="401"/>
      <c r="G118" s="63">
        <f>SUM(G103:G117)</f>
        <v>12576.85</v>
      </c>
      <c r="H118" s="63">
        <f>SUM(H103:H117)</f>
        <v>25.975000000000005</v>
      </c>
      <c r="I118" s="400"/>
      <c r="J118" s="401"/>
      <c r="K118" s="63">
        <f t="shared" ref="K118:R118" si="251">SUM(K103:K117)</f>
        <v>3007.45</v>
      </c>
      <c r="L118" s="63">
        <f t="shared" si="251"/>
        <v>3.2800000000000002</v>
      </c>
      <c r="M118" s="63">
        <f t="shared" si="251"/>
        <v>0</v>
      </c>
      <c r="N118" s="63">
        <f t="shared" si="251"/>
        <v>0</v>
      </c>
      <c r="O118" s="63">
        <f t="shared" si="251"/>
        <v>15113.5563439</v>
      </c>
      <c r="P118" s="102">
        <f t="shared" si="251"/>
        <v>497.43499999999989</v>
      </c>
      <c r="Q118" s="101">
        <f t="shared" si="251"/>
        <v>4974.2167433047653</v>
      </c>
      <c r="R118" s="63">
        <f t="shared" si="251"/>
        <v>16.09</v>
      </c>
      <c r="S118" s="72"/>
      <c r="T118" s="72"/>
      <c r="U118" s="72"/>
      <c r="V118" s="72"/>
      <c r="W118" s="72"/>
      <c r="X118" s="180">
        <f>(P118+Q118)/G118</f>
        <v>0.43505740652904062</v>
      </c>
      <c r="Y118" s="9"/>
      <c r="Z118" s="9"/>
      <c r="AA118" s="87"/>
    </row>
    <row r="119" spans="1:29" s="36" customFormat="1" ht="17.25" thickBot="1">
      <c r="A119" s="9"/>
      <c r="B119" s="9"/>
      <c r="C119" s="9"/>
      <c r="D119" s="179" t="s">
        <v>3938</v>
      </c>
      <c r="E119" s="400"/>
      <c r="F119" s="401"/>
      <c r="G119" s="63">
        <f>G118*匯率!B3</f>
        <v>398359.14689999999</v>
      </c>
      <c r="H119" s="63">
        <f>H118*匯率!B3</f>
        <v>822.73215000000016</v>
      </c>
      <c r="I119" s="400"/>
      <c r="J119" s="401"/>
      <c r="K119" s="63">
        <f>SUM(K103:K118)</f>
        <v>6014.9</v>
      </c>
      <c r="L119" s="63">
        <f>SUM(L103:L118)</f>
        <v>6.5600000000000005</v>
      </c>
      <c r="M119" s="63">
        <f>SUM(M103:M118)</f>
        <v>0</v>
      </c>
      <c r="N119" s="63">
        <f>SUM(N103:N118)</f>
        <v>0</v>
      </c>
      <c r="O119" s="63">
        <f>O118*匯率!B3</f>
        <v>478706.7836366886</v>
      </c>
      <c r="P119" s="102">
        <f>P118*匯率!B3</f>
        <v>15755.756189999996</v>
      </c>
      <c r="Q119" s="63">
        <f>Q118*匯率!B3</f>
        <v>157553.34112743512</v>
      </c>
      <c r="R119" s="63">
        <f>R118*匯率!B3</f>
        <v>509.63466</v>
      </c>
      <c r="S119" s="72"/>
      <c r="T119" s="72"/>
      <c r="U119" s="72"/>
      <c r="V119" s="72"/>
      <c r="W119" s="72"/>
      <c r="X119" s="180">
        <f>(P119+Q119)/G119</f>
        <v>0.43505740652904062</v>
      </c>
      <c r="Y119" s="9"/>
      <c r="Z119" s="9"/>
      <c r="AA119" s="87"/>
      <c r="AB119" s="276"/>
    </row>
    <row r="120" spans="1:29" ht="17.25" thickBot="1">
      <c r="A120" s="37"/>
      <c r="B120" s="37"/>
      <c r="C120" s="37"/>
      <c r="D120" s="28"/>
    </row>
    <row r="121" spans="1:29" s="8" customFormat="1" ht="17.25" thickBot="1">
      <c r="A121" s="434" t="s">
        <v>4095</v>
      </c>
      <c r="B121" s="415"/>
      <c r="C121" s="435"/>
      <c r="D121" s="251" t="s">
        <v>4275</v>
      </c>
      <c r="E121" s="439"/>
      <c r="F121" s="415"/>
      <c r="G121" s="251" t="s">
        <v>4087</v>
      </c>
      <c r="H121" s="251" t="s">
        <v>25</v>
      </c>
      <c r="I121" s="441"/>
      <c r="J121" s="305"/>
      <c r="K121" s="292"/>
      <c r="L121" s="292"/>
      <c r="M121" s="292"/>
      <c r="N121" s="293"/>
      <c r="O121" s="251" t="s">
        <v>4088</v>
      </c>
      <c r="P121" s="251" t="s">
        <v>4089</v>
      </c>
      <c r="Q121" s="251" t="s">
        <v>4090</v>
      </c>
      <c r="R121" s="251" t="s">
        <v>4091</v>
      </c>
      <c r="S121" s="251" t="s">
        <v>25</v>
      </c>
      <c r="T121" s="251" t="s">
        <v>26</v>
      </c>
      <c r="U121" s="402"/>
      <c r="V121" s="246" t="s">
        <v>28</v>
      </c>
      <c r="W121" s="246" t="s">
        <v>27</v>
      </c>
      <c r="X121" s="251" t="s">
        <v>4092</v>
      </c>
      <c r="Y121" s="251" t="s">
        <v>23</v>
      </c>
      <c r="Z121" s="251" t="s">
        <v>168</v>
      </c>
      <c r="AA121" s="89"/>
      <c r="AB121" s="86"/>
      <c r="AC121" s="182"/>
    </row>
    <row r="122" spans="1:29" outlineLevel="1">
      <c r="A122" s="436"/>
      <c r="B122" s="417"/>
      <c r="C122" s="437"/>
      <c r="D122" s="246" t="s">
        <v>4279</v>
      </c>
      <c r="E122" s="440"/>
      <c r="F122" s="417"/>
      <c r="G122" s="265"/>
      <c r="H122" s="265"/>
      <c r="I122" s="442"/>
      <c r="J122" s="306"/>
      <c r="K122" s="294"/>
      <c r="L122" s="294"/>
      <c r="M122" s="294"/>
      <c r="N122" s="295"/>
      <c r="O122" s="265">
        <f>'Richard-帳戶紀錄'!D312</f>
        <v>207007</v>
      </c>
      <c r="P122" s="266"/>
      <c r="Q122" s="266"/>
      <c r="R122" s="265"/>
      <c r="S122" s="304"/>
      <c r="T122" s="304"/>
      <c r="U122" s="404"/>
      <c r="V122" s="257"/>
      <c r="W122" s="257"/>
      <c r="X122" s="267"/>
      <c r="Y122" s="267"/>
      <c r="Z122" s="268"/>
      <c r="AA122" s="9">
        <f>SUMIF(AB$2:AB$119,D122,AA$2:AA$119)</f>
        <v>0</v>
      </c>
    </row>
    <row r="123" spans="1:29" outlineLevel="1">
      <c r="A123" s="436"/>
      <c r="B123" s="417"/>
      <c r="C123" s="437"/>
      <c r="D123" s="264" t="s">
        <v>4276</v>
      </c>
      <c r="E123" s="440"/>
      <c r="F123" s="417"/>
      <c r="G123" s="265">
        <f>SUMIF(AB$2:AB$119,D123,G$2:G$119)</f>
        <v>953950</v>
      </c>
      <c r="H123" s="265">
        <f>SUMIF(AB$2:AB$119,D123,H$2:H$119)</f>
        <v>1343</v>
      </c>
      <c r="I123" s="442"/>
      <c r="J123" s="306"/>
      <c r="K123" s="294"/>
      <c r="L123" s="294"/>
      <c r="M123" s="294"/>
      <c r="N123" s="295"/>
      <c r="O123" s="265">
        <f>SUMIF(AB$2:AB$119,D123,O$2:O$119)</f>
        <v>706900</v>
      </c>
      <c r="P123" s="266">
        <f>SUMIF(AB$2:AB$119,D123,P$2:P$119)</f>
        <v>145293</v>
      </c>
      <c r="Q123" s="266">
        <f>SUMIF(AB$2:AB$119,"*"&amp;D123&amp;"*",Q$2:Q$119)</f>
        <v>145096.10003777506</v>
      </c>
      <c r="R123" s="265">
        <f>SUMIF(AB$2:AB$119,D123,R$2:R$119)</f>
        <v>7038</v>
      </c>
      <c r="S123" s="257"/>
      <c r="T123" s="257"/>
      <c r="U123" s="404"/>
      <c r="V123" s="257"/>
      <c r="W123" s="257"/>
      <c r="X123" s="267">
        <f>(SUMIF(AB$2:AB$119,D123,P$2:P$119)+SUMIF(AB$2:AB$119,"*"&amp;D123&amp;"*",Q$2:Q$119))/SUMIF(AB$2:AB$119,D123,G$2:G$119)</f>
        <v>0.30440704443395888</v>
      </c>
      <c r="Y123" s="267">
        <f t="shared" ref="Y123:Y124" ca="1" si="252">(P123+Q123)/(AA123)</f>
        <v>0.59348406274175003</v>
      </c>
      <c r="Z123" s="268">
        <f>COUNTIFS(X$2:X$119,"&gt;0",AB$2:AB$119,D123)/COUNTIF(AB$2:AB$119,D123)</f>
        <v>0.8</v>
      </c>
      <c r="AA123" s="9">
        <f ca="1">SUMIF(AB$2:AB$119,D123,AA$2:AA$119)</f>
        <v>489295.53170518012</v>
      </c>
    </row>
    <row r="124" spans="1:29" ht="17.25" outlineLevel="1" thickBot="1">
      <c r="A124" s="436"/>
      <c r="B124" s="417"/>
      <c r="C124" s="437"/>
      <c r="D124" s="247" t="s">
        <v>4281</v>
      </c>
      <c r="E124" s="440"/>
      <c r="F124" s="417"/>
      <c r="G124" s="265">
        <f>SUMIF(AB$2:AB$119,D124,G$2:G$119)</f>
        <v>1154530</v>
      </c>
      <c r="H124" s="265">
        <f>SUMIF(AB$2:AB$119,D124,H$2:H$119)</f>
        <v>1297</v>
      </c>
      <c r="I124" s="442"/>
      <c r="J124" s="306"/>
      <c r="K124" s="294"/>
      <c r="L124" s="294"/>
      <c r="M124" s="294"/>
      <c r="N124" s="295"/>
      <c r="O124" s="265">
        <f>SUMIF(AB$2:AB$119,D124,O$2:O$119)</f>
        <v>519328.57999999996</v>
      </c>
      <c r="P124" s="266">
        <f>SUMIF(AB$2:AB$119,D124,P$2:P$119)</f>
        <v>183937.03999999998</v>
      </c>
      <c r="Q124" s="266">
        <f>SUMIF(AB$2:AB$119,"*"&amp;D124&amp;"*",Q$2:Q$119)</f>
        <v>124391.56616277499</v>
      </c>
      <c r="R124" s="265">
        <f>SUMIF(AB$2:AB$119,D124,R$2:R$119)</f>
        <v>53310.3</v>
      </c>
      <c r="S124" s="303"/>
      <c r="T124" s="303"/>
      <c r="U124" s="404"/>
      <c r="V124" s="261"/>
      <c r="W124" s="261"/>
      <c r="X124" s="267">
        <f>(SUMIF(AB$2:AB$119,D124,P$2:P$119)+SUMIF(AB$2:AB$119,"*"&amp;D124&amp;"*",Q$2:Q$119))/SUMIF(AB$2:AB$119,D124,G$2:G$119)</f>
        <v>0.26705984787123327</v>
      </c>
      <c r="Y124" s="267">
        <f t="shared" ca="1" si="252"/>
        <v>0.36665844310027318</v>
      </c>
      <c r="Z124" s="268">
        <f>COUNTIFS(X$2:X$119,"&gt;0",AB$2:AB$119,D124)/COUNTIF(AB$2:AB$119,D124)</f>
        <v>0.82278481012658233</v>
      </c>
      <c r="AA124" s="9">
        <f ca="1">SUMIF(AB$2:AB$119,D124,AA$2:AA$119)</f>
        <v>840915.05859161064</v>
      </c>
    </row>
    <row r="125" spans="1:29" outlineLevel="1">
      <c r="A125" s="416"/>
      <c r="B125" s="417"/>
      <c r="C125" s="437"/>
      <c r="D125" s="269" t="s">
        <v>4278</v>
      </c>
      <c r="E125" s="417"/>
      <c r="F125" s="417"/>
      <c r="G125" s="265">
        <f>SUMIF(AB$2:AB$119,D125,G$2:G$119)*匯率!B3</f>
        <v>398359.14689999999</v>
      </c>
      <c r="H125" s="265">
        <f>SUMIF(AB$2:AB$119,D125,H$2:H$119)*匯率!B3</f>
        <v>822.73215000000016</v>
      </c>
      <c r="I125" s="430"/>
      <c r="J125" s="306"/>
      <c r="K125" s="294"/>
      <c r="L125" s="294"/>
      <c r="M125" s="294"/>
      <c r="N125" s="295"/>
      <c r="O125" s="265">
        <f>SUMIF(AB$2:AB$119,D125,O$2:O$119)*匯率!B3</f>
        <v>478706.7836366886</v>
      </c>
      <c r="P125" s="266">
        <f>SUMIF(AB$2:AB$119,D125,P$2:P$119)*匯率!B3</f>
        <v>15755.756189999996</v>
      </c>
      <c r="Q125" s="266">
        <f>SUMIF(AB$2:AB$119,"*"&amp;D125&amp;"*",Q$2:Q$119)*匯率!B3</f>
        <v>157553.34112743512</v>
      </c>
      <c r="R125" s="265">
        <f>SUMIF(AB$2:AB$119,D125,R$2:R$119)*匯率!B3</f>
        <v>509.63466</v>
      </c>
      <c r="S125" s="257"/>
      <c r="T125" s="257"/>
      <c r="U125" s="411"/>
      <c r="V125" s="257"/>
      <c r="W125" s="257"/>
      <c r="X125" s="267">
        <f>(SUMIF(AB$2:AB$119,D125,P$2:P$119)+SUMIF(AB$2:AB$119,"*"&amp;D125&amp;"*",Q$2:Q$119))/SUMIF(AB$2:AB$119,D125,G$2:G$119)</f>
        <v>0.43505740652904062</v>
      </c>
      <c r="Y125" s="267">
        <f ca="1">(P125+Q125)/(AA125)</f>
        <v>11.42639946242716</v>
      </c>
      <c r="Z125" s="268">
        <f>COUNTIFS(X$2:X$119,"&gt;0",AB$2:AB$119,D125)/COUNTIF(AB$2:AB$119,D125)</f>
        <v>0.69230769230769229</v>
      </c>
      <c r="AA125" s="9">
        <f ca="1">SUMIF(AB$2:AB$119,D125,AA$2:AA$119)</f>
        <v>15167.428540137991</v>
      </c>
    </row>
    <row r="126" spans="1:29" ht="17.25" outlineLevel="1" thickBot="1">
      <c r="A126" s="416"/>
      <c r="B126" s="417"/>
      <c r="C126" s="437"/>
      <c r="D126" s="248" t="s">
        <v>4328</v>
      </c>
      <c r="E126" s="417"/>
      <c r="F126" s="417"/>
      <c r="G126" s="252"/>
      <c r="H126" s="252"/>
      <c r="I126" s="430"/>
      <c r="J126" s="307"/>
      <c r="K126" s="296"/>
      <c r="L126" s="296"/>
      <c r="M126" s="296"/>
      <c r="N126" s="297"/>
      <c r="O126" s="252">
        <f>'Richard-帳戶紀錄'!G312</f>
        <v>1439799.6334200001</v>
      </c>
      <c r="P126" s="253"/>
      <c r="Q126" s="253"/>
      <c r="R126" s="252"/>
      <c r="S126" s="261"/>
      <c r="T126" s="261"/>
      <c r="U126" s="413"/>
      <c r="V126" s="261"/>
      <c r="W126" s="261"/>
      <c r="X126" s="254"/>
      <c r="Y126" s="254"/>
      <c r="Z126" s="255"/>
      <c r="AA126" s="9">
        <f>SUMIF(AB$2:AB$119,D126,AA$2:AA$119)</f>
        <v>0</v>
      </c>
    </row>
    <row r="127" spans="1:29" ht="17.25" outlineLevel="1" thickBot="1">
      <c r="A127" s="418"/>
      <c r="B127" s="419"/>
      <c r="C127" s="438"/>
      <c r="D127" s="248" t="s">
        <v>4584</v>
      </c>
      <c r="E127" s="419"/>
      <c r="F127" s="419"/>
      <c r="G127" s="252">
        <f>SUM(G122:G126)</f>
        <v>2506839.1469000001</v>
      </c>
      <c r="H127" s="252">
        <f>SUM(H122:H126)</f>
        <v>3462.7321500000003</v>
      </c>
      <c r="I127" s="431"/>
      <c r="J127" s="301"/>
      <c r="K127" s="302"/>
      <c r="L127" s="302"/>
      <c r="M127" s="302"/>
      <c r="N127" s="302"/>
      <c r="O127" s="252">
        <f t="shared" ref="O127:W127" si="253">SUM(O122:O126)</f>
        <v>3351741.9970566891</v>
      </c>
      <c r="P127" s="252">
        <f t="shared" si="253"/>
        <v>344985.79618999996</v>
      </c>
      <c r="Q127" s="252">
        <f t="shared" si="253"/>
        <v>427041.00732798513</v>
      </c>
      <c r="R127" s="252">
        <f t="shared" si="253"/>
        <v>60857.934660000006</v>
      </c>
      <c r="S127" s="252"/>
      <c r="T127" s="252"/>
      <c r="U127" s="252">
        <f t="shared" si="253"/>
        <v>0</v>
      </c>
      <c r="V127" s="252">
        <f t="shared" si="253"/>
        <v>0</v>
      </c>
      <c r="W127" s="252">
        <f t="shared" si="253"/>
        <v>0</v>
      </c>
      <c r="X127" s="254">
        <f>(P127+Q127)/G127</f>
        <v>0.30796822543348529</v>
      </c>
      <c r="Y127" s="254"/>
      <c r="Z127" s="252"/>
    </row>
    <row r="128" spans="1:29">
      <c r="B128" s="37"/>
      <c r="C128" s="37"/>
      <c r="D128" s="28"/>
    </row>
    <row r="129" spans="2:4">
      <c r="B129" s="37"/>
      <c r="C129" s="37"/>
      <c r="D129" s="28"/>
    </row>
  </sheetData>
  <autoFilter ref="A1:AA131" xr:uid="{00000000-0009-0000-0000-000001000000}"/>
  <mergeCells count="14">
    <mergeCell ref="A121:C127"/>
    <mergeCell ref="E121:F127"/>
    <mergeCell ref="I121:I127"/>
    <mergeCell ref="Y95:Y101"/>
    <mergeCell ref="U121:U126"/>
    <mergeCell ref="E118:F118"/>
    <mergeCell ref="I118:J118"/>
    <mergeCell ref="A95:C101"/>
    <mergeCell ref="E95:F101"/>
    <mergeCell ref="I95:I101"/>
    <mergeCell ref="J95:J101"/>
    <mergeCell ref="K95:N95"/>
    <mergeCell ref="E119:F119"/>
    <mergeCell ref="I119:J119"/>
  </mergeCells>
  <phoneticPr fontId="71" type="noConversion"/>
  <conditionalFormatting sqref="I70 I94 I103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17">
    <cfRule type="expression" dxfId="141" priority="325">
      <formula>$I117&gt;(TODAY()-7)</formula>
    </cfRule>
    <cfRule type="expression" dxfId="140" priority="326">
      <formula>$I117&gt;(TODAY()-30)</formula>
    </cfRule>
  </conditionalFormatting>
  <conditionalFormatting sqref="Z2:Z94 Z103:Z117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4 Z117:Z119">
    <cfRule type="containsText" dxfId="135" priority="21" operator="containsText" text="△">
      <formula>NOT(ISERROR(SEARCH("△",Z114)))</formula>
    </cfRule>
    <cfRule type="containsText" dxfId="134" priority="22" operator="containsText" text="▽">
      <formula>NOT(ISERROR(SEARCH("▽",Z114)))</formula>
    </cfRule>
  </conditionalFormatting>
  <conditionalFormatting sqref="Z1:AA70 Z94:AA94 Z95:Z101 Z102:AA102 Z103:Z106 Z111 Z120:AA126 AA127 Z128:AA1048576">
    <cfRule type="containsText" dxfId="133" priority="346" operator="containsText" text="▽">
      <formula>NOT(ISERROR(SEARCH("▽",Z1)))</formula>
    </cfRule>
  </conditionalFormatting>
  <conditionalFormatting sqref="Z1:AA70 Z94:AA94 Z103:Z106 Z111 Z120:AA126 Z95:Z101 Z102:AA102 AA127 Z128:AA1048576">
    <cfRule type="containsText" dxfId="132" priority="345" operator="containsText" text="△">
      <formula>NOT(ISERROR(SEARCH("△",Z1)))</formula>
    </cfRule>
  </conditionalFormatting>
  <conditionalFormatting sqref="Z2:AA69 Z71:AA93 Z104:AA116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4:AA74">
    <cfRule type="containsText" dxfId="67" priority="75" operator="containsText" text="▲">
      <formula>NOT(ISERROR(SEARCH("▲",Z74)))</formula>
    </cfRule>
    <cfRule type="containsText" dxfId="66" priority="80" operator="containsText" text="▽">
      <formula>NOT(ISERROR(SEARCH("▽",Z74)))</formula>
    </cfRule>
    <cfRule type="containsText" dxfId="65" priority="79" operator="containsText" text="△">
      <formula>NOT(ISERROR(SEARCH("△",Z74)))</formula>
    </cfRule>
    <cfRule type="containsText" dxfId="64" priority="76" operator="containsText" text="▼">
      <formula>NOT(ISERROR(SEARCH("▼",Z74)))</formula>
    </cfRule>
  </conditionalFormatting>
  <conditionalFormatting sqref="Z74:AA75">
    <cfRule type="containsText" dxfId="63" priority="62" operator="containsText" text="▼">
      <formula>NOT(ISERROR(SEARCH("▼",Z74)))</formula>
    </cfRule>
    <cfRule type="containsText" dxfId="62" priority="61" operator="containsText" text="▲">
      <formula>NOT(ISERROR(SEARCH("▲",Z74)))</formula>
    </cfRule>
  </conditionalFormatting>
  <conditionalFormatting sqref="Z75:AA75">
    <cfRule type="containsText" dxfId="61" priority="66" operator="containsText" text="▽">
      <formula>NOT(ISERROR(SEARCH("▽",Z75)))</formula>
    </cfRule>
    <cfRule type="containsText" dxfId="60" priority="65" operator="containsText" text="△">
      <formula>NOT(ISERROR(SEARCH("△",Z75)))</formula>
    </cfRule>
  </conditionalFormatting>
  <conditionalFormatting sqref="Z75:AA77">
    <cfRule type="containsText" dxfId="59" priority="49" operator="containsText" text="▲">
      <formula>NOT(ISERROR(SEARCH("▲",Z75)))</formula>
    </cfRule>
    <cfRule type="containsText" dxfId="58" priority="50" operator="containsText" text="▼">
      <formula>NOT(ISERROR(SEARCH("▼",Z75)))</formula>
    </cfRule>
  </conditionalFormatting>
  <conditionalFormatting sqref="Z76:AA77">
    <cfRule type="containsText" dxfId="57" priority="53" operator="containsText" text="△">
      <formula>NOT(ISERROR(SEARCH("△",Z76)))</formula>
    </cfRule>
    <cfRule type="containsText" dxfId="56" priority="54" operator="containsText" text="▽">
      <formula>NOT(ISERROR(SEARCH("▽",Z76)))</formula>
    </cfRule>
    <cfRule type="containsText" dxfId="55" priority="48" operator="containsText" text="▼">
      <formula>NOT(ISERROR(SEARCH("▼",Z76)))</formula>
    </cfRule>
    <cfRule type="containsText" dxfId="54" priority="47" operator="containsText" text="▲">
      <formula>NOT(ISERROR(SEARCH("▲",Z76)))</formula>
    </cfRule>
  </conditionalFormatting>
  <conditionalFormatting sqref="Z77:AA77">
    <cfRule type="containsText" dxfId="53" priority="29" operator="containsText" text="▲">
      <formula>NOT(ISERROR(SEARCH("▲",Z77)))</formula>
    </cfRule>
    <cfRule type="containsText" dxfId="52" priority="34" operator="containsText" text="▽">
      <formula>NOT(ISERROR(SEARCH("▽",Z77)))</formula>
    </cfRule>
    <cfRule type="containsText" dxfId="51" priority="33" operator="containsText" text="△">
      <formula>NOT(ISERROR(SEARCH("△",Z77)))</formula>
    </cfRule>
    <cfRule type="containsText" dxfId="50" priority="30" operator="containsText" text="▼">
      <formula>NOT(ISERROR(SEARCH("▼",Z77)))</formula>
    </cfRule>
    <cfRule type="containsText" dxfId="49" priority="28" operator="containsText" text="▼">
      <formula>NOT(ISERROR(SEARCH("▼",Z77)))</formula>
    </cfRule>
    <cfRule type="containsText" dxfId="48" priority="27" operator="containsText" text="▲">
      <formula>NOT(ISERROR(SEARCH("▲",Z77)))</formula>
    </cfRule>
  </conditionalFormatting>
  <conditionalFormatting sqref="Z83:AA83">
    <cfRule type="containsText" dxfId="47" priority="11" operator="containsText" text="▲">
      <formula>NOT(ISERROR(SEARCH("▲",Z83)))</formula>
    </cfRule>
    <cfRule type="containsText" dxfId="46" priority="13" operator="containsText" text="▲">
      <formula>NOT(ISERROR(SEARCH("▲",Z83)))</formula>
    </cfRule>
    <cfRule type="containsText" dxfId="45" priority="14" operator="containsText" text="▼">
      <formula>NOT(ISERROR(SEARCH("▼",Z83)))</formula>
    </cfRule>
    <cfRule type="containsText" dxfId="44" priority="15" operator="containsText" text="△">
      <formula>NOT(ISERROR(SEARCH("△",Z83)))</formula>
    </cfRule>
    <cfRule type="containsText" dxfId="43" priority="12" operator="containsText" text="▼">
      <formula>NOT(ISERROR(SEARCH("▼",Z83)))</formula>
    </cfRule>
    <cfRule type="containsText" dxfId="42" priority="9" operator="containsText" text="▲">
      <formula>NOT(ISERROR(SEARCH("▲",Z83)))</formula>
    </cfRule>
    <cfRule type="containsText" dxfId="41" priority="10" operator="containsText" text="▼">
      <formula>NOT(ISERROR(SEARCH("▼",Z83)))</formula>
    </cfRule>
    <cfRule type="containsText" dxfId="40" priority="16" operator="containsText" text="▽">
      <formula>NOT(ISERROR(SEARCH("▽",Z83)))</formula>
    </cfRule>
  </conditionalFormatting>
  <conditionalFormatting sqref="Z88:AA88">
    <cfRule type="containsText" dxfId="39" priority="8" operator="containsText" text="▽">
      <formula>NOT(ISERROR(SEARCH("▽",Z88)))</formula>
    </cfRule>
    <cfRule type="containsText" dxfId="38" priority="7" operator="containsText" text="△">
      <formula>NOT(ISERROR(SEARCH("△",Z88)))</formula>
    </cfRule>
    <cfRule type="containsText" dxfId="37" priority="6" operator="containsText" text="▼">
      <formula>NOT(ISERROR(SEARCH("▼",Z88)))</formula>
    </cfRule>
    <cfRule type="containsText" dxfId="36" priority="5" operator="containsText" text="▲">
      <formula>NOT(ISERROR(SEARCH("▲",Z88)))</formula>
    </cfRule>
    <cfRule type="containsText" dxfId="35" priority="4" operator="containsText" text="▼">
      <formula>NOT(ISERROR(SEARCH("▼",Z88)))</formula>
    </cfRule>
    <cfRule type="containsText" dxfId="34" priority="3" operator="containsText" text="▲">
      <formula>NOT(ISERROR(SEARCH("▲",Z88)))</formula>
    </cfRule>
    <cfRule type="containsText" dxfId="33" priority="1" operator="containsText" text="▲">
      <formula>NOT(ISERROR(SEARCH("▲",Z88)))</formula>
    </cfRule>
    <cfRule type="containsText" dxfId="32" priority="2" operator="containsText" text="▼">
      <formula>NOT(ISERROR(SEARCH("▼",Z88)))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5:AA101">
    <cfRule type="containsText" dxfId="7" priority="91" operator="containsText" text="▲">
      <formula>NOT(ISERROR(SEARCH("▲",AA95)))</formula>
    </cfRule>
    <cfRule type="containsText" dxfId="6" priority="92" operator="containsText" text="▼">
      <formula>NOT(ISERROR(SEARCH("▼",AA95)))</formula>
    </cfRule>
    <cfRule type="containsText" dxfId="5" priority="90" operator="containsText" text="▼">
      <formula>NOT(ISERROR(SEARCH("▼",AA95)))</formula>
    </cfRule>
    <cfRule type="containsText" dxfId="4" priority="89" operator="containsText" text="▲">
      <formula>NOT(ISERROR(SEARCH("▲",AA95)))</formula>
    </cfRule>
  </conditionalFormatting>
  <conditionalFormatting sqref="AA121">
    <cfRule type="containsText" dxfId="3" priority="319" operator="containsText" text="△">
      <formula>NOT(ISERROR(SEARCH("△",AA121)))</formula>
    </cfRule>
    <cfRule type="containsText" dxfId="2" priority="320" operator="containsText" text="▽">
      <formula>NOT(ISERROR(SEARCH("▽",AA121)))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7"/>
  <sheetViews>
    <sheetView tabSelected="1" workbookViewId="0">
      <pane ySplit="2" topLeftCell="A3" activePane="bottomLeft" state="frozen"/>
      <selection pane="bottomLeft" sqref="A1:N2317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2029</v>
      </c>
      <c r="B1" s="171" t="s">
        <v>2030</v>
      </c>
      <c r="C1" s="171" t="s">
        <v>2031</v>
      </c>
      <c r="D1" s="171" t="s">
        <v>2032</v>
      </c>
      <c r="E1" s="177" t="s">
        <v>2033</v>
      </c>
      <c r="F1" s="171" t="s">
        <v>2034</v>
      </c>
      <c r="G1" s="171" t="s">
        <v>2035</v>
      </c>
      <c r="H1" s="171" t="s">
        <v>2036</v>
      </c>
      <c r="I1" s="171" t="s">
        <v>2037</v>
      </c>
      <c r="J1" s="171" t="s">
        <v>2038</v>
      </c>
      <c r="K1" s="171" t="s">
        <v>2039</v>
      </c>
      <c r="L1" s="171" t="s">
        <v>2040</v>
      </c>
      <c r="M1" s="174" t="s">
        <v>2041</v>
      </c>
      <c r="N1" s="171" t="s">
        <v>1557</v>
      </c>
      <c r="P1" s="171" t="s">
        <v>2025</v>
      </c>
      <c r="Q1" s="172">
        <f>COUNTIF(E:E,"&gt;0")</f>
        <v>736</v>
      </c>
      <c r="R1" s="171" t="s">
        <v>2026</v>
      </c>
      <c r="S1" s="173">
        <f>COUNTIF(E:E,"&lt;0")</f>
        <v>1346</v>
      </c>
    </row>
    <row r="2" spans="1:19" ht="18" thickTop="1" thickBot="1">
      <c r="A2" t="s">
        <v>4963</v>
      </c>
      <c r="B2" t="s">
        <v>4964</v>
      </c>
      <c r="C2">
        <v>14.73</v>
      </c>
      <c r="D2">
        <v>14.98</v>
      </c>
      <c r="E2" s="178">
        <v>-0.02</v>
      </c>
      <c r="F2" s="176">
        <v>-0.13</v>
      </c>
      <c r="G2" t="s">
        <v>5760</v>
      </c>
      <c r="H2">
        <v>36377</v>
      </c>
      <c r="I2">
        <v>34194</v>
      </c>
      <c r="J2" t="s">
        <v>1667</v>
      </c>
      <c r="K2">
        <v>14.98</v>
      </c>
      <c r="L2">
        <v>14.71</v>
      </c>
      <c r="M2" s="175" t="s">
        <v>1667</v>
      </c>
      <c r="N2" t="s">
        <v>1667</v>
      </c>
      <c r="P2" s="171" t="s">
        <v>2027</v>
      </c>
      <c r="Q2" s="172">
        <f>COUNTIF(F:F,"&gt;9.8")</f>
        <v>15</v>
      </c>
      <c r="R2" s="171" t="s">
        <v>2028</v>
      </c>
      <c r="S2" s="173">
        <f>COUNTIF(F:F,"&lt;-9.8")</f>
        <v>5</v>
      </c>
    </row>
    <row r="3" spans="1:19" ht="17.25" thickTop="1">
      <c r="A3" t="s">
        <v>4965</v>
      </c>
      <c r="B3" t="s">
        <v>4966</v>
      </c>
      <c r="C3">
        <v>13.65</v>
      </c>
      <c r="D3">
        <v>13.73</v>
      </c>
      <c r="E3" s="178">
        <v>-0.04</v>
      </c>
      <c r="F3" s="176">
        <v>-0.28999999999999998</v>
      </c>
      <c r="G3" t="s">
        <v>5483</v>
      </c>
      <c r="H3">
        <v>1975</v>
      </c>
      <c r="I3">
        <v>5114</v>
      </c>
      <c r="J3" t="s">
        <v>1667</v>
      </c>
      <c r="K3">
        <v>13.74</v>
      </c>
      <c r="L3">
        <v>13.53</v>
      </c>
      <c r="M3" s="175" t="s">
        <v>1667</v>
      </c>
      <c r="N3" t="s">
        <v>1667</v>
      </c>
    </row>
    <row r="4" spans="1:19">
      <c r="A4" t="s">
        <v>5116</v>
      </c>
      <c r="B4" t="s">
        <v>5117</v>
      </c>
      <c r="C4">
        <v>9.5299999999999994</v>
      </c>
      <c r="D4">
        <v>9.5500000000000007</v>
      </c>
      <c r="E4" s="178">
        <v>-0.05</v>
      </c>
      <c r="F4" s="176">
        <v>-0.52</v>
      </c>
      <c r="G4" t="s">
        <v>5602</v>
      </c>
      <c r="H4">
        <v>2101</v>
      </c>
      <c r="I4">
        <v>3578</v>
      </c>
      <c r="J4" t="s">
        <v>1667</v>
      </c>
      <c r="K4">
        <v>9.56</v>
      </c>
      <c r="L4">
        <v>9.4499999999999993</v>
      </c>
      <c r="M4" s="175" t="s">
        <v>1667</v>
      </c>
      <c r="N4" t="s">
        <v>1667</v>
      </c>
    </row>
    <row r="5" spans="1:19">
      <c r="A5" t="s">
        <v>5102</v>
      </c>
      <c r="B5" t="s">
        <v>5103</v>
      </c>
      <c r="C5">
        <v>10.08</v>
      </c>
      <c r="D5">
        <v>10.220000000000001</v>
      </c>
      <c r="E5" s="178">
        <v>-0.14000000000000001</v>
      </c>
      <c r="F5" s="176">
        <v>-1.35</v>
      </c>
      <c r="G5" t="s">
        <v>5612</v>
      </c>
      <c r="H5">
        <v>211472</v>
      </c>
      <c r="I5">
        <v>248785</v>
      </c>
      <c r="J5" t="s">
        <v>1667</v>
      </c>
      <c r="K5">
        <v>10.220000000000001</v>
      </c>
      <c r="L5">
        <v>10.039999999999999</v>
      </c>
      <c r="M5" s="175" t="s">
        <v>1667</v>
      </c>
      <c r="N5" t="s">
        <v>1667</v>
      </c>
    </row>
    <row r="6" spans="1:19">
      <c r="A6" t="s">
        <v>5118</v>
      </c>
      <c r="B6" t="s">
        <v>5119</v>
      </c>
      <c r="C6">
        <v>9.5500000000000007</v>
      </c>
      <c r="D6">
        <v>9.6</v>
      </c>
      <c r="E6" s="178">
        <v>-0.09</v>
      </c>
      <c r="F6" s="176">
        <v>-0.93</v>
      </c>
      <c r="G6" t="s">
        <v>5761</v>
      </c>
      <c r="H6">
        <v>2675</v>
      </c>
      <c r="I6">
        <v>3635</v>
      </c>
      <c r="J6" t="s">
        <v>1667</v>
      </c>
      <c r="K6">
        <v>9.61</v>
      </c>
      <c r="L6">
        <v>9.48</v>
      </c>
      <c r="M6" s="175" t="s">
        <v>1667</v>
      </c>
      <c r="N6" t="s">
        <v>1667</v>
      </c>
    </row>
    <row r="7" spans="1:19">
      <c r="A7" t="s">
        <v>5120</v>
      </c>
      <c r="B7" t="s">
        <v>5121</v>
      </c>
      <c r="C7">
        <v>8.6</v>
      </c>
      <c r="D7">
        <v>8.75</v>
      </c>
      <c r="E7" s="178">
        <v>-0.03</v>
      </c>
      <c r="F7" s="176">
        <v>-0.34</v>
      </c>
      <c r="G7" t="s">
        <v>5762</v>
      </c>
      <c r="H7">
        <v>69745</v>
      </c>
      <c r="I7">
        <v>62373</v>
      </c>
      <c r="J7" t="s">
        <v>1667</v>
      </c>
      <c r="K7">
        <v>8.75</v>
      </c>
      <c r="L7">
        <v>8.51</v>
      </c>
      <c r="M7" s="175" t="s">
        <v>1667</v>
      </c>
      <c r="N7" t="s">
        <v>1667</v>
      </c>
    </row>
    <row r="8" spans="1:19">
      <c r="A8" t="s">
        <v>5122</v>
      </c>
      <c r="B8" t="s">
        <v>5123</v>
      </c>
      <c r="C8">
        <v>9.65</v>
      </c>
      <c r="D8">
        <v>9.67</v>
      </c>
      <c r="E8" s="178">
        <v>-0.14000000000000001</v>
      </c>
      <c r="F8" s="176">
        <v>-1.43</v>
      </c>
      <c r="G8" t="s">
        <v>5763</v>
      </c>
      <c r="H8">
        <v>430167</v>
      </c>
      <c r="I8">
        <v>198308</v>
      </c>
      <c r="J8" t="s">
        <v>1667</v>
      </c>
      <c r="K8">
        <v>9.6999999999999993</v>
      </c>
      <c r="L8">
        <v>9.51</v>
      </c>
      <c r="M8" s="175" t="s">
        <v>1667</v>
      </c>
      <c r="N8" t="s">
        <v>1667</v>
      </c>
    </row>
    <row r="9" spans="1:19">
      <c r="A9" t="s">
        <v>5132</v>
      </c>
      <c r="B9" t="s">
        <v>5133</v>
      </c>
      <c r="C9">
        <v>9.69</v>
      </c>
      <c r="D9">
        <v>9.76</v>
      </c>
      <c r="E9" s="178">
        <v>-0.11</v>
      </c>
      <c r="F9" s="176">
        <v>-1.1100000000000001</v>
      </c>
      <c r="G9" t="s">
        <v>5326</v>
      </c>
      <c r="H9">
        <v>42745</v>
      </c>
      <c r="I9">
        <v>48491</v>
      </c>
      <c r="J9" t="s">
        <v>1667</v>
      </c>
      <c r="K9">
        <v>9.7899999999999991</v>
      </c>
      <c r="L9">
        <v>9.58</v>
      </c>
      <c r="M9" s="175" t="s">
        <v>1667</v>
      </c>
      <c r="N9" t="s">
        <v>1667</v>
      </c>
    </row>
    <row r="10" spans="1:19">
      <c r="A10" t="s">
        <v>5159</v>
      </c>
      <c r="B10" t="s">
        <v>5160</v>
      </c>
      <c r="C10">
        <v>10.44</v>
      </c>
      <c r="D10">
        <v>10.5</v>
      </c>
      <c r="E10" s="178">
        <v>-0.06</v>
      </c>
      <c r="F10" s="176">
        <v>-0.56999999999999995</v>
      </c>
      <c r="G10" t="s">
        <v>5401</v>
      </c>
      <c r="H10">
        <v>1617</v>
      </c>
      <c r="I10">
        <v>1384</v>
      </c>
      <c r="J10" t="s">
        <v>1667</v>
      </c>
      <c r="K10">
        <v>10.53</v>
      </c>
      <c r="L10">
        <v>10.38</v>
      </c>
      <c r="M10" s="175" t="s">
        <v>1667</v>
      </c>
      <c r="N10" t="s">
        <v>1667</v>
      </c>
    </row>
    <row r="11" spans="1:19">
      <c r="A11" t="s">
        <v>5253</v>
      </c>
      <c r="B11" t="s">
        <v>5254</v>
      </c>
      <c r="C11">
        <v>12</v>
      </c>
      <c r="D11">
        <v>12.22</v>
      </c>
      <c r="E11" s="178">
        <v>0.05</v>
      </c>
      <c r="F11" s="176">
        <v>0.41</v>
      </c>
      <c r="G11" t="s">
        <v>5764</v>
      </c>
      <c r="H11">
        <v>13965</v>
      </c>
      <c r="I11">
        <v>8912</v>
      </c>
      <c r="J11" t="s">
        <v>1667</v>
      </c>
      <c r="K11">
        <v>12.22</v>
      </c>
      <c r="L11">
        <v>11.9</v>
      </c>
      <c r="M11" s="175" t="s">
        <v>1667</v>
      </c>
      <c r="N11" t="s">
        <v>1667</v>
      </c>
    </row>
    <row r="12" spans="1:19">
      <c r="A12" t="s">
        <v>5765</v>
      </c>
      <c r="B12" t="s">
        <v>5766</v>
      </c>
      <c r="C12">
        <v>9.64</v>
      </c>
      <c r="D12">
        <v>9.61</v>
      </c>
      <c r="E12" s="178">
        <v>-0.23</v>
      </c>
      <c r="F12" s="176">
        <v>-2.34</v>
      </c>
      <c r="G12" t="s">
        <v>5767</v>
      </c>
      <c r="H12">
        <v>29931</v>
      </c>
      <c r="I12">
        <v>0</v>
      </c>
      <c r="J12" t="s">
        <v>1667</v>
      </c>
      <c r="K12">
        <v>9.64</v>
      </c>
      <c r="L12">
        <v>9.51</v>
      </c>
      <c r="M12" s="175" t="s">
        <v>1667</v>
      </c>
      <c r="N12" t="s">
        <v>1667</v>
      </c>
    </row>
    <row r="13" spans="1:19">
      <c r="A13">
        <v>50</v>
      </c>
      <c r="B13" t="s">
        <v>2255</v>
      </c>
      <c r="C13">
        <v>105.6</v>
      </c>
      <c r="D13">
        <v>106.25</v>
      </c>
      <c r="E13" s="178">
        <v>-0.7</v>
      </c>
      <c r="F13" s="176">
        <v>-0.65</v>
      </c>
      <c r="G13" t="s">
        <v>5768</v>
      </c>
      <c r="H13">
        <v>63691</v>
      </c>
      <c r="I13">
        <v>69794</v>
      </c>
      <c r="J13" t="s">
        <v>1667</v>
      </c>
      <c r="K13">
        <v>106.25</v>
      </c>
      <c r="L13">
        <v>105</v>
      </c>
      <c r="M13" s="175" t="s">
        <v>1667</v>
      </c>
      <c r="N13" t="s">
        <v>1667</v>
      </c>
    </row>
    <row r="14" spans="1:19">
      <c r="A14" s="274">
        <v>51</v>
      </c>
      <c r="B14" t="s">
        <v>2256</v>
      </c>
      <c r="C14">
        <v>145.80000000000001</v>
      </c>
      <c r="D14">
        <v>144.75</v>
      </c>
      <c r="E14" s="178">
        <v>-1.25</v>
      </c>
      <c r="F14" s="176">
        <v>-0.86</v>
      </c>
      <c r="G14" t="s">
        <v>5458</v>
      </c>
      <c r="H14">
        <v>25</v>
      </c>
      <c r="I14">
        <v>40</v>
      </c>
      <c r="J14" t="s">
        <v>1667</v>
      </c>
      <c r="K14">
        <v>145.85</v>
      </c>
      <c r="L14">
        <v>143.6</v>
      </c>
      <c r="M14" s="175" t="s">
        <v>1667</v>
      </c>
      <c r="N14" t="s">
        <v>1667</v>
      </c>
    </row>
    <row r="15" spans="1:19">
      <c r="A15">
        <v>52</v>
      </c>
      <c r="B15" t="s">
        <v>4736</v>
      </c>
      <c r="C15">
        <v>61.35</v>
      </c>
      <c r="D15">
        <v>61.85</v>
      </c>
      <c r="E15" s="178">
        <v>-0.5</v>
      </c>
      <c r="F15" s="176">
        <v>-0.8</v>
      </c>
      <c r="G15" t="s">
        <v>5769</v>
      </c>
      <c r="H15">
        <v>12398</v>
      </c>
      <c r="I15">
        <v>12001</v>
      </c>
      <c r="J15" t="s">
        <v>1667</v>
      </c>
      <c r="K15">
        <v>61.9</v>
      </c>
      <c r="L15">
        <v>61</v>
      </c>
      <c r="M15" s="175" t="s">
        <v>1667</v>
      </c>
      <c r="N15" t="s">
        <v>1667</v>
      </c>
    </row>
    <row r="16" spans="1:19">
      <c r="A16">
        <v>53</v>
      </c>
      <c r="B16" t="s">
        <v>2257</v>
      </c>
      <c r="C16">
        <v>238.7</v>
      </c>
      <c r="D16">
        <v>240.45</v>
      </c>
      <c r="E16" s="178">
        <v>-3.05</v>
      </c>
      <c r="F16" s="176">
        <v>-1.25</v>
      </c>
      <c r="G16" t="s">
        <v>5335</v>
      </c>
      <c r="H16">
        <v>29</v>
      </c>
      <c r="I16">
        <v>64</v>
      </c>
      <c r="J16" t="s">
        <v>1667</v>
      </c>
      <c r="K16">
        <v>240.45</v>
      </c>
      <c r="L16">
        <v>238</v>
      </c>
      <c r="M16" s="175" t="s">
        <v>1667</v>
      </c>
      <c r="N16" t="s">
        <v>1667</v>
      </c>
    </row>
    <row r="17" spans="1:14">
      <c r="A17">
        <v>55</v>
      </c>
      <c r="B17" t="s">
        <v>2258</v>
      </c>
      <c r="C17">
        <v>45.11</v>
      </c>
      <c r="D17">
        <v>45.95</v>
      </c>
      <c r="E17" s="178">
        <v>0.84</v>
      </c>
      <c r="F17" s="176">
        <v>1.86</v>
      </c>
      <c r="G17" t="s">
        <v>5770</v>
      </c>
      <c r="H17">
        <v>402</v>
      </c>
      <c r="I17">
        <v>305</v>
      </c>
      <c r="J17" t="s">
        <v>1667</v>
      </c>
      <c r="K17">
        <v>46</v>
      </c>
      <c r="L17">
        <v>45.1</v>
      </c>
      <c r="M17" s="175" t="s">
        <v>1667</v>
      </c>
      <c r="N17" t="s">
        <v>1667</v>
      </c>
    </row>
    <row r="18" spans="1:14">
      <c r="A18">
        <v>56</v>
      </c>
      <c r="B18" t="s">
        <v>2259</v>
      </c>
      <c r="C18">
        <v>53.5</v>
      </c>
      <c r="D18">
        <v>54.6</v>
      </c>
      <c r="E18" s="178">
        <v>0.75</v>
      </c>
      <c r="F18" s="176">
        <v>1.39</v>
      </c>
      <c r="G18" t="s">
        <v>5771</v>
      </c>
      <c r="H18">
        <v>55076</v>
      </c>
      <c r="I18">
        <v>24768</v>
      </c>
      <c r="J18" t="s">
        <v>1667</v>
      </c>
      <c r="K18">
        <v>54.65</v>
      </c>
      <c r="L18">
        <v>53.5</v>
      </c>
      <c r="M18" s="175" t="s">
        <v>1667</v>
      </c>
      <c r="N18" t="s">
        <v>1667</v>
      </c>
    </row>
    <row r="19" spans="1:14">
      <c r="A19">
        <v>57</v>
      </c>
      <c r="B19" t="s">
        <v>2260</v>
      </c>
      <c r="C19">
        <v>315.25</v>
      </c>
      <c r="D19">
        <v>316.60000000000002</v>
      </c>
      <c r="E19" s="178">
        <v>-2.95</v>
      </c>
      <c r="F19" s="176">
        <v>-0.92</v>
      </c>
      <c r="G19" t="s">
        <v>5772</v>
      </c>
      <c r="H19">
        <v>24</v>
      </c>
      <c r="I19">
        <v>16</v>
      </c>
      <c r="J19" t="s">
        <v>1667</v>
      </c>
      <c r="K19">
        <v>316.60000000000002</v>
      </c>
      <c r="L19">
        <v>315.2</v>
      </c>
      <c r="M19" s="175" t="s">
        <v>1667</v>
      </c>
      <c r="N19" t="s">
        <v>1667</v>
      </c>
    </row>
    <row r="20" spans="1:14">
      <c r="A20">
        <v>61</v>
      </c>
      <c r="B20" t="s">
        <v>2261</v>
      </c>
      <c r="C20">
        <v>24.15</v>
      </c>
      <c r="D20">
        <v>24.26</v>
      </c>
      <c r="E20" s="178">
        <v>-0.11</v>
      </c>
      <c r="F20" s="176">
        <v>-0.45</v>
      </c>
      <c r="G20" t="s">
        <v>5286</v>
      </c>
      <c r="H20">
        <v>59</v>
      </c>
      <c r="I20">
        <v>111</v>
      </c>
      <c r="J20" t="s">
        <v>1667</v>
      </c>
      <c r="K20">
        <v>24.36</v>
      </c>
      <c r="L20">
        <v>24.1</v>
      </c>
      <c r="M20" s="175" t="s">
        <v>1667</v>
      </c>
      <c r="N20" t="s">
        <v>1667</v>
      </c>
    </row>
    <row r="21" spans="1:14">
      <c r="A21">
        <v>6201</v>
      </c>
      <c r="B21" t="s">
        <v>2262</v>
      </c>
      <c r="C21">
        <v>44.2</v>
      </c>
      <c r="D21">
        <v>44.32</v>
      </c>
      <c r="E21" s="178">
        <v>-7.0000000000000007E-2</v>
      </c>
      <c r="F21" s="176">
        <v>-0.16</v>
      </c>
      <c r="G21" t="s">
        <v>5773</v>
      </c>
      <c r="H21">
        <v>121</v>
      </c>
      <c r="I21">
        <v>137</v>
      </c>
      <c r="J21" t="s">
        <v>1667</v>
      </c>
      <c r="K21">
        <v>44.39</v>
      </c>
      <c r="L21">
        <v>43.33</v>
      </c>
      <c r="M21" s="175" t="s">
        <v>1667</v>
      </c>
      <c r="N21" t="s">
        <v>1667</v>
      </c>
    </row>
    <row r="22" spans="1:14">
      <c r="A22">
        <v>6203</v>
      </c>
      <c r="B22" t="s">
        <v>2263</v>
      </c>
      <c r="C22">
        <v>191.45</v>
      </c>
      <c r="D22">
        <v>192.4</v>
      </c>
      <c r="E22" s="178">
        <v>-2.9</v>
      </c>
      <c r="F22" s="176">
        <v>-1.48</v>
      </c>
      <c r="G22" t="s">
        <v>5774</v>
      </c>
      <c r="H22">
        <v>5</v>
      </c>
      <c r="I22">
        <v>10</v>
      </c>
      <c r="J22" t="s">
        <v>1667</v>
      </c>
      <c r="K22">
        <v>192.4</v>
      </c>
      <c r="L22">
        <v>190.95</v>
      </c>
      <c r="M22" s="175" t="s">
        <v>1667</v>
      </c>
      <c r="N22" t="s">
        <v>1667</v>
      </c>
    </row>
    <row r="23" spans="1:14">
      <c r="A23">
        <v>6204</v>
      </c>
      <c r="B23" t="s">
        <v>2264</v>
      </c>
      <c r="C23">
        <v>227.2</v>
      </c>
      <c r="D23">
        <v>228.3</v>
      </c>
      <c r="E23" s="178">
        <v>-2.4</v>
      </c>
      <c r="F23" s="176">
        <v>-1.04</v>
      </c>
      <c r="G23" t="s">
        <v>5431</v>
      </c>
      <c r="H23">
        <v>22</v>
      </c>
      <c r="I23">
        <v>34</v>
      </c>
      <c r="J23" t="s">
        <v>1667</v>
      </c>
      <c r="K23">
        <v>228.3</v>
      </c>
      <c r="L23">
        <v>227.2</v>
      </c>
      <c r="M23" s="175" t="s">
        <v>1667</v>
      </c>
      <c r="N23" t="s">
        <v>1667</v>
      </c>
    </row>
    <row r="24" spans="1:14">
      <c r="A24">
        <v>6205</v>
      </c>
      <c r="B24" t="s">
        <v>2265</v>
      </c>
      <c r="C24">
        <v>40.44</v>
      </c>
      <c r="D24">
        <v>40.57</v>
      </c>
      <c r="E24" s="178">
        <v>-0.05</v>
      </c>
      <c r="F24" s="176">
        <v>-0.12</v>
      </c>
      <c r="G24" t="s">
        <v>5775</v>
      </c>
      <c r="H24">
        <v>173</v>
      </c>
      <c r="I24">
        <v>176</v>
      </c>
      <c r="J24" t="s">
        <v>1667</v>
      </c>
      <c r="K24">
        <v>40.57</v>
      </c>
      <c r="L24">
        <v>40.17</v>
      </c>
      <c r="M24" s="175" t="s">
        <v>1667</v>
      </c>
      <c r="N24" t="s">
        <v>1667</v>
      </c>
    </row>
    <row r="25" spans="1:14">
      <c r="A25">
        <v>6206</v>
      </c>
      <c r="B25" t="s">
        <v>2266</v>
      </c>
      <c r="C25">
        <v>37.479999999999997</v>
      </c>
      <c r="D25">
        <v>37.75</v>
      </c>
      <c r="E25" s="178">
        <v>0.03</v>
      </c>
      <c r="F25" s="176">
        <v>0.08</v>
      </c>
      <c r="G25" t="s">
        <v>5379</v>
      </c>
      <c r="H25">
        <v>66</v>
      </c>
      <c r="I25">
        <v>32</v>
      </c>
      <c r="J25" t="s">
        <v>1667</v>
      </c>
      <c r="K25">
        <v>37.75</v>
      </c>
      <c r="L25">
        <v>37.31</v>
      </c>
      <c r="M25" s="175" t="s">
        <v>1667</v>
      </c>
      <c r="N25" t="s">
        <v>1667</v>
      </c>
    </row>
    <row r="26" spans="1:14">
      <c r="A26">
        <v>6207</v>
      </c>
      <c r="B26" t="s">
        <v>2572</v>
      </c>
      <c r="C26">
        <v>32.29</v>
      </c>
      <c r="D26">
        <v>32.26</v>
      </c>
      <c r="E26" s="178">
        <v>-0.09</v>
      </c>
      <c r="F26" s="176">
        <v>-0.28000000000000003</v>
      </c>
      <c r="G26" t="s">
        <v>5776</v>
      </c>
      <c r="H26">
        <v>203</v>
      </c>
      <c r="I26">
        <v>159</v>
      </c>
      <c r="J26" t="s">
        <v>1667</v>
      </c>
      <c r="K26">
        <v>32.29</v>
      </c>
      <c r="L26">
        <v>32</v>
      </c>
      <c r="M26" s="175" t="s">
        <v>1667</v>
      </c>
      <c r="N26" t="s">
        <v>1667</v>
      </c>
    </row>
    <row r="27" spans="1:14">
      <c r="A27">
        <v>6208</v>
      </c>
      <c r="B27" t="s">
        <v>2267</v>
      </c>
      <c r="C27">
        <v>242.45</v>
      </c>
      <c r="D27">
        <v>242.9</v>
      </c>
      <c r="E27" s="178">
        <v>-2.2000000000000002</v>
      </c>
      <c r="F27" s="176">
        <v>-0.9</v>
      </c>
      <c r="G27" t="s">
        <v>5777</v>
      </c>
      <c r="H27">
        <v>1913</v>
      </c>
      <c r="I27">
        <v>1806</v>
      </c>
      <c r="J27" t="s">
        <v>1667</v>
      </c>
      <c r="K27">
        <v>243.5</v>
      </c>
      <c r="L27">
        <v>240.5</v>
      </c>
      <c r="M27" s="175" t="s">
        <v>1667</v>
      </c>
      <c r="N27" t="s">
        <v>1667</v>
      </c>
    </row>
    <row r="28" spans="1:14">
      <c r="A28" t="s">
        <v>2268</v>
      </c>
      <c r="B28" t="s">
        <v>2269</v>
      </c>
      <c r="C28" t="s">
        <v>1667</v>
      </c>
      <c r="D28" t="s">
        <v>1667</v>
      </c>
      <c r="E28" s="178" t="s">
        <v>1667</v>
      </c>
      <c r="F28" s="176" t="s">
        <v>1667</v>
      </c>
      <c r="G28" t="s">
        <v>1667</v>
      </c>
      <c r="H28">
        <v>0</v>
      </c>
      <c r="I28">
        <v>0</v>
      </c>
      <c r="J28" t="s">
        <v>1667</v>
      </c>
      <c r="K28" t="s">
        <v>1667</v>
      </c>
      <c r="L28" t="s">
        <v>1667</v>
      </c>
      <c r="M28" s="175" t="s">
        <v>1667</v>
      </c>
      <c r="N28" t="s">
        <v>1667</v>
      </c>
    </row>
    <row r="29" spans="1:14">
      <c r="A29" t="s">
        <v>4949</v>
      </c>
      <c r="B29" t="s">
        <v>4950</v>
      </c>
      <c r="C29">
        <v>35.380000000000003</v>
      </c>
      <c r="D29">
        <v>35.82</v>
      </c>
      <c r="E29" s="178">
        <v>-0.48</v>
      </c>
      <c r="F29" s="176">
        <v>-1.32</v>
      </c>
      <c r="G29" t="s">
        <v>5778</v>
      </c>
      <c r="H29">
        <v>173834</v>
      </c>
      <c r="I29">
        <v>146709</v>
      </c>
      <c r="J29" t="s">
        <v>1667</v>
      </c>
      <c r="K29">
        <v>35.82</v>
      </c>
      <c r="L29">
        <v>34.97</v>
      </c>
      <c r="M29" s="175" t="s">
        <v>1667</v>
      </c>
      <c r="N29" t="s">
        <v>1667</v>
      </c>
    </row>
    <row r="30" spans="1:14">
      <c r="A30" t="s">
        <v>4148</v>
      </c>
      <c r="B30" t="s">
        <v>4149</v>
      </c>
      <c r="C30">
        <v>10.029999999999999</v>
      </c>
      <c r="D30">
        <v>9.9499999999999993</v>
      </c>
      <c r="E30" s="178">
        <v>0.06</v>
      </c>
      <c r="F30" s="176">
        <v>0.61</v>
      </c>
      <c r="G30" t="s">
        <v>5779</v>
      </c>
      <c r="H30">
        <v>159534</v>
      </c>
      <c r="I30">
        <v>147006</v>
      </c>
      <c r="J30" t="s">
        <v>1667</v>
      </c>
      <c r="K30">
        <v>10.08</v>
      </c>
      <c r="L30">
        <v>9.94</v>
      </c>
      <c r="M30" s="175" t="s">
        <v>1667</v>
      </c>
      <c r="N30" t="s">
        <v>1667</v>
      </c>
    </row>
    <row r="31" spans="1:14">
      <c r="A31" t="s">
        <v>2270</v>
      </c>
      <c r="B31" t="s">
        <v>2271</v>
      </c>
      <c r="C31">
        <v>48.5</v>
      </c>
      <c r="D31">
        <v>48.45</v>
      </c>
      <c r="E31" s="178">
        <v>-0.32</v>
      </c>
      <c r="F31" s="176">
        <v>-0.66</v>
      </c>
      <c r="G31" t="s">
        <v>5780</v>
      </c>
      <c r="H31">
        <v>1934</v>
      </c>
      <c r="I31">
        <v>1434</v>
      </c>
      <c r="J31" t="s">
        <v>1667</v>
      </c>
      <c r="K31">
        <v>48.5</v>
      </c>
      <c r="L31">
        <v>47.4</v>
      </c>
      <c r="M31" s="175" t="s">
        <v>1667</v>
      </c>
      <c r="N31" t="s">
        <v>1667</v>
      </c>
    </row>
    <row r="32" spans="1:14">
      <c r="A32" t="s">
        <v>2272</v>
      </c>
      <c r="B32" t="s">
        <v>2273</v>
      </c>
      <c r="C32">
        <v>3.12</v>
      </c>
      <c r="D32">
        <v>3.13</v>
      </c>
      <c r="E32" s="178">
        <v>0.02</v>
      </c>
      <c r="F32" s="176">
        <v>0.64</v>
      </c>
      <c r="G32" t="s">
        <v>5781</v>
      </c>
      <c r="H32">
        <v>717</v>
      </c>
      <c r="I32">
        <v>473</v>
      </c>
      <c r="J32" t="s">
        <v>1667</v>
      </c>
      <c r="K32">
        <v>3.13</v>
      </c>
      <c r="L32">
        <v>3.12</v>
      </c>
      <c r="M32" s="175" t="s">
        <v>1667</v>
      </c>
      <c r="N32" t="s">
        <v>1667</v>
      </c>
    </row>
    <row r="33" spans="1:14">
      <c r="A33" t="s">
        <v>2274</v>
      </c>
      <c r="B33" t="s">
        <v>2275</v>
      </c>
      <c r="C33">
        <v>46.09</v>
      </c>
      <c r="D33">
        <v>45.89</v>
      </c>
      <c r="E33" s="178">
        <v>-1.49</v>
      </c>
      <c r="F33" s="176">
        <v>-3.14</v>
      </c>
      <c r="G33" t="s">
        <v>5782</v>
      </c>
      <c r="H33">
        <v>8811</v>
      </c>
      <c r="I33">
        <v>6166</v>
      </c>
      <c r="J33" t="s">
        <v>1667</v>
      </c>
      <c r="K33">
        <v>46.17</v>
      </c>
      <c r="L33">
        <v>45.54</v>
      </c>
      <c r="M33" s="175" t="s">
        <v>1667</v>
      </c>
      <c r="N33" t="s">
        <v>1667</v>
      </c>
    </row>
    <row r="34" spans="1:14">
      <c r="A34">
        <v>636</v>
      </c>
      <c r="B34" t="s">
        <v>2276</v>
      </c>
      <c r="C34">
        <v>27.55</v>
      </c>
      <c r="D34">
        <v>27.63</v>
      </c>
      <c r="E34" s="178">
        <v>-0.02</v>
      </c>
      <c r="F34" s="176">
        <v>-7.0000000000000007E-2</v>
      </c>
      <c r="G34" t="s">
        <v>5783</v>
      </c>
      <c r="H34">
        <v>221</v>
      </c>
      <c r="I34">
        <v>334</v>
      </c>
      <c r="J34" t="s">
        <v>1667</v>
      </c>
      <c r="K34">
        <v>27.63</v>
      </c>
      <c r="L34">
        <v>27.34</v>
      </c>
      <c r="M34" s="175" t="s">
        <v>1667</v>
      </c>
      <c r="N34" t="s">
        <v>1667</v>
      </c>
    </row>
    <row r="35" spans="1:14">
      <c r="A35" t="s">
        <v>2277</v>
      </c>
      <c r="B35" t="s">
        <v>2278</v>
      </c>
      <c r="C35">
        <v>8.69</v>
      </c>
      <c r="D35">
        <v>8.69</v>
      </c>
      <c r="E35" s="178">
        <v>-0.1</v>
      </c>
      <c r="F35" s="176">
        <v>-1.1399999999999999</v>
      </c>
      <c r="G35">
        <v>1738</v>
      </c>
      <c r="H35">
        <v>2</v>
      </c>
      <c r="I35">
        <v>2</v>
      </c>
      <c r="J35" t="s">
        <v>1667</v>
      </c>
      <c r="K35">
        <v>8.69</v>
      </c>
      <c r="L35">
        <v>8.69</v>
      </c>
      <c r="M35" s="175" t="s">
        <v>1667</v>
      </c>
      <c r="N35" t="s">
        <v>1667</v>
      </c>
    </row>
    <row r="36" spans="1:14">
      <c r="A36" t="s">
        <v>2279</v>
      </c>
      <c r="B36" t="s">
        <v>2280</v>
      </c>
      <c r="C36">
        <v>19.97</v>
      </c>
      <c r="D36">
        <v>19.96</v>
      </c>
      <c r="E36" s="178">
        <v>-0.09</v>
      </c>
      <c r="F36" s="176">
        <v>-0.45</v>
      </c>
      <c r="G36" t="s">
        <v>5784</v>
      </c>
      <c r="H36">
        <v>20176</v>
      </c>
      <c r="I36">
        <v>15828</v>
      </c>
      <c r="J36" t="s">
        <v>1667</v>
      </c>
      <c r="K36">
        <v>19.98</v>
      </c>
      <c r="L36">
        <v>19.510000000000002</v>
      </c>
      <c r="M36" s="175" t="s">
        <v>1667</v>
      </c>
      <c r="N36" t="s">
        <v>1667</v>
      </c>
    </row>
    <row r="37" spans="1:14">
      <c r="A37" t="s">
        <v>2281</v>
      </c>
      <c r="B37" t="s">
        <v>2282</v>
      </c>
      <c r="C37">
        <v>6.66</v>
      </c>
      <c r="D37">
        <v>6.63</v>
      </c>
      <c r="E37" s="178">
        <v>0.04</v>
      </c>
      <c r="F37" s="176">
        <v>0.61</v>
      </c>
      <c r="G37" t="s">
        <v>5785</v>
      </c>
      <c r="H37">
        <v>65</v>
      </c>
      <c r="I37">
        <v>97</v>
      </c>
      <c r="J37" t="s">
        <v>1667</v>
      </c>
      <c r="K37">
        <v>6.71</v>
      </c>
      <c r="L37">
        <v>6.63</v>
      </c>
      <c r="M37" s="175" t="s">
        <v>1667</v>
      </c>
      <c r="N37" t="s">
        <v>1667</v>
      </c>
    </row>
    <row r="38" spans="1:14">
      <c r="A38">
        <v>639</v>
      </c>
      <c r="B38" t="s">
        <v>2283</v>
      </c>
      <c r="C38">
        <v>16.39</v>
      </c>
      <c r="D38">
        <v>16.38</v>
      </c>
      <c r="E38" s="178">
        <v>-0.13</v>
      </c>
      <c r="F38" s="176">
        <v>-0.79</v>
      </c>
      <c r="G38" t="s">
        <v>5786</v>
      </c>
      <c r="H38">
        <v>484</v>
      </c>
      <c r="I38">
        <v>525</v>
      </c>
      <c r="J38" t="s">
        <v>1667</v>
      </c>
      <c r="K38">
        <v>16.399999999999999</v>
      </c>
      <c r="L38">
        <v>16.190000000000001</v>
      </c>
      <c r="M38" s="175" t="s">
        <v>1667</v>
      </c>
      <c r="N38" t="s">
        <v>1667</v>
      </c>
    </row>
    <row r="39" spans="1:14">
      <c r="A39" t="s">
        <v>2284</v>
      </c>
      <c r="B39" t="s">
        <v>2285</v>
      </c>
      <c r="C39">
        <v>108.6</v>
      </c>
      <c r="D39">
        <v>111.2</v>
      </c>
      <c r="E39" s="178">
        <v>0.25</v>
      </c>
      <c r="F39" s="176">
        <v>0.23</v>
      </c>
      <c r="G39" t="s">
        <v>5670</v>
      </c>
      <c r="H39">
        <v>61</v>
      </c>
      <c r="I39">
        <v>82</v>
      </c>
      <c r="J39" t="s">
        <v>1667</v>
      </c>
      <c r="K39">
        <v>111.2</v>
      </c>
      <c r="L39">
        <v>108.55</v>
      </c>
      <c r="M39" s="175" t="s">
        <v>1667</v>
      </c>
      <c r="N39" t="s">
        <v>1667</v>
      </c>
    </row>
    <row r="40" spans="1:14">
      <c r="A40" t="s">
        <v>2286</v>
      </c>
      <c r="B40" t="s">
        <v>2287</v>
      </c>
      <c r="C40">
        <v>3.67</v>
      </c>
      <c r="D40">
        <v>3.62</v>
      </c>
      <c r="E40" s="178">
        <v>0</v>
      </c>
      <c r="F40" s="176">
        <v>0</v>
      </c>
      <c r="G40" t="s">
        <v>5448</v>
      </c>
      <c r="H40">
        <v>569</v>
      </c>
      <c r="I40">
        <v>1067</v>
      </c>
      <c r="J40" t="s">
        <v>1667</v>
      </c>
      <c r="K40">
        <v>3.67</v>
      </c>
      <c r="L40">
        <v>3.62</v>
      </c>
      <c r="M40" s="175" t="s">
        <v>1667</v>
      </c>
      <c r="N40" t="s">
        <v>1667</v>
      </c>
    </row>
    <row r="41" spans="1:14">
      <c r="A41" t="s">
        <v>2288</v>
      </c>
      <c r="B41" t="s">
        <v>2289</v>
      </c>
      <c r="C41">
        <v>28.12</v>
      </c>
      <c r="D41">
        <v>28.48</v>
      </c>
      <c r="E41" s="178">
        <v>0.83</v>
      </c>
      <c r="F41" s="176">
        <v>3</v>
      </c>
      <c r="G41" t="s">
        <v>5787</v>
      </c>
      <c r="H41">
        <v>2181</v>
      </c>
      <c r="I41">
        <v>2056</v>
      </c>
      <c r="J41" t="s">
        <v>1667</v>
      </c>
      <c r="K41">
        <v>28.5</v>
      </c>
      <c r="L41">
        <v>28.12</v>
      </c>
      <c r="M41" s="175" t="s">
        <v>1667</v>
      </c>
      <c r="N41" t="s">
        <v>1667</v>
      </c>
    </row>
    <row r="42" spans="1:14">
      <c r="A42">
        <v>643</v>
      </c>
      <c r="B42" t="s">
        <v>2290</v>
      </c>
      <c r="C42">
        <v>18.399999999999999</v>
      </c>
      <c r="D42">
        <v>18.47</v>
      </c>
      <c r="E42" s="178">
        <v>-7.0000000000000007E-2</v>
      </c>
      <c r="F42" s="176">
        <v>-0.38</v>
      </c>
      <c r="G42" t="s">
        <v>5788</v>
      </c>
      <c r="H42">
        <v>3242</v>
      </c>
      <c r="I42">
        <v>2641</v>
      </c>
      <c r="J42" t="s">
        <v>1667</v>
      </c>
      <c r="K42">
        <v>18.489999999999998</v>
      </c>
      <c r="L42">
        <v>18.27</v>
      </c>
      <c r="M42" s="175" t="s">
        <v>1667</v>
      </c>
      <c r="N42" t="s">
        <v>1667</v>
      </c>
    </row>
    <row r="43" spans="1:14">
      <c r="A43" t="s">
        <v>2291</v>
      </c>
      <c r="B43" t="s">
        <v>2292</v>
      </c>
      <c r="C43">
        <v>3.91</v>
      </c>
      <c r="D43">
        <v>3.9</v>
      </c>
      <c r="E43" s="178">
        <v>-0.02</v>
      </c>
      <c r="F43" s="176">
        <v>-0.51</v>
      </c>
      <c r="G43" t="s">
        <v>5789</v>
      </c>
      <c r="H43">
        <v>25</v>
      </c>
      <c r="I43">
        <v>13</v>
      </c>
      <c r="J43" t="s">
        <v>1667</v>
      </c>
      <c r="K43">
        <v>3.91</v>
      </c>
      <c r="L43">
        <v>3.9</v>
      </c>
      <c r="M43" s="175" t="s">
        <v>1667</v>
      </c>
      <c r="N43" t="s">
        <v>1667</v>
      </c>
    </row>
    <row r="44" spans="1:14">
      <c r="A44">
        <v>645</v>
      </c>
      <c r="B44" t="s">
        <v>2293</v>
      </c>
      <c r="C44">
        <v>57.9</v>
      </c>
      <c r="D44">
        <v>58.6</v>
      </c>
      <c r="E44" s="178">
        <v>0.1</v>
      </c>
      <c r="F44" s="176">
        <v>0.17</v>
      </c>
      <c r="G44" t="s">
        <v>5248</v>
      </c>
      <c r="H44">
        <v>62</v>
      </c>
      <c r="I44">
        <v>86</v>
      </c>
      <c r="J44" t="s">
        <v>1667</v>
      </c>
      <c r="K44">
        <v>58.6</v>
      </c>
      <c r="L44">
        <v>57.9</v>
      </c>
      <c r="M44" s="175" t="s">
        <v>1667</v>
      </c>
      <c r="N44" t="s">
        <v>1667</v>
      </c>
    </row>
    <row r="45" spans="1:14">
      <c r="A45">
        <v>646</v>
      </c>
      <c r="B45" t="s">
        <v>2294</v>
      </c>
      <c r="C45">
        <v>76.650000000000006</v>
      </c>
      <c r="D45">
        <v>76.75</v>
      </c>
      <c r="E45" s="178">
        <v>-0.1</v>
      </c>
      <c r="F45" s="176">
        <v>-0.13</v>
      </c>
      <c r="G45" t="s">
        <v>5262</v>
      </c>
      <c r="H45">
        <v>2381</v>
      </c>
      <c r="I45">
        <v>2749</v>
      </c>
      <c r="J45" t="s">
        <v>1667</v>
      </c>
      <c r="K45">
        <v>76.8</v>
      </c>
      <c r="L45">
        <v>76.400000000000006</v>
      </c>
      <c r="M45" s="175" t="s">
        <v>1667</v>
      </c>
      <c r="N45" t="s">
        <v>1667</v>
      </c>
    </row>
    <row r="46" spans="1:14">
      <c r="A46" t="s">
        <v>2295</v>
      </c>
      <c r="B46" t="s">
        <v>2296</v>
      </c>
      <c r="C46">
        <v>138.1</v>
      </c>
      <c r="D46">
        <v>138.4</v>
      </c>
      <c r="E46" s="178">
        <v>-1.1000000000000001</v>
      </c>
      <c r="F46" s="176">
        <v>-0.79</v>
      </c>
      <c r="G46" t="s">
        <v>5704</v>
      </c>
      <c r="H46">
        <v>20</v>
      </c>
      <c r="I46">
        <v>29</v>
      </c>
      <c r="J46" t="s">
        <v>1667</v>
      </c>
      <c r="K46">
        <v>138.4</v>
      </c>
      <c r="L46">
        <v>138</v>
      </c>
      <c r="M46" s="175" t="s">
        <v>1667</v>
      </c>
      <c r="N46" t="s">
        <v>1667</v>
      </c>
    </row>
    <row r="47" spans="1:14">
      <c r="A47" t="s">
        <v>2297</v>
      </c>
      <c r="B47" t="s">
        <v>2298</v>
      </c>
      <c r="C47">
        <v>3.93</v>
      </c>
      <c r="D47">
        <v>3.91</v>
      </c>
      <c r="E47" s="178">
        <v>0.01</v>
      </c>
      <c r="F47" s="176">
        <v>0.26</v>
      </c>
      <c r="G47" t="s">
        <v>5790</v>
      </c>
      <c r="H47">
        <v>197</v>
      </c>
      <c r="I47">
        <v>1642</v>
      </c>
      <c r="J47" t="s">
        <v>1667</v>
      </c>
      <c r="K47">
        <v>3.93</v>
      </c>
      <c r="L47">
        <v>3.91</v>
      </c>
      <c r="M47" s="175" t="s">
        <v>1667</v>
      </c>
      <c r="N47" t="s">
        <v>1667</v>
      </c>
    </row>
    <row r="48" spans="1:14">
      <c r="A48" t="s">
        <v>2299</v>
      </c>
      <c r="B48" t="s">
        <v>2573</v>
      </c>
      <c r="C48">
        <v>17.21</v>
      </c>
      <c r="D48">
        <v>17.09</v>
      </c>
      <c r="E48" s="178">
        <v>-0.2</v>
      </c>
      <c r="F48" s="176">
        <v>-1.1599999999999999</v>
      </c>
      <c r="G48" t="s">
        <v>5791</v>
      </c>
      <c r="H48">
        <v>2199</v>
      </c>
      <c r="I48">
        <v>1298</v>
      </c>
      <c r="J48" t="s">
        <v>1667</v>
      </c>
      <c r="K48">
        <v>17.22</v>
      </c>
      <c r="L48">
        <v>16.829999999999998</v>
      </c>
      <c r="M48" s="175" t="s">
        <v>1667</v>
      </c>
      <c r="N48" t="s">
        <v>1667</v>
      </c>
    </row>
    <row r="49" spans="1:14">
      <c r="A49" t="s">
        <v>2300</v>
      </c>
      <c r="B49" t="s">
        <v>2574</v>
      </c>
      <c r="C49">
        <v>5.18</v>
      </c>
      <c r="D49">
        <v>5.15</v>
      </c>
      <c r="E49" s="178">
        <v>0.03</v>
      </c>
      <c r="F49" s="176">
        <v>0.59</v>
      </c>
      <c r="G49" t="s">
        <v>5607</v>
      </c>
      <c r="H49">
        <v>44</v>
      </c>
      <c r="I49">
        <v>207</v>
      </c>
      <c r="J49" t="s">
        <v>1667</v>
      </c>
      <c r="K49">
        <v>5.19</v>
      </c>
      <c r="L49">
        <v>5.15</v>
      </c>
      <c r="M49" s="175" t="s">
        <v>1667</v>
      </c>
      <c r="N49" t="s">
        <v>1667</v>
      </c>
    </row>
    <row r="50" spans="1:14">
      <c r="A50">
        <v>652</v>
      </c>
      <c r="B50" t="s">
        <v>2301</v>
      </c>
      <c r="C50">
        <v>32.880000000000003</v>
      </c>
      <c r="D50">
        <v>32.81</v>
      </c>
      <c r="E50" s="178">
        <v>-0.19</v>
      </c>
      <c r="F50" s="176">
        <v>-0.57999999999999996</v>
      </c>
      <c r="G50" t="s">
        <v>5792</v>
      </c>
      <c r="H50">
        <v>75</v>
      </c>
      <c r="I50">
        <v>157</v>
      </c>
      <c r="J50" t="s">
        <v>1667</v>
      </c>
      <c r="K50">
        <v>32.96</v>
      </c>
      <c r="L50">
        <v>32.799999999999997</v>
      </c>
      <c r="M50" s="175" t="s">
        <v>1667</v>
      </c>
      <c r="N50" t="s">
        <v>1667</v>
      </c>
    </row>
    <row r="51" spans="1:14">
      <c r="A51" t="s">
        <v>2302</v>
      </c>
      <c r="B51" t="s">
        <v>2303</v>
      </c>
      <c r="C51">
        <v>46.55</v>
      </c>
      <c r="D51">
        <v>46.19</v>
      </c>
      <c r="E51" s="178">
        <v>-0.64</v>
      </c>
      <c r="F51" s="176">
        <v>-1.37</v>
      </c>
      <c r="G51" t="s">
        <v>5214</v>
      </c>
      <c r="H51">
        <v>66</v>
      </c>
      <c r="I51">
        <v>74</v>
      </c>
      <c r="J51" t="s">
        <v>1667</v>
      </c>
      <c r="K51">
        <v>46.55</v>
      </c>
      <c r="L51">
        <v>46.1</v>
      </c>
      <c r="M51" s="175" t="s">
        <v>1667</v>
      </c>
      <c r="N51" t="s">
        <v>1667</v>
      </c>
    </row>
    <row r="52" spans="1:14">
      <c r="A52" t="s">
        <v>2304</v>
      </c>
      <c r="B52" t="s">
        <v>2305</v>
      </c>
      <c r="C52">
        <v>6.68</v>
      </c>
      <c r="D52">
        <v>6.68</v>
      </c>
      <c r="E52" s="178">
        <v>0</v>
      </c>
      <c r="F52" s="176">
        <v>0</v>
      </c>
      <c r="G52">
        <v>6680</v>
      </c>
      <c r="H52">
        <v>1</v>
      </c>
      <c r="I52">
        <v>26</v>
      </c>
      <c r="J52" t="s">
        <v>1667</v>
      </c>
      <c r="K52">
        <v>6.68</v>
      </c>
      <c r="L52">
        <v>6.68</v>
      </c>
      <c r="M52" s="175" t="s">
        <v>1667</v>
      </c>
      <c r="N52" t="s">
        <v>1667</v>
      </c>
    </row>
    <row r="53" spans="1:14">
      <c r="A53" t="s">
        <v>2306</v>
      </c>
      <c r="B53" t="s">
        <v>2307</v>
      </c>
      <c r="C53">
        <v>33.9</v>
      </c>
      <c r="D53">
        <v>33.71</v>
      </c>
      <c r="E53" s="178">
        <v>-0.18</v>
      </c>
      <c r="F53" s="176">
        <v>-0.53</v>
      </c>
      <c r="G53" t="s">
        <v>5793</v>
      </c>
      <c r="H53">
        <v>1010</v>
      </c>
      <c r="I53">
        <v>857</v>
      </c>
      <c r="J53" t="s">
        <v>1667</v>
      </c>
      <c r="K53">
        <v>33.9</v>
      </c>
      <c r="L53">
        <v>32.92</v>
      </c>
      <c r="M53" s="175" t="s">
        <v>1667</v>
      </c>
      <c r="N53" t="s">
        <v>1667</v>
      </c>
    </row>
    <row r="54" spans="1:14">
      <c r="A54" t="s">
        <v>2308</v>
      </c>
      <c r="B54" t="s">
        <v>2309</v>
      </c>
      <c r="C54">
        <v>5.87</v>
      </c>
      <c r="D54">
        <v>5.84</v>
      </c>
      <c r="E54" s="178">
        <v>0.01</v>
      </c>
      <c r="F54" s="176">
        <v>0.17</v>
      </c>
      <c r="G54" t="s">
        <v>5794</v>
      </c>
      <c r="H54">
        <v>758</v>
      </c>
      <c r="I54">
        <v>1276</v>
      </c>
      <c r="J54" t="s">
        <v>1667</v>
      </c>
      <c r="K54">
        <v>5.91</v>
      </c>
      <c r="L54">
        <v>5.84</v>
      </c>
      <c r="M54" s="175" t="s">
        <v>1667</v>
      </c>
      <c r="N54" t="s">
        <v>1667</v>
      </c>
    </row>
    <row r="55" spans="1:14">
      <c r="A55">
        <v>657</v>
      </c>
      <c r="B55" t="s">
        <v>2310</v>
      </c>
      <c r="C55">
        <v>76.150000000000006</v>
      </c>
      <c r="D55">
        <v>77.650000000000006</v>
      </c>
      <c r="E55" s="178">
        <v>-0.35</v>
      </c>
      <c r="F55" s="176">
        <v>-0.45</v>
      </c>
      <c r="G55" t="s">
        <v>5400</v>
      </c>
      <c r="H55">
        <v>21</v>
      </c>
      <c r="I55">
        <v>40</v>
      </c>
      <c r="J55" t="s">
        <v>1667</v>
      </c>
      <c r="K55">
        <v>77.650000000000006</v>
      </c>
      <c r="L55">
        <v>76.150000000000006</v>
      </c>
      <c r="M55" s="175" t="s">
        <v>1667</v>
      </c>
      <c r="N55" t="s">
        <v>1667</v>
      </c>
    </row>
    <row r="56" spans="1:14">
      <c r="A56" t="s">
        <v>2311</v>
      </c>
      <c r="B56" t="s">
        <v>2312</v>
      </c>
      <c r="C56">
        <v>24.52</v>
      </c>
      <c r="D56">
        <v>24.52</v>
      </c>
      <c r="E56" s="178">
        <v>-0.28000000000000003</v>
      </c>
      <c r="F56" s="176">
        <v>-1.1299999999999999</v>
      </c>
      <c r="G56">
        <v>4904</v>
      </c>
      <c r="H56">
        <v>2</v>
      </c>
      <c r="I56">
        <v>2</v>
      </c>
      <c r="J56" t="s">
        <v>1667</v>
      </c>
      <c r="K56">
        <v>24.52</v>
      </c>
      <c r="L56">
        <v>24.52</v>
      </c>
      <c r="M56" s="175" t="s">
        <v>1667</v>
      </c>
      <c r="N56" t="s">
        <v>1667</v>
      </c>
    </row>
    <row r="57" spans="1:14">
      <c r="A57">
        <v>660</v>
      </c>
      <c r="B57" t="s">
        <v>2313</v>
      </c>
      <c r="C57">
        <v>46.52</v>
      </c>
      <c r="D57">
        <v>46.69</v>
      </c>
      <c r="E57" s="178">
        <v>0.14000000000000001</v>
      </c>
      <c r="F57" s="176">
        <v>0.3</v>
      </c>
      <c r="G57" t="s">
        <v>5467</v>
      </c>
      <c r="H57">
        <v>4</v>
      </c>
      <c r="I57">
        <v>13</v>
      </c>
      <c r="J57" t="s">
        <v>1667</v>
      </c>
      <c r="K57">
        <v>46.73</v>
      </c>
      <c r="L57">
        <v>46.4</v>
      </c>
      <c r="M57" s="175" t="s">
        <v>1667</v>
      </c>
      <c r="N57" t="s">
        <v>1667</v>
      </c>
    </row>
    <row r="58" spans="1:14">
      <c r="A58">
        <v>661</v>
      </c>
      <c r="B58" t="s">
        <v>2314</v>
      </c>
      <c r="C58">
        <v>84.5</v>
      </c>
      <c r="D58">
        <v>85.35</v>
      </c>
      <c r="E58" s="178">
        <v>-0.85</v>
      </c>
      <c r="F58" s="176">
        <v>-0.99</v>
      </c>
      <c r="G58" t="s">
        <v>5491</v>
      </c>
      <c r="H58">
        <v>23</v>
      </c>
      <c r="I58">
        <v>46</v>
      </c>
      <c r="J58" t="s">
        <v>1667</v>
      </c>
      <c r="K58">
        <v>85.35</v>
      </c>
      <c r="L58">
        <v>83.95</v>
      </c>
      <c r="M58" s="175" t="s">
        <v>1667</v>
      </c>
      <c r="N58" t="s">
        <v>1667</v>
      </c>
    </row>
    <row r="59" spans="1:14">
      <c r="A59">
        <v>662</v>
      </c>
      <c r="B59" t="s">
        <v>2315</v>
      </c>
      <c r="C59">
        <v>119.15</v>
      </c>
      <c r="D59">
        <v>119.7</v>
      </c>
      <c r="E59" s="178">
        <v>-0.35</v>
      </c>
      <c r="F59" s="176">
        <v>-0.28999999999999998</v>
      </c>
      <c r="G59" t="s">
        <v>5795</v>
      </c>
      <c r="H59">
        <v>3233</v>
      </c>
      <c r="I59">
        <v>2319</v>
      </c>
      <c r="J59" t="s">
        <v>1667</v>
      </c>
      <c r="K59">
        <v>119.7</v>
      </c>
      <c r="L59">
        <v>118.75</v>
      </c>
      <c r="M59" s="175" t="s">
        <v>1667</v>
      </c>
      <c r="N59" t="s">
        <v>1667</v>
      </c>
    </row>
    <row r="60" spans="1:14">
      <c r="A60" t="s">
        <v>2316</v>
      </c>
      <c r="B60" t="s">
        <v>2317</v>
      </c>
      <c r="C60">
        <v>101.85</v>
      </c>
      <c r="D60">
        <v>103.5</v>
      </c>
      <c r="E60" s="178">
        <v>-1.2</v>
      </c>
      <c r="F60" s="176">
        <v>-1.1499999999999999</v>
      </c>
      <c r="G60" t="s">
        <v>5796</v>
      </c>
      <c r="H60">
        <v>5714</v>
      </c>
      <c r="I60">
        <v>5558</v>
      </c>
      <c r="J60" t="s">
        <v>1667</v>
      </c>
      <c r="K60">
        <v>103.5</v>
      </c>
      <c r="L60">
        <v>100.7</v>
      </c>
      <c r="M60" s="175" t="s">
        <v>1667</v>
      </c>
      <c r="N60" t="s">
        <v>1667</v>
      </c>
    </row>
    <row r="61" spans="1:14">
      <c r="A61" t="s">
        <v>2318</v>
      </c>
      <c r="B61" t="s">
        <v>2319</v>
      </c>
      <c r="C61">
        <v>1.62</v>
      </c>
      <c r="D61">
        <v>1.61</v>
      </c>
      <c r="E61" s="178">
        <v>0.01</v>
      </c>
      <c r="F61" s="176">
        <v>0.63</v>
      </c>
      <c r="G61" t="s">
        <v>5651</v>
      </c>
      <c r="H61">
        <v>13652</v>
      </c>
      <c r="I61">
        <v>22542</v>
      </c>
      <c r="J61" t="s">
        <v>1667</v>
      </c>
      <c r="K61">
        <v>1.63</v>
      </c>
      <c r="L61">
        <v>1.61</v>
      </c>
      <c r="M61" s="175" t="s">
        <v>1667</v>
      </c>
      <c r="N61" t="s">
        <v>1667</v>
      </c>
    </row>
    <row r="62" spans="1:14">
      <c r="A62" t="s">
        <v>2320</v>
      </c>
      <c r="B62" t="s">
        <v>2321</v>
      </c>
      <c r="C62">
        <v>9.4499999999999993</v>
      </c>
      <c r="D62">
        <v>9.4499999999999993</v>
      </c>
      <c r="E62" s="178">
        <v>-0.05</v>
      </c>
      <c r="F62" s="176">
        <v>-0.53</v>
      </c>
      <c r="G62" t="s">
        <v>5110</v>
      </c>
      <c r="H62">
        <v>10954</v>
      </c>
      <c r="I62">
        <v>9745</v>
      </c>
      <c r="J62" t="s">
        <v>1667</v>
      </c>
      <c r="K62">
        <v>9.4499999999999993</v>
      </c>
      <c r="L62">
        <v>9.31</v>
      </c>
      <c r="M62" s="175" t="s">
        <v>1667</v>
      </c>
      <c r="N62" t="s">
        <v>1667</v>
      </c>
    </row>
    <row r="63" spans="1:14">
      <c r="A63" t="s">
        <v>2322</v>
      </c>
      <c r="B63" t="s">
        <v>2323</v>
      </c>
      <c r="C63">
        <v>9.0399999999999991</v>
      </c>
      <c r="D63">
        <v>9.01</v>
      </c>
      <c r="E63" s="178">
        <v>0.04</v>
      </c>
      <c r="F63" s="176">
        <v>0.45</v>
      </c>
      <c r="G63" t="s">
        <v>5235</v>
      </c>
      <c r="H63">
        <v>551</v>
      </c>
      <c r="I63">
        <v>422</v>
      </c>
      <c r="J63" t="s">
        <v>1667</v>
      </c>
      <c r="K63">
        <v>9.07</v>
      </c>
      <c r="L63">
        <v>9.01</v>
      </c>
      <c r="M63" s="175" t="s">
        <v>1667</v>
      </c>
      <c r="N63" t="s">
        <v>1667</v>
      </c>
    </row>
    <row r="64" spans="1:14">
      <c r="A64">
        <v>668</v>
      </c>
      <c r="B64" t="s">
        <v>2324</v>
      </c>
      <c r="C64">
        <v>61.95</v>
      </c>
      <c r="D64">
        <v>61.8</v>
      </c>
      <c r="E64" s="178">
        <v>-0.15</v>
      </c>
      <c r="F64" s="176">
        <v>-0.24</v>
      </c>
      <c r="G64" t="s">
        <v>5323</v>
      </c>
      <c r="H64">
        <v>29</v>
      </c>
      <c r="I64">
        <v>70</v>
      </c>
      <c r="J64" t="s">
        <v>1667</v>
      </c>
      <c r="K64">
        <v>61.95</v>
      </c>
      <c r="L64">
        <v>61.7</v>
      </c>
      <c r="M64" s="175" t="s">
        <v>1667</v>
      </c>
      <c r="N64" t="s">
        <v>1667</v>
      </c>
    </row>
    <row r="65" spans="1:14">
      <c r="A65" t="s">
        <v>2325</v>
      </c>
      <c r="B65" t="s">
        <v>2326</v>
      </c>
      <c r="C65">
        <v>19.600000000000001</v>
      </c>
      <c r="D65">
        <v>19.600000000000001</v>
      </c>
      <c r="E65" s="178">
        <v>-0.03</v>
      </c>
      <c r="F65" s="176">
        <v>-0.15</v>
      </c>
      <c r="G65">
        <v>3920</v>
      </c>
      <c r="H65">
        <v>2</v>
      </c>
      <c r="I65">
        <v>2</v>
      </c>
      <c r="J65" t="s">
        <v>1667</v>
      </c>
      <c r="K65">
        <v>19.600000000000001</v>
      </c>
      <c r="L65">
        <v>19.600000000000001</v>
      </c>
      <c r="M65" s="175" t="s">
        <v>1667</v>
      </c>
      <c r="N65" t="s">
        <v>1667</v>
      </c>
    </row>
    <row r="66" spans="1:14">
      <c r="A66" t="s">
        <v>2327</v>
      </c>
      <c r="B66" t="s">
        <v>2328</v>
      </c>
      <c r="C66">
        <v>5.17</v>
      </c>
      <c r="D66">
        <v>5.18</v>
      </c>
      <c r="E66" s="178">
        <v>0.04</v>
      </c>
      <c r="F66" s="176">
        <v>0.78</v>
      </c>
      <c r="G66" t="s">
        <v>5797</v>
      </c>
      <c r="H66">
        <v>498</v>
      </c>
      <c r="I66">
        <v>333</v>
      </c>
      <c r="J66" t="s">
        <v>1667</v>
      </c>
      <c r="K66">
        <v>5.18</v>
      </c>
      <c r="L66">
        <v>5.16</v>
      </c>
      <c r="M66" s="175" t="s">
        <v>1667</v>
      </c>
      <c r="N66" t="s">
        <v>1667</v>
      </c>
    </row>
    <row r="67" spans="1:14">
      <c r="A67" t="s">
        <v>2329</v>
      </c>
      <c r="B67" t="s">
        <v>2330</v>
      </c>
      <c r="C67">
        <v>197.2</v>
      </c>
      <c r="D67">
        <v>198.95</v>
      </c>
      <c r="E67" s="178">
        <v>-1.85</v>
      </c>
      <c r="F67" s="176">
        <v>-0.92</v>
      </c>
      <c r="G67" t="s">
        <v>5678</v>
      </c>
      <c r="H67">
        <v>513</v>
      </c>
      <c r="I67">
        <v>438</v>
      </c>
      <c r="J67" t="s">
        <v>1667</v>
      </c>
      <c r="K67">
        <v>199</v>
      </c>
      <c r="L67">
        <v>196.55</v>
      </c>
      <c r="M67" s="175" t="s">
        <v>1667</v>
      </c>
      <c r="N67" t="s">
        <v>1667</v>
      </c>
    </row>
    <row r="68" spans="1:14">
      <c r="A68" t="s">
        <v>2331</v>
      </c>
      <c r="B68" t="s">
        <v>2332</v>
      </c>
      <c r="C68">
        <v>2.4500000000000002</v>
      </c>
      <c r="D68">
        <v>2.44</v>
      </c>
      <c r="E68" s="178">
        <v>0.01</v>
      </c>
      <c r="F68" s="176">
        <v>0.41</v>
      </c>
      <c r="G68" t="s">
        <v>5508</v>
      </c>
      <c r="H68">
        <v>3005</v>
      </c>
      <c r="I68">
        <v>5010</v>
      </c>
      <c r="J68" t="s">
        <v>1667</v>
      </c>
      <c r="K68">
        <v>2.4500000000000002</v>
      </c>
      <c r="L68">
        <v>2.4300000000000002</v>
      </c>
      <c r="M68" s="175" t="s">
        <v>1667</v>
      </c>
      <c r="N68" t="s">
        <v>1667</v>
      </c>
    </row>
    <row r="69" spans="1:14">
      <c r="A69" t="s">
        <v>4693</v>
      </c>
      <c r="B69" t="s">
        <v>4694</v>
      </c>
      <c r="C69">
        <v>12.21</v>
      </c>
      <c r="D69">
        <v>12.06</v>
      </c>
      <c r="E69" s="178">
        <v>-0.33</v>
      </c>
      <c r="F69" s="176">
        <v>-2.66</v>
      </c>
      <c r="G69" t="s">
        <v>5798</v>
      </c>
      <c r="H69">
        <v>26911</v>
      </c>
      <c r="I69">
        <v>15547</v>
      </c>
      <c r="J69" t="s">
        <v>1667</v>
      </c>
      <c r="K69">
        <v>12.21</v>
      </c>
      <c r="L69">
        <v>12.06</v>
      </c>
      <c r="M69" s="175" t="s">
        <v>1667</v>
      </c>
      <c r="N69" t="s">
        <v>1667</v>
      </c>
    </row>
    <row r="70" spans="1:14">
      <c r="A70" t="s">
        <v>5042</v>
      </c>
      <c r="B70" t="s">
        <v>5043</v>
      </c>
      <c r="C70">
        <v>27.44</v>
      </c>
      <c r="D70">
        <v>27.52</v>
      </c>
      <c r="E70" s="178">
        <v>0.83</v>
      </c>
      <c r="F70" s="176">
        <v>3.11</v>
      </c>
      <c r="G70" t="s">
        <v>5799</v>
      </c>
      <c r="H70">
        <v>380</v>
      </c>
      <c r="I70">
        <v>290</v>
      </c>
      <c r="J70" t="s">
        <v>1667</v>
      </c>
      <c r="K70">
        <v>27.76</v>
      </c>
      <c r="L70">
        <v>27.41</v>
      </c>
      <c r="M70" s="175" t="s">
        <v>1667</v>
      </c>
      <c r="N70" t="s">
        <v>1667</v>
      </c>
    </row>
    <row r="71" spans="1:14">
      <c r="A71" t="s">
        <v>2333</v>
      </c>
      <c r="B71" t="s">
        <v>2334</v>
      </c>
      <c r="C71">
        <v>308.60000000000002</v>
      </c>
      <c r="D71">
        <v>313.10000000000002</v>
      </c>
      <c r="E71" s="178">
        <v>-4.3</v>
      </c>
      <c r="F71" s="176">
        <v>-1.35</v>
      </c>
      <c r="G71" t="s">
        <v>5800</v>
      </c>
      <c r="H71">
        <v>1047</v>
      </c>
      <c r="I71">
        <v>845</v>
      </c>
      <c r="J71" t="s">
        <v>1667</v>
      </c>
      <c r="K71">
        <v>313.60000000000002</v>
      </c>
      <c r="L71">
        <v>305.25</v>
      </c>
      <c r="M71" s="175" t="s">
        <v>1667</v>
      </c>
      <c r="N71" t="s">
        <v>1667</v>
      </c>
    </row>
    <row r="72" spans="1:14">
      <c r="A72" t="s">
        <v>4326</v>
      </c>
      <c r="B72" t="s">
        <v>4327</v>
      </c>
      <c r="C72">
        <v>5.54</v>
      </c>
      <c r="D72">
        <v>5.51</v>
      </c>
      <c r="E72" s="178">
        <v>0.03</v>
      </c>
      <c r="F72" s="176">
        <v>0.55000000000000004</v>
      </c>
      <c r="G72" t="s">
        <v>5801</v>
      </c>
      <c r="H72">
        <v>4725</v>
      </c>
      <c r="I72">
        <v>6625</v>
      </c>
      <c r="J72" t="s">
        <v>1667</v>
      </c>
      <c r="K72">
        <v>5.57</v>
      </c>
      <c r="L72">
        <v>5.49</v>
      </c>
      <c r="M72" s="175" t="s">
        <v>1667</v>
      </c>
      <c r="N72" t="s">
        <v>1667</v>
      </c>
    </row>
    <row r="73" spans="1:14">
      <c r="A73">
        <v>678</v>
      </c>
      <c r="B73" t="s">
        <v>3044</v>
      </c>
      <c r="C73">
        <v>43.06</v>
      </c>
      <c r="D73">
        <v>43.27</v>
      </c>
      <c r="E73" s="178">
        <v>-1.18</v>
      </c>
      <c r="F73" s="176">
        <v>-2.65</v>
      </c>
      <c r="G73" t="s">
        <v>5802</v>
      </c>
      <c r="H73">
        <v>561</v>
      </c>
      <c r="I73">
        <v>560</v>
      </c>
      <c r="J73" t="s">
        <v>1667</v>
      </c>
      <c r="K73">
        <v>43.27</v>
      </c>
      <c r="L73">
        <v>43.06</v>
      </c>
      <c r="M73" s="175" t="s">
        <v>1667</v>
      </c>
      <c r="N73" t="s">
        <v>1667</v>
      </c>
    </row>
    <row r="74" spans="1:14">
      <c r="A74" t="s">
        <v>2335</v>
      </c>
      <c r="B74" t="s">
        <v>2336</v>
      </c>
      <c r="C74">
        <v>25.89</v>
      </c>
      <c r="D74">
        <v>25.86</v>
      </c>
      <c r="E74" s="178">
        <v>0.01</v>
      </c>
      <c r="F74" s="176">
        <v>0.04</v>
      </c>
      <c r="G74" t="s">
        <v>5803</v>
      </c>
      <c r="H74">
        <v>11887</v>
      </c>
      <c r="I74">
        <v>13686</v>
      </c>
      <c r="J74" t="s">
        <v>1667</v>
      </c>
      <c r="K74">
        <v>25.92</v>
      </c>
      <c r="L74">
        <v>25.83</v>
      </c>
      <c r="M74" s="175" t="s">
        <v>1667</v>
      </c>
      <c r="N74" t="s">
        <v>1667</v>
      </c>
    </row>
    <row r="75" spans="1:14">
      <c r="A75" t="s">
        <v>2337</v>
      </c>
      <c r="B75" t="s">
        <v>2338</v>
      </c>
      <c r="C75">
        <v>6.48</v>
      </c>
      <c r="D75">
        <v>6.48</v>
      </c>
      <c r="E75" s="178">
        <v>0</v>
      </c>
      <c r="F75" s="176">
        <v>0</v>
      </c>
      <c r="G75" t="s">
        <v>5804</v>
      </c>
      <c r="H75">
        <v>5485</v>
      </c>
      <c r="I75">
        <v>5898</v>
      </c>
      <c r="J75" t="s">
        <v>1667</v>
      </c>
      <c r="K75">
        <v>6.5</v>
      </c>
      <c r="L75">
        <v>6.47</v>
      </c>
      <c r="M75" s="175" t="s">
        <v>1667</v>
      </c>
      <c r="N75" t="s">
        <v>1667</v>
      </c>
    </row>
    <row r="76" spans="1:14">
      <c r="A76" t="s">
        <v>2339</v>
      </c>
      <c r="B76" t="s">
        <v>2340</v>
      </c>
      <c r="C76">
        <v>21.6</v>
      </c>
      <c r="D76">
        <v>21.6</v>
      </c>
      <c r="E76" s="178">
        <v>0.01</v>
      </c>
      <c r="F76" s="176">
        <v>0.05</v>
      </c>
      <c r="G76" t="s">
        <v>5805</v>
      </c>
      <c r="H76">
        <v>1</v>
      </c>
      <c r="I76">
        <v>137</v>
      </c>
      <c r="J76" t="s">
        <v>1667</v>
      </c>
      <c r="K76">
        <v>21.6</v>
      </c>
      <c r="L76">
        <v>21.6</v>
      </c>
      <c r="M76" s="175" t="s">
        <v>1667</v>
      </c>
      <c r="N76" t="s">
        <v>1667</v>
      </c>
    </row>
    <row r="77" spans="1:14">
      <c r="A77" t="s">
        <v>2341</v>
      </c>
      <c r="B77" t="s">
        <v>2342</v>
      </c>
      <c r="C77" t="s">
        <v>1667</v>
      </c>
      <c r="D77" t="s">
        <v>1667</v>
      </c>
      <c r="E77" s="178" t="s">
        <v>1667</v>
      </c>
      <c r="F77" s="176" t="s">
        <v>1667</v>
      </c>
      <c r="G77" t="s">
        <v>1667</v>
      </c>
      <c r="H77">
        <v>0</v>
      </c>
      <c r="I77">
        <v>1</v>
      </c>
      <c r="J77" t="s">
        <v>1667</v>
      </c>
      <c r="K77" t="s">
        <v>1667</v>
      </c>
      <c r="L77" t="s">
        <v>1667</v>
      </c>
      <c r="M77" s="175" t="s">
        <v>1667</v>
      </c>
      <c r="N77" t="s">
        <v>1667</v>
      </c>
    </row>
    <row r="78" spans="1:14">
      <c r="A78" t="s">
        <v>2343</v>
      </c>
      <c r="B78" t="s">
        <v>2344</v>
      </c>
      <c r="C78">
        <v>21.41</v>
      </c>
      <c r="D78">
        <v>21.51</v>
      </c>
      <c r="E78" s="178">
        <v>0.25</v>
      </c>
      <c r="F78" s="176">
        <v>1.18</v>
      </c>
      <c r="G78" t="s">
        <v>5169</v>
      </c>
      <c r="H78">
        <v>56</v>
      </c>
      <c r="I78">
        <v>53</v>
      </c>
      <c r="J78" t="s">
        <v>1667</v>
      </c>
      <c r="K78">
        <v>21.51</v>
      </c>
      <c r="L78">
        <v>21.41</v>
      </c>
      <c r="M78" s="175" t="s">
        <v>1667</v>
      </c>
      <c r="N78" t="s">
        <v>1667</v>
      </c>
    </row>
    <row r="79" spans="1:14">
      <c r="A79" t="s">
        <v>2345</v>
      </c>
      <c r="B79" t="s">
        <v>2346</v>
      </c>
      <c r="C79">
        <v>15.31</v>
      </c>
      <c r="D79">
        <v>15.09</v>
      </c>
      <c r="E79" s="178">
        <v>-0.14000000000000001</v>
      </c>
      <c r="F79" s="176">
        <v>-0.92</v>
      </c>
      <c r="G79" t="s">
        <v>5806</v>
      </c>
      <c r="H79">
        <v>5</v>
      </c>
      <c r="I79">
        <v>24</v>
      </c>
      <c r="J79" t="s">
        <v>1667</v>
      </c>
      <c r="K79">
        <v>15.31</v>
      </c>
      <c r="L79">
        <v>15.08</v>
      </c>
      <c r="M79" s="175" t="s">
        <v>1667</v>
      </c>
      <c r="N79" t="s">
        <v>1667</v>
      </c>
    </row>
    <row r="80" spans="1:14">
      <c r="A80" t="s">
        <v>5146</v>
      </c>
      <c r="B80" t="s">
        <v>5147</v>
      </c>
      <c r="C80">
        <v>11.63</v>
      </c>
      <c r="D80">
        <v>11.82</v>
      </c>
      <c r="E80" s="178">
        <v>-0.14000000000000001</v>
      </c>
      <c r="F80" s="176">
        <v>-1.17</v>
      </c>
      <c r="G80" t="s">
        <v>5807</v>
      </c>
      <c r="H80">
        <v>223614</v>
      </c>
      <c r="I80">
        <v>189515</v>
      </c>
      <c r="J80" t="s">
        <v>1667</v>
      </c>
      <c r="K80">
        <v>11.83</v>
      </c>
      <c r="L80">
        <v>11.52</v>
      </c>
      <c r="M80" s="175" t="s">
        <v>1667</v>
      </c>
      <c r="N80" t="s">
        <v>1667</v>
      </c>
    </row>
    <row r="81" spans="1:14">
      <c r="A81" t="s">
        <v>2347</v>
      </c>
      <c r="B81" t="s">
        <v>2348</v>
      </c>
      <c r="C81">
        <v>27.2</v>
      </c>
      <c r="D81">
        <v>27.21</v>
      </c>
      <c r="E81" s="178">
        <v>0.02</v>
      </c>
      <c r="F81" s="176">
        <v>7.0000000000000007E-2</v>
      </c>
      <c r="G81" t="s">
        <v>5808</v>
      </c>
      <c r="H81">
        <v>10491</v>
      </c>
      <c r="I81">
        <v>12585</v>
      </c>
      <c r="J81" t="s">
        <v>1667</v>
      </c>
      <c r="K81">
        <v>27.27</v>
      </c>
      <c r="L81">
        <v>27.17</v>
      </c>
      <c r="M81" s="175" t="s">
        <v>1667</v>
      </c>
      <c r="N81" t="s">
        <v>1667</v>
      </c>
    </row>
    <row r="82" spans="1:14">
      <c r="A82" t="s">
        <v>4247</v>
      </c>
      <c r="B82" t="s">
        <v>4248</v>
      </c>
      <c r="C82">
        <v>9.16</v>
      </c>
      <c r="D82">
        <v>9.16</v>
      </c>
      <c r="E82" s="178">
        <v>0</v>
      </c>
      <c r="F82" s="176">
        <v>0</v>
      </c>
      <c r="G82" t="s">
        <v>5345</v>
      </c>
      <c r="H82">
        <v>250</v>
      </c>
      <c r="I82">
        <v>250</v>
      </c>
      <c r="J82" t="s">
        <v>1667</v>
      </c>
      <c r="K82">
        <v>9.16</v>
      </c>
      <c r="L82">
        <v>9.16</v>
      </c>
      <c r="M82" s="175" t="s">
        <v>1667</v>
      </c>
      <c r="N82" t="s">
        <v>1667</v>
      </c>
    </row>
    <row r="83" spans="1:14">
      <c r="A83" t="s">
        <v>2349</v>
      </c>
      <c r="B83" t="s">
        <v>2350</v>
      </c>
      <c r="C83">
        <v>6.48</v>
      </c>
      <c r="D83">
        <v>6.46</v>
      </c>
      <c r="E83" s="178">
        <v>-0.02</v>
      </c>
      <c r="F83" s="176">
        <v>-0.31</v>
      </c>
      <c r="G83" t="s">
        <v>5809</v>
      </c>
      <c r="H83">
        <v>2415</v>
      </c>
      <c r="I83">
        <v>3088</v>
      </c>
      <c r="J83" t="s">
        <v>1667</v>
      </c>
      <c r="K83">
        <v>6.49</v>
      </c>
      <c r="L83">
        <v>6.46</v>
      </c>
      <c r="M83" s="175" t="s">
        <v>1667</v>
      </c>
      <c r="N83" t="s">
        <v>1667</v>
      </c>
    </row>
    <row r="84" spans="1:14">
      <c r="A84" t="s">
        <v>2351</v>
      </c>
      <c r="B84" t="s">
        <v>2352</v>
      </c>
      <c r="C84">
        <v>22.53</v>
      </c>
      <c r="D84">
        <v>22.55</v>
      </c>
      <c r="E84" s="178">
        <v>-0.04</v>
      </c>
      <c r="F84" s="176">
        <v>-0.18</v>
      </c>
      <c r="G84" t="s">
        <v>5564</v>
      </c>
      <c r="H84">
        <v>106</v>
      </c>
      <c r="I84">
        <v>88</v>
      </c>
      <c r="J84" t="s">
        <v>1667</v>
      </c>
      <c r="K84">
        <v>22.57</v>
      </c>
      <c r="L84">
        <v>22.53</v>
      </c>
      <c r="M84" s="175" t="s">
        <v>1667</v>
      </c>
      <c r="N84" t="s">
        <v>1667</v>
      </c>
    </row>
    <row r="85" spans="1:14">
      <c r="A85">
        <v>690</v>
      </c>
      <c r="B85" t="s">
        <v>2353</v>
      </c>
      <c r="C85">
        <v>76.849999999999994</v>
      </c>
      <c r="D85">
        <v>77.5</v>
      </c>
      <c r="E85" s="178">
        <v>-0.6</v>
      </c>
      <c r="F85" s="176">
        <v>-0.77</v>
      </c>
      <c r="G85" t="s">
        <v>5810</v>
      </c>
      <c r="H85">
        <v>240</v>
      </c>
      <c r="I85">
        <v>235</v>
      </c>
      <c r="J85" t="s">
        <v>1667</v>
      </c>
      <c r="K85">
        <v>77.5</v>
      </c>
      <c r="L85">
        <v>76.400000000000006</v>
      </c>
      <c r="M85" s="175" t="s">
        <v>1667</v>
      </c>
      <c r="N85" t="s">
        <v>1667</v>
      </c>
    </row>
    <row r="86" spans="1:14">
      <c r="A86">
        <v>692</v>
      </c>
      <c r="B86" t="s">
        <v>2254</v>
      </c>
      <c r="C86">
        <v>90.1</v>
      </c>
      <c r="D86">
        <v>91.1</v>
      </c>
      <c r="E86" s="178">
        <v>-0.6</v>
      </c>
      <c r="F86" s="176">
        <v>-0.65</v>
      </c>
      <c r="G86" t="s">
        <v>5811</v>
      </c>
      <c r="H86">
        <v>456</v>
      </c>
      <c r="I86">
        <v>487</v>
      </c>
      <c r="J86" t="s">
        <v>1667</v>
      </c>
      <c r="K86">
        <v>91.1</v>
      </c>
      <c r="L86">
        <v>90.05</v>
      </c>
      <c r="M86" s="175" t="s">
        <v>1667</v>
      </c>
      <c r="N86" t="s">
        <v>1667</v>
      </c>
    </row>
    <row r="87" spans="1:14">
      <c r="A87" t="s">
        <v>2354</v>
      </c>
      <c r="B87" t="s">
        <v>2355</v>
      </c>
      <c r="C87">
        <v>23.4</v>
      </c>
      <c r="D87">
        <v>23.45</v>
      </c>
      <c r="E87" s="178">
        <v>0.3</v>
      </c>
      <c r="F87" s="176">
        <v>1.3</v>
      </c>
      <c r="G87" t="s">
        <v>5648</v>
      </c>
      <c r="H87">
        <v>1610</v>
      </c>
      <c r="I87">
        <v>1396</v>
      </c>
      <c r="J87" t="s">
        <v>1667</v>
      </c>
      <c r="K87">
        <v>23.57</v>
      </c>
      <c r="L87">
        <v>23.37</v>
      </c>
      <c r="M87" s="175" t="s">
        <v>1667</v>
      </c>
      <c r="N87" t="s">
        <v>1667</v>
      </c>
    </row>
    <row r="88" spans="1:14">
      <c r="A88" t="s">
        <v>2356</v>
      </c>
      <c r="B88" t="s">
        <v>2357</v>
      </c>
      <c r="C88">
        <v>41.39</v>
      </c>
      <c r="D88">
        <v>41.63</v>
      </c>
      <c r="E88" s="178">
        <v>0.02</v>
      </c>
      <c r="F88" s="176">
        <v>0.05</v>
      </c>
      <c r="G88" t="s">
        <v>5812</v>
      </c>
      <c r="H88">
        <v>201</v>
      </c>
      <c r="I88">
        <v>163</v>
      </c>
      <c r="J88" t="s">
        <v>1667</v>
      </c>
      <c r="K88">
        <v>41.7</v>
      </c>
      <c r="L88">
        <v>41.39</v>
      </c>
      <c r="M88" s="175" t="s">
        <v>1667</v>
      </c>
      <c r="N88" t="s">
        <v>1667</v>
      </c>
    </row>
    <row r="89" spans="1:14">
      <c r="A89" t="s">
        <v>2358</v>
      </c>
      <c r="B89" t="s">
        <v>2359</v>
      </c>
      <c r="C89">
        <v>34.67</v>
      </c>
      <c r="D89">
        <v>34.68</v>
      </c>
      <c r="E89" s="178">
        <v>0.01</v>
      </c>
      <c r="F89" s="176">
        <v>0.03</v>
      </c>
      <c r="G89" t="s">
        <v>5813</v>
      </c>
      <c r="H89">
        <v>422</v>
      </c>
      <c r="I89">
        <v>536</v>
      </c>
      <c r="J89" t="s">
        <v>1667</v>
      </c>
      <c r="K89">
        <v>34.69</v>
      </c>
      <c r="L89">
        <v>34.590000000000003</v>
      </c>
      <c r="M89" s="175" t="s">
        <v>1667</v>
      </c>
      <c r="N89" t="s">
        <v>1667</v>
      </c>
    </row>
    <row r="90" spans="1:14">
      <c r="A90" t="s">
        <v>2360</v>
      </c>
      <c r="B90" t="s">
        <v>2361</v>
      </c>
      <c r="C90">
        <v>28.17</v>
      </c>
      <c r="D90">
        <v>28.16</v>
      </c>
      <c r="E90" s="178">
        <v>0.04</v>
      </c>
      <c r="F90" s="176">
        <v>0.14000000000000001</v>
      </c>
      <c r="G90" t="s">
        <v>5814</v>
      </c>
      <c r="H90">
        <v>1111</v>
      </c>
      <c r="I90">
        <v>1982</v>
      </c>
      <c r="J90" t="s">
        <v>1667</v>
      </c>
      <c r="K90">
        <v>28.24</v>
      </c>
      <c r="L90">
        <v>28.14</v>
      </c>
      <c r="M90" s="175" t="s">
        <v>1667</v>
      </c>
      <c r="N90" t="s">
        <v>1667</v>
      </c>
    </row>
    <row r="91" spans="1:14">
      <c r="A91" t="s">
        <v>2362</v>
      </c>
      <c r="B91" t="s">
        <v>2363</v>
      </c>
      <c r="C91">
        <v>35.24</v>
      </c>
      <c r="D91">
        <v>35.21</v>
      </c>
      <c r="E91" s="178">
        <v>-0.03</v>
      </c>
      <c r="F91" s="176">
        <v>-0.09</v>
      </c>
      <c r="G91" t="s">
        <v>5815</v>
      </c>
      <c r="H91">
        <v>670</v>
      </c>
      <c r="I91">
        <v>582</v>
      </c>
      <c r="J91" t="s">
        <v>1667</v>
      </c>
      <c r="K91">
        <v>35.25</v>
      </c>
      <c r="L91">
        <v>35.15</v>
      </c>
      <c r="M91" s="175" t="s">
        <v>1667</v>
      </c>
      <c r="N91" t="s">
        <v>1667</v>
      </c>
    </row>
    <row r="92" spans="1:14">
      <c r="A92">
        <v>700</v>
      </c>
      <c r="B92" t="s">
        <v>2364</v>
      </c>
      <c r="C92">
        <v>17.27</v>
      </c>
      <c r="D92">
        <v>17.34</v>
      </c>
      <c r="E92" s="178">
        <v>-0.05</v>
      </c>
      <c r="F92" s="176">
        <v>-0.28999999999999998</v>
      </c>
      <c r="G92" t="s">
        <v>5429</v>
      </c>
      <c r="H92">
        <v>196</v>
      </c>
      <c r="I92">
        <v>137</v>
      </c>
      <c r="J92" t="s">
        <v>1667</v>
      </c>
      <c r="K92">
        <v>17.350000000000001</v>
      </c>
      <c r="L92">
        <v>17.22</v>
      </c>
      <c r="M92" s="175" t="s">
        <v>1667</v>
      </c>
      <c r="N92" t="s">
        <v>1667</v>
      </c>
    </row>
    <row r="93" spans="1:14">
      <c r="A93">
        <v>701</v>
      </c>
      <c r="B93" t="s">
        <v>2365</v>
      </c>
      <c r="C93">
        <v>37.65</v>
      </c>
      <c r="D93">
        <v>38.72</v>
      </c>
      <c r="E93" s="178">
        <v>0.42</v>
      </c>
      <c r="F93" s="176">
        <v>1.1000000000000001</v>
      </c>
      <c r="G93" t="s">
        <v>5816</v>
      </c>
      <c r="H93">
        <v>1187</v>
      </c>
      <c r="I93">
        <v>458</v>
      </c>
      <c r="J93" t="s">
        <v>1667</v>
      </c>
      <c r="K93">
        <v>38.72</v>
      </c>
      <c r="L93">
        <v>37.65</v>
      </c>
      <c r="M93" s="175" t="s">
        <v>1667</v>
      </c>
      <c r="N93" t="s">
        <v>1667</v>
      </c>
    </row>
    <row r="94" spans="1:14">
      <c r="A94">
        <v>702</v>
      </c>
      <c r="B94" t="s">
        <v>2366</v>
      </c>
      <c r="C94">
        <v>25.04</v>
      </c>
      <c r="D94">
        <v>25.06</v>
      </c>
      <c r="E94" s="178">
        <v>0.02</v>
      </c>
      <c r="F94" s="176">
        <v>0.08</v>
      </c>
      <c r="G94" t="s">
        <v>5494</v>
      </c>
      <c r="H94">
        <v>109</v>
      </c>
      <c r="I94">
        <v>100</v>
      </c>
      <c r="J94" t="s">
        <v>1667</v>
      </c>
      <c r="K94">
        <v>25.07</v>
      </c>
      <c r="L94">
        <v>25.04</v>
      </c>
      <c r="M94" s="175" t="s">
        <v>1667</v>
      </c>
      <c r="N94" t="s">
        <v>1667</v>
      </c>
    </row>
    <row r="95" spans="1:14">
      <c r="A95">
        <v>703</v>
      </c>
      <c r="B95" t="s">
        <v>2367</v>
      </c>
      <c r="C95">
        <v>19.39</v>
      </c>
      <c r="D95">
        <v>19.48</v>
      </c>
      <c r="E95" s="178">
        <v>-0.09</v>
      </c>
      <c r="F95" s="176">
        <v>-0.46</v>
      </c>
      <c r="G95" t="s">
        <v>5817</v>
      </c>
      <c r="H95">
        <v>12</v>
      </c>
      <c r="I95">
        <v>45</v>
      </c>
      <c r="J95" t="s">
        <v>1667</v>
      </c>
      <c r="K95">
        <v>19.48</v>
      </c>
      <c r="L95">
        <v>19.39</v>
      </c>
      <c r="M95" s="175" t="s">
        <v>1667</v>
      </c>
      <c r="N95" t="s">
        <v>1667</v>
      </c>
    </row>
    <row r="96" spans="1:14">
      <c r="A96" t="s">
        <v>4695</v>
      </c>
      <c r="B96" t="s">
        <v>4696</v>
      </c>
      <c r="C96">
        <v>18.78</v>
      </c>
      <c r="D96">
        <v>18.809999999999999</v>
      </c>
      <c r="E96" s="178">
        <v>-7.0000000000000007E-2</v>
      </c>
      <c r="F96" s="176">
        <v>-0.37</v>
      </c>
      <c r="G96" t="s">
        <v>5818</v>
      </c>
      <c r="H96">
        <v>749</v>
      </c>
      <c r="I96">
        <v>447</v>
      </c>
      <c r="J96" t="s">
        <v>1667</v>
      </c>
      <c r="K96">
        <v>18.82</v>
      </c>
      <c r="L96">
        <v>18.760000000000002</v>
      </c>
      <c r="M96" s="175" t="s">
        <v>1667</v>
      </c>
      <c r="N96" t="s">
        <v>1667</v>
      </c>
    </row>
    <row r="97" spans="1:14">
      <c r="A97" t="s">
        <v>2368</v>
      </c>
      <c r="B97" t="s">
        <v>2369</v>
      </c>
      <c r="C97" t="s">
        <v>1667</v>
      </c>
      <c r="D97" t="s">
        <v>1667</v>
      </c>
      <c r="E97" s="178" t="s">
        <v>1667</v>
      </c>
      <c r="F97" s="176" t="s">
        <v>1667</v>
      </c>
      <c r="G97" t="s">
        <v>1667</v>
      </c>
      <c r="H97">
        <v>0</v>
      </c>
      <c r="I97">
        <v>0</v>
      </c>
      <c r="J97" t="s">
        <v>1667</v>
      </c>
      <c r="K97" t="s">
        <v>1667</v>
      </c>
      <c r="L97" t="s">
        <v>1667</v>
      </c>
      <c r="M97" s="175" t="s">
        <v>1667</v>
      </c>
      <c r="N97" t="s">
        <v>1667</v>
      </c>
    </row>
    <row r="98" spans="1:14">
      <c r="A98" t="s">
        <v>2370</v>
      </c>
      <c r="B98" t="s">
        <v>2371</v>
      </c>
      <c r="C98">
        <v>83.35</v>
      </c>
      <c r="D98">
        <v>82.7</v>
      </c>
      <c r="E98" s="178">
        <v>-5.45</v>
      </c>
      <c r="F98" s="176">
        <v>-6.18</v>
      </c>
      <c r="G98" t="s">
        <v>5205</v>
      </c>
      <c r="H98">
        <v>13116</v>
      </c>
      <c r="I98">
        <v>6882</v>
      </c>
      <c r="J98" t="s">
        <v>1667</v>
      </c>
      <c r="K98">
        <v>83.65</v>
      </c>
      <c r="L98">
        <v>81.2</v>
      </c>
      <c r="M98" s="175" t="s">
        <v>1667</v>
      </c>
      <c r="N98" t="s">
        <v>1667</v>
      </c>
    </row>
    <row r="99" spans="1:14">
      <c r="A99">
        <v>709</v>
      </c>
      <c r="B99" t="s">
        <v>2372</v>
      </c>
      <c r="C99">
        <v>40.79</v>
      </c>
      <c r="D99">
        <v>40.83</v>
      </c>
      <c r="E99" s="178">
        <v>0</v>
      </c>
      <c r="F99" s="176">
        <v>0</v>
      </c>
      <c r="G99" t="s">
        <v>5655</v>
      </c>
      <c r="H99">
        <v>63</v>
      </c>
      <c r="I99">
        <v>57</v>
      </c>
      <c r="J99" t="s">
        <v>1667</v>
      </c>
      <c r="K99">
        <v>40.83</v>
      </c>
      <c r="L99">
        <v>40.56</v>
      </c>
      <c r="M99" s="175" t="s">
        <v>1667</v>
      </c>
      <c r="N99" t="s">
        <v>1667</v>
      </c>
    </row>
    <row r="100" spans="1:14">
      <c r="A100" t="s">
        <v>2373</v>
      </c>
      <c r="B100" t="s">
        <v>2575</v>
      </c>
      <c r="C100">
        <v>19.059999999999999</v>
      </c>
      <c r="D100">
        <v>19.059999999999999</v>
      </c>
      <c r="E100" s="178">
        <v>0.01</v>
      </c>
      <c r="F100" s="176">
        <v>0.05</v>
      </c>
      <c r="G100" t="s">
        <v>5819</v>
      </c>
      <c r="H100">
        <v>220</v>
      </c>
      <c r="I100">
        <v>195</v>
      </c>
      <c r="J100" t="s">
        <v>1667</v>
      </c>
      <c r="K100">
        <v>19.07</v>
      </c>
      <c r="L100">
        <v>19.05</v>
      </c>
      <c r="M100" s="175" t="s">
        <v>1667</v>
      </c>
      <c r="N100" t="s">
        <v>1667</v>
      </c>
    </row>
    <row r="101" spans="1:14">
      <c r="A101" t="s">
        <v>2374</v>
      </c>
      <c r="B101" t="s">
        <v>2576</v>
      </c>
      <c r="C101">
        <v>15.58</v>
      </c>
      <c r="D101">
        <v>15.62</v>
      </c>
      <c r="E101" s="178">
        <v>0.05</v>
      </c>
      <c r="F101" s="176">
        <v>0.32</v>
      </c>
      <c r="G101" t="s">
        <v>5162</v>
      </c>
      <c r="H101">
        <v>106</v>
      </c>
      <c r="I101">
        <v>110</v>
      </c>
      <c r="J101" t="s">
        <v>1667</v>
      </c>
      <c r="K101">
        <v>15.62</v>
      </c>
      <c r="L101">
        <v>15.58</v>
      </c>
      <c r="M101" s="175" t="s">
        <v>1667</v>
      </c>
      <c r="N101" t="s">
        <v>1667</v>
      </c>
    </row>
    <row r="102" spans="1:14">
      <c r="A102">
        <v>712</v>
      </c>
      <c r="B102" t="s">
        <v>2577</v>
      </c>
      <c r="C102">
        <v>8.73</v>
      </c>
      <c r="D102">
        <v>8.7200000000000006</v>
      </c>
      <c r="E102" s="178">
        <v>-0.01</v>
      </c>
      <c r="F102" s="176">
        <v>-0.11</v>
      </c>
      <c r="G102" t="s">
        <v>5820</v>
      </c>
      <c r="H102">
        <v>30597</v>
      </c>
      <c r="I102">
        <v>28239</v>
      </c>
      <c r="J102" t="s">
        <v>1667</v>
      </c>
      <c r="K102">
        <v>8.73</v>
      </c>
      <c r="L102">
        <v>8.69</v>
      </c>
      <c r="M102" s="175" t="s">
        <v>1667</v>
      </c>
      <c r="N102" t="s">
        <v>1667</v>
      </c>
    </row>
    <row r="103" spans="1:14">
      <c r="A103">
        <v>713</v>
      </c>
      <c r="B103" t="s">
        <v>2375</v>
      </c>
      <c r="C103">
        <v>61.35</v>
      </c>
      <c r="D103">
        <v>61.9</v>
      </c>
      <c r="E103" s="178">
        <v>0.35</v>
      </c>
      <c r="F103" s="176">
        <v>0.56999999999999995</v>
      </c>
      <c r="G103" t="s">
        <v>5750</v>
      </c>
      <c r="H103">
        <v>2893</v>
      </c>
      <c r="I103">
        <v>5430</v>
      </c>
      <c r="J103" t="s">
        <v>1667</v>
      </c>
      <c r="K103">
        <v>61.9</v>
      </c>
      <c r="L103">
        <v>61.35</v>
      </c>
      <c r="M103" s="175" t="s">
        <v>1667</v>
      </c>
      <c r="N103" t="s">
        <v>1667</v>
      </c>
    </row>
    <row r="104" spans="1:14">
      <c r="A104">
        <v>714</v>
      </c>
      <c r="B104" t="s">
        <v>2376</v>
      </c>
      <c r="C104">
        <v>21.8</v>
      </c>
      <c r="D104">
        <v>21.77</v>
      </c>
      <c r="E104" s="178">
        <v>-0.12</v>
      </c>
      <c r="F104" s="176">
        <v>-0.55000000000000004</v>
      </c>
      <c r="G104" t="s">
        <v>5721</v>
      </c>
      <c r="H104">
        <v>107</v>
      </c>
      <c r="I104">
        <v>177</v>
      </c>
      <c r="J104" t="s">
        <v>1667</v>
      </c>
      <c r="K104">
        <v>21.8</v>
      </c>
      <c r="L104">
        <v>21.76</v>
      </c>
      <c r="M104" s="175" t="s">
        <v>1667</v>
      </c>
      <c r="N104" t="s">
        <v>1667</v>
      </c>
    </row>
    <row r="105" spans="1:14">
      <c r="A105" t="s">
        <v>4752</v>
      </c>
      <c r="B105" t="s">
        <v>4753</v>
      </c>
      <c r="C105">
        <v>50.35</v>
      </c>
      <c r="D105">
        <v>51.7</v>
      </c>
      <c r="E105" s="178">
        <v>2.94</v>
      </c>
      <c r="F105" s="176">
        <v>6.03</v>
      </c>
      <c r="G105" t="s">
        <v>5821</v>
      </c>
      <c r="H105">
        <v>6027</v>
      </c>
      <c r="I105">
        <v>6387</v>
      </c>
      <c r="J105" t="s">
        <v>1667</v>
      </c>
      <c r="K105">
        <v>51.7</v>
      </c>
      <c r="L105">
        <v>50.35</v>
      </c>
      <c r="M105" s="175" t="s">
        <v>1667</v>
      </c>
      <c r="N105" t="s">
        <v>1667</v>
      </c>
    </row>
    <row r="106" spans="1:14">
      <c r="A106">
        <v>717</v>
      </c>
      <c r="B106" t="s">
        <v>2377</v>
      </c>
      <c r="C106">
        <v>14.7</v>
      </c>
      <c r="D106">
        <v>14.73</v>
      </c>
      <c r="E106" s="178">
        <v>-0.03</v>
      </c>
      <c r="F106" s="176">
        <v>-0.2</v>
      </c>
      <c r="G106" t="s">
        <v>5624</v>
      </c>
      <c r="H106">
        <v>26</v>
      </c>
      <c r="I106">
        <v>80</v>
      </c>
      <c r="J106" t="s">
        <v>1667</v>
      </c>
      <c r="K106">
        <v>14.76</v>
      </c>
      <c r="L106">
        <v>14.7</v>
      </c>
      <c r="M106" s="175" t="s">
        <v>1667</v>
      </c>
      <c r="N106" t="s">
        <v>1667</v>
      </c>
    </row>
    <row r="107" spans="1:14">
      <c r="A107" t="s">
        <v>2378</v>
      </c>
      <c r="B107" t="s">
        <v>2379</v>
      </c>
      <c r="C107">
        <v>30.97</v>
      </c>
      <c r="D107">
        <v>30.99</v>
      </c>
      <c r="E107" s="178">
        <v>0.02</v>
      </c>
      <c r="F107" s="176">
        <v>0.06</v>
      </c>
      <c r="G107" t="s">
        <v>5822</v>
      </c>
      <c r="H107">
        <v>1356</v>
      </c>
      <c r="I107">
        <v>1820</v>
      </c>
      <c r="J107" t="s">
        <v>1667</v>
      </c>
      <c r="K107">
        <v>31.01</v>
      </c>
      <c r="L107">
        <v>30.93</v>
      </c>
      <c r="M107" s="175" t="s">
        <v>1667</v>
      </c>
      <c r="N107" t="s">
        <v>1667</v>
      </c>
    </row>
    <row r="108" spans="1:14">
      <c r="A108" t="s">
        <v>2380</v>
      </c>
      <c r="B108" t="s">
        <v>2381</v>
      </c>
      <c r="C108">
        <v>31.99</v>
      </c>
      <c r="D108">
        <v>31.96</v>
      </c>
      <c r="E108" s="178">
        <v>0.03</v>
      </c>
      <c r="F108" s="176">
        <v>0.09</v>
      </c>
      <c r="G108" t="s">
        <v>5392</v>
      </c>
      <c r="H108">
        <v>4513</v>
      </c>
      <c r="I108">
        <v>3846</v>
      </c>
      <c r="J108" t="s">
        <v>1667</v>
      </c>
      <c r="K108">
        <v>32.020000000000003</v>
      </c>
      <c r="L108">
        <v>31.93</v>
      </c>
      <c r="M108" s="175" t="s">
        <v>1667</v>
      </c>
      <c r="N108" t="s">
        <v>1667</v>
      </c>
    </row>
    <row r="109" spans="1:14">
      <c r="A109" t="s">
        <v>2382</v>
      </c>
      <c r="B109" t="s">
        <v>2578</v>
      </c>
      <c r="C109">
        <v>34.35</v>
      </c>
      <c r="D109">
        <v>34.35</v>
      </c>
      <c r="E109" s="178">
        <v>0.04</v>
      </c>
      <c r="F109" s="176">
        <v>0.12</v>
      </c>
      <c r="G109" t="s">
        <v>5823</v>
      </c>
      <c r="H109">
        <v>2130</v>
      </c>
      <c r="I109">
        <v>4810</v>
      </c>
      <c r="J109" t="s">
        <v>1667</v>
      </c>
      <c r="K109">
        <v>34.4</v>
      </c>
      <c r="L109">
        <v>34.32</v>
      </c>
      <c r="M109" s="175" t="s">
        <v>1667</v>
      </c>
      <c r="N109" t="s">
        <v>1667</v>
      </c>
    </row>
    <row r="110" spans="1:14">
      <c r="A110" t="s">
        <v>2383</v>
      </c>
      <c r="B110" t="s">
        <v>2579</v>
      </c>
      <c r="C110">
        <v>29.42</v>
      </c>
      <c r="D110">
        <v>29.45</v>
      </c>
      <c r="E110" s="178">
        <v>0.11</v>
      </c>
      <c r="F110" s="176">
        <v>0.37</v>
      </c>
      <c r="G110" t="s">
        <v>5732</v>
      </c>
      <c r="H110">
        <v>159</v>
      </c>
      <c r="I110">
        <v>219</v>
      </c>
      <c r="J110" t="s">
        <v>1667</v>
      </c>
      <c r="K110">
        <v>29.49</v>
      </c>
      <c r="L110">
        <v>29.41</v>
      </c>
      <c r="M110" s="175" t="s">
        <v>1667</v>
      </c>
      <c r="N110" t="s">
        <v>1667</v>
      </c>
    </row>
    <row r="111" spans="1:14">
      <c r="A111" t="s">
        <v>2384</v>
      </c>
      <c r="B111" t="s">
        <v>2580</v>
      </c>
      <c r="C111">
        <v>32.82</v>
      </c>
      <c r="D111">
        <v>32.81</v>
      </c>
      <c r="E111" s="178">
        <v>0</v>
      </c>
      <c r="F111" s="176">
        <v>0</v>
      </c>
      <c r="G111" t="s">
        <v>5355</v>
      </c>
      <c r="H111">
        <v>4159</v>
      </c>
      <c r="I111">
        <v>3996</v>
      </c>
      <c r="J111" t="s">
        <v>1667</v>
      </c>
      <c r="K111">
        <v>32.89</v>
      </c>
      <c r="L111">
        <v>32.770000000000003</v>
      </c>
      <c r="M111" s="175" t="s">
        <v>1667</v>
      </c>
      <c r="N111" t="s">
        <v>1667</v>
      </c>
    </row>
    <row r="112" spans="1:14">
      <c r="A112" t="s">
        <v>2385</v>
      </c>
      <c r="B112" t="s">
        <v>2386</v>
      </c>
      <c r="C112">
        <v>34.049999999999997</v>
      </c>
      <c r="D112">
        <v>34.01</v>
      </c>
      <c r="E112" s="178">
        <v>0.01</v>
      </c>
      <c r="F112" s="176">
        <v>0.03</v>
      </c>
      <c r="G112" t="s">
        <v>5824</v>
      </c>
      <c r="H112">
        <v>2541</v>
      </c>
      <c r="I112">
        <v>2604</v>
      </c>
      <c r="J112" t="s">
        <v>1667</v>
      </c>
      <c r="K112">
        <v>34.06</v>
      </c>
      <c r="L112">
        <v>33.96</v>
      </c>
      <c r="M112" s="175" t="s">
        <v>1667</v>
      </c>
      <c r="N112" t="s">
        <v>1667</v>
      </c>
    </row>
    <row r="113" spans="1:14">
      <c r="A113" t="s">
        <v>2387</v>
      </c>
      <c r="B113" t="s">
        <v>4052</v>
      </c>
      <c r="C113">
        <v>32.159999999999997</v>
      </c>
      <c r="D113">
        <v>32.18</v>
      </c>
      <c r="E113" s="178">
        <v>0.04</v>
      </c>
      <c r="F113" s="176">
        <v>0.12</v>
      </c>
      <c r="G113" t="s">
        <v>5245</v>
      </c>
      <c r="H113">
        <v>160</v>
      </c>
      <c r="I113">
        <v>135</v>
      </c>
      <c r="J113" t="s">
        <v>1667</v>
      </c>
      <c r="K113">
        <v>32.26</v>
      </c>
      <c r="L113">
        <v>32.15</v>
      </c>
      <c r="M113" s="175" t="s">
        <v>1667</v>
      </c>
      <c r="N113" t="s">
        <v>1667</v>
      </c>
    </row>
    <row r="114" spans="1:14">
      <c r="A114" t="s">
        <v>2388</v>
      </c>
      <c r="B114" t="s">
        <v>4053</v>
      </c>
      <c r="C114">
        <v>39.130000000000003</v>
      </c>
      <c r="D114">
        <v>39.159999999999997</v>
      </c>
      <c r="E114" s="178">
        <v>7.0000000000000007E-2</v>
      </c>
      <c r="F114" s="176">
        <v>0.18</v>
      </c>
      <c r="G114" t="s">
        <v>5265</v>
      </c>
      <c r="H114">
        <v>119</v>
      </c>
      <c r="I114">
        <v>151</v>
      </c>
      <c r="J114" t="s">
        <v>1667</v>
      </c>
      <c r="K114">
        <v>39.159999999999997</v>
      </c>
      <c r="L114">
        <v>39.130000000000003</v>
      </c>
      <c r="M114" s="175" t="s">
        <v>1667</v>
      </c>
      <c r="N114" t="s">
        <v>1667</v>
      </c>
    </row>
    <row r="115" spans="1:14">
      <c r="A115">
        <v>728</v>
      </c>
      <c r="B115" t="s">
        <v>2389</v>
      </c>
      <c r="C115">
        <v>69.150000000000006</v>
      </c>
      <c r="D115">
        <v>69.099999999999994</v>
      </c>
      <c r="E115" s="178">
        <v>-0.1</v>
      </c>
      <c r="F115" s="176">
        <v>-0.14000000000000001</v>
      </c>
      <c r="G115" t="s">
        <v>5825</v>
      </c>
      <c r="H115">
        <v>1237</v>
      </c>
      <c r="I115">
        <v>484</v>
      </c>
      <c r="J115" t="s">
        <v>1667</v>
      </c>
      <c r="K115">
        <v>69.150000000000006</v>
      </c>
      <c r="L115">
        <v>67.849999999999994</v>
      </c>
      <c r="M115" s="175" t="s">
        <v>1667</v>
      </c>
      <c r="N115" t="s">
        <v>1667</v>
      </c>
    </row>
    <row r="116" spans="1:14">
      <c r="A116">
        <v>730</v>
      </c>
      <c r="B116" t="s">
        <v>2390</v>
      </c>
      <c r="C116">
        <v>28.7</v>
      </c>
      <c r="D116">
        <v>28.91</v>
      </c>
      <c r="E116" s="178">
        <v>-0.02</v>
      </c>
      <c r="F116" s="176">
        <v>-7.0000000000000007E-2</v>
      </c>
      <c r="G116" t="s">
        <v>5296</v>
      </c>
      <c r="H116">
        <v>134</v>
      </c>
      <c r="I116">
        <v>66</v>
      </c>
      <c r="J116" t="s">
        <v>1667</v>
      </c>
      <c r="K116">
        <v>28.91</v>
      </c>
      <c r="L116">
        <v>28.65</v>
      </c>
      <c r="M116" s="175" t="s">
        <v>1667</v>
      </c>
      <c r="N116" t="s">
        <v>1667</v>
      </c>
    </row>
    <row r="117" spans="1:14">
      <c r="A117">
        <v>731</v>
      </c>
      <c r="B117" t="s">
        <v>2581</v>
      </c>
      <c r="C117">
        <v>93.95</v>
      </c>
      <c r="D117">
        <v>95.25</v>
      </c>
      <c r="E117" s="178">
        <v>1.3</v>
      </c>
      <c r="F117" s="176">
        <v>1.38</v>
      </c>
      <c r="G117" t="s">
        <v>5826</v>
      </c>
      <c r="H117">
        <v>627</v>
      </c>
      <c r="I117">
        <v>659</v>
      </c>
      <c r="J117" t="s">
        <v>1667</v>
      </c>
      <c r="K117">
        <v>95.3</v>
      </c>
      <c r="L117">
        <v>93.95</v>
      </c>
      <c r="M117" s="175" t="s">
        <v>1667</v>
      </c>
      <c r="N117" t="s">
        <v>1667</v>
      </c>
    </row>
    <row r="118" spans="1:14">
      <c r="A118">
        <v>733</v>
      </c>
      <c r="B118" t="s">
        <v>2391</v>
      </c>
      <c r="C118">
        <v>68</v>
      </c>
      <c r="D118">
        <v>66.849999999999994</v>
      </c>
      <c r="E118" s="178">
        <v>-1.9</v>
      </c>
      <c r="F118" s="176">
        <v>-2.76</v>
      </c>
      <c r="G118" t="s">
        <v>5827</v>
      </c>
      <c r="H118">
        <v>176</v>
      </c>
      <c r="I118">
        <v>236</v>
      </c>
      <c r="J118" t="s">
        <v>1667</v>
      </c>
      <c r="K118">
        <v>68.45</v>
      </c>
      <c r="L118">
        <v>66</v>
      </c>
      <c r="M118" s="175" t="s">
        <v>1667</v>
      </c>
      <c r="N118" t="s">
        <v>1667</v>
      </c>
    </row>
    <row r="119" spans="1:14">
      <c r="A119" t="s">
        <v>2392</v>
      </c>
      <c r="B119" t="s">
        <v>2393</v>
      </c>
      <c r="C119">
        <v>15.45</v>
      </c>
      <c r="D119">
        <v>15.45</v>
      </c>
      <c r="E119" s="178">
        <v>0.03</v>
      </c>
      <c r="F119" s="176">
        <v>0.19</v>
      </c>
      <c r="G119" t="s">
        <v>5343</v>
      </c>
      <c r="H119">
        <v>100</v>
      </c>
      <c r="I119">
        <v>150</v>
      </c>
      <c r="J119" t="s">
        <v>1667</v>
      </c>
      <c r="K119">
        <v>15.45</v>
      </c>
      <c r="L119">
        <v>15.45</v>
      </c>
      <c r="M119" s="175" t="s">
        <v>1667</v>
      </c>
      <c r="N119" t="s">
        <v>1667</v>
      </c>
    </row>
    <row r="120" spans="1:14">
      <c r="A120">
        <v>735</v>
      </c>
      <c r="B120" t="s">
        <v>2394</v>
      </c>
      <c r="C120">
        <v>101.8</v>
      </c>
      <c r="D120">
        <v>102.7</v>
      </c>
      <c r="E120" s="178">
        <v>-0.7</v>
      </c>
      <c r="F120" s="176">
        <v>-0.68</v>
      </c>
      <c r="G120" t="s">
        <v>5290</v>
      </c>
      <c r="H120">
        <v>1738</v>
      </c>
      <c r="I120">
        <v>1765</v>
      </c>
      <c r="J120" t="s">
        <v>1667</v>
      </c>
      <c r="K120">
        <v>102.75</v>
      </c>
      <c r="L120">
        <v>100.7</v>
      </c>
      <c r="M120" s="175" t="s">
        <v>1667</v>
      </c>
      <c r="N120" t="s">
        <v>1667</v>
      </c>
    </row>
    <row r="121" spans="1:14">
      <c r="A121">
        <v>736</v>
      </c>
      <c r="B121" t="s">
        <v>2395</v>
      </c>
      <c r="C121">
        <v>31.55</v>
      </c>
      <c r="D121">
        <v>31.66</v>
      </c>
      <c r="E121" s="178">
        <v>-0.17</v>
      </c>
      <c r="F121" s="176">
        <v>-0.53</v>
      </c>
      <c r="G121" t="s">
        <v>5828</v>
      </c>
      <c r="H121">
        <v>106</v>
      </c>
      <c r="I121">
        <v>86</v>
      </c>
      <c r="J121" t="s">
        <v>1667</v>
      </c>
      <c r="K121">
        <v>31.66</v>
      </c>
      <c r="L121">
        <v>31.49</v>
      </c>
      <c r="M121" s="175" t="s">
        <v>1667</v>
      </c>
      <c r="N121" t="s">
        <v>1667</v>
      </c>
    </row>
    <row r="122" spans="1:14">
      <c r="A122">
        <v>737</v>
      </c>
      <c r="B122" t="s">
        <v>4463</v>
      </c>
      <c r="C122">
        <v>41.3</v>
      </c>
      <c r="D122">
        <v>41.18</v>
      </c>
      <c r="E122" s="178">
        <v>-0.15</v>
      </c>
      <c r="F122" s="176">
        <v>-0.36</v>
      </c>
      <c r="G122" t="s">
        <v>5275</v>
      </c>
      <c r="H122">
        <v>78</v>
      </c>
      <c r="I122">
        <v>158</v>
      </c>
      <c r="J122" t="s">
        <v>1667</v>
      </c>
      <c r="K122">
        <v>41.3</v>
      </c>
      <c r="L122">
        <v>40.92</v>
      </c>
      <c r="M122" s="175" t="s">
        <v>1667</v>
      </c>
      <c r="N122" t="s">
        <v>1667</v>
      </c>
    </row>
    <row r="123" spans="1:14">
      <c r="A123" t="s">
        <v>2396</v>
      </c>
      <c r="B123" t="s">
        <v>2397</v>
      </c>
      <c r="C123">
        <v>52.95</v>
      </c>
      <c r="D123">
        <v>53.1</v>
      </c>
      <c r="E123" s="178">
        <v>-1.65</v>
      </c>
      <c r="F123" s="176">
        <v>-3.01</v>
      </c>
      <c r="G123" t="s">
        <v>5709</v>
      </c>
      <c r="H123">
        <v>5915</v>
      </c>
      <c r="I123">
        <v>4207</v>
      </c>
      <c r="J123" t="s">
        <v>1667</v>
      </c>
      <c r="K123">
        <v>53.15</v>
      </c>
      <c r="L123">
        <v>52.3</v>
      </c>
      <c r="M123" s="175" t="s">
        <v>1667</v>
      </c>
      <c r="N123" t="s">
        <v>1667</v>
      </c>
    </row>
    <row r="124" spans="1:14">
      <c r="A124">
        <v>739</v>
      </c>
      <c r="B124" t="s">
        <v>2398</v>
      </c>
      <c r="C124">
        <v>27.51</v>
      </c>
      <c r="D124">
        <v>27.81</v>
      </c>
      <c r="E124" s="178">
        <v>-0.12</v>
      </c>
      <c r="F124" s="176">
        <v>-0.43</v>
      </c>
      <c r="G124" t="s">
        <v>5530</v>
      </c>
      <c r="H124">
        <v>11</v>
      </c>
      <c r="I124">
        <v>36</v>
      </c>
      <c r="J124" t="s">
        <v>1667</v>
      </c>
      <c r="K124">
        <v>27.81</v>
      </c>
      <c r="L124">
        <v>27.51</v>
      </c>
      <c r="M124" s="175" t="s">
        <v>1667</v>
      </c>
      <c r="N124" t="s">
        <v>1667</v>
      </c>
    </row>
    <row r="125" spans="1:14">
      <c r="A125" t="s">
        <v>2399</v>
      </c>
      <c r="B125" t="s">
        <v>2400</v>
      </c>
      <c r="C125">
        <v>37.369999999999997</v>
      </c>
      <c r="D125">
        <v>37.409999999999997</v>
      </c>
      <c r="E125" s="178">
        <v>0.04</v>
      </c>
      <c r="F125" s="176">
        <v>0.11</v>
      </c>
      <c r="G125" t="s">
        <v>5829</v>
      </c>
      <c r="H125">
        <v>1445</v>
      </c>
      <c r="I125">
        <v>1425</v>
      </c>
      <c r="J125" t="s">
        <v>1667</v>
      </c>
      <c r="K125">
        <v>37.44</v>
      </c>
      <c r="L125">
        <v>37.32</v>
      </c>
      <c r="M125" s="175" t="s">
        <v>1667</v>
      </c>
      <c r="N125" t="s">
        <v>1667</v>
      </c>
    </row>
    <row r="126" spans="1:14">
      <c r="A126" t="s">
        <v>2401</v>
      </c>
      <c r="B126" t="s">
        <v>2402</v>
      </c>
      <c r="C126">
        <v>36.93</v>
      </c>
      <c r="D126">
        <v>37.11</v>
      </c>
      <c r="E126" s="178">
        <v>0.01</v>
      </c>
      <c r="F126" s="176">
        <v>0.03</v>
      </c>
      <c r="G126" t="s">
        <v>5830</v>
      </c>
      <c r="H126">
        <v>121</v>
      </c>
      <c r="I126">
        <v>103</v>
      </c>
      <c r="J126" t="s">
        <v>1667</v>
      </c>
      <c r="K126">
        <v>37.119999999999997</v>
      </c>
      <c r="L126">
        <v>36.93</v>
      </c>
      <c r="M126" s="175" t="s">
        <v>1667</v>
      </c>
      <c r="N126" t="s">
        <v>1667</v>
      </c>
    </row>
    <row r="127" spans="1:14">
      <c r="A127" t="s">
        <v>2403</v>
      </c>
      <c r="B127" t="s">
        <v>2404</v>
      </c>
      <c r="C127">
        <v>34.5</v>
      </c>
      <c r="D127">
        <v>34.47</v>
      </c>
      <c r="E127" s="178">
        <v>0</v>
      </c>
      <c r="F127" s="176">
        <v>0</v>
      </c>
      <c r="G127" t="s">
        <v>5831</v>
      </c>
      <c r="H127">
        <v>609</v>
      </c>
      <c r="I127">
        <v>168</v>
      </c>
      <c r="J127" t="s">
        <v>1667</v>
      </c>
      <c r="K127">
        <v>34.5</v>
      </c>
      <c r="L127">
        <v>34.46</v>
      </c>
      <c r="M127" s="175" t="s">
        <v>1667</v>
      </c>
      <c r="N127" t="s">
        <v>1667</v>
      </c>
    </row>
    <row r="128" spans="1:14">
      <c r="A128" t="s">
        <v>2405</v>
      </c>
      <c r="B128" t="s">
        <v>2406</v>
      </c>
      <c r="C128">
        <v>30.87</v>
      </c>
      <c r="D128">
        <v>30.87</v>
      </c>
      <c r="E128" s="178">
        <v>0.09</v>
      </c>
      <c r="F128" s="176">
        <v>0.28999999999999998</v>
      </c>
      <c r="G128" t="s">
        <v>5832</v>
      </c>
      <c r="H128">
        <v>100</v>
      </c>
      <c r="I128">
        <v>130</v>
      </c>
      <c r="J128" t="s">
        <v>1667</v>
      </c>
      <c r="K128">
        <v>30.87</v>
      </c>
      <c r="L128">
        <v>30.87</v>
      </c>
      <c r="M128" s="175" t="s">
        <v>1667</v>
      </c>
      <c r="N128" t="s">
        <v>1667</v>
      </c>
    </row>
    <row r="129" spans="1:14">
      <c r="A129" t="s">
        <v>2407</v>
      </c>
      <c r="B129" t="s">
        <v>2408</v>
      </c>
      <c r="C129">
        <v>31.75</v>
      </c>
      <c r="D129">
        <v>31.75</v>
      </c>
      <c r="E129" s="178">
        <v>0</v>
      </c>
      <c r="F129" s="176">
        <v>0</v>
      </c>
      <c r="G129" t="s">
        <v>5410</v>
      </c>
      <c r="H129">
        <v>100</v>
      </c>
      <c r="I129">
        <v>115</v>
      </c>
      <c r="J129" t="s">
        <v>1667</v>
      </c>
      <c r="K129">
        <v>31.75</v>
      </c>
      <c r="L129">
        <v>31.75</v>
      </c>
      <c r="M129" s="175" t="s">
        <v>1667</v>
      </c>
      <c r="N129" t="s">
        <v>1667</v>
      </c>
    </row>
    <row r="130" spans="1:14">
      <c r="A130" t="s">
        <v>2409</v>
      </c>
      <c r="B130" t="s">
        <v>2410</v>
      </c>
      <c r="C130">
        <v>30.5</v>
      </c>
      <c r="D130">
        <v>30.5</v>
      </c>
      <c r="E130" s="178">
        <v>0.03</v>
      </c>
      <c r="F130" s="176">
        <v>0.1</v>
      </c>
      <c r="G130" t="s">
        <v>5404</v>
      </c>
      <c r="H130">
        <v>4026</v>
      </c>
      <c r="I130">
        <v>5023</v>
      </c>
      <c r="J130" t="s">
        <v>1667</v>
      </c>
      <c r="K130">
        <v>30.56</v>
      </c>
      <c r="L130">
        <v>30.44</v>
      </c>
      <c r="M130" s="175" t="s">
        <v>1667</v>
      </c>
      <c r="N130" t="s">
        <v>1667</v>
      </c>
    </row>
    <row r="131" spans="1:14">
      <c r="A131">
        <v>752</v>
      </c>
      <c r="B131" t="s">
        <v>2411</v>
      </c>
      <c r="C131">
        <v>23.11</v>
      </c>
      <c r="D131">
        <v>23.12</v>
      </c>
      <c r="E131" s="178">
        <v>-0.09</v>
      </c>
      <c r="F131" s="176">
        <v>-0.39</v>
      </c>
      <c r="G131" t="s">
        <v>5833</v>
      </c>
      <c r="H131">
        <v>510</v>
      </c>
      <c r="I131">
        <v>700</v>
      </c>
      <c r="J131" t="s">
        <v>1667</v>
      </c>
      <c r="K131">
        <v>23.17</v>
      </c>
      <c r="L131">
        <v>22.96</v>
      </c>
      <c r="M131" s="175" t="s">
        <v>1667</v>
      </c>
      <c r="N131" t="s">
        <v>1667</v>
      </c>
    </row>
    <row r="132" spans="1:14">
      <c r="A132" t="s">
        <v>2412</v>
      </c>
      <c r="B132" t="s">
        <v>2413</v>
      </c>
      <c r="C132">
        <v>9.5399999999999991</v>
      </c>
      <c r="D132">
        <v>9.48</v>
      </c>
      <c r="E132" s="178">
        <v>-0.1</v>
      </c>
      <c r="F132" s="176">
        <v>-1.04</v>
      </c>
      <c r="G132" t="s">
        <v>5834</v>
      </c>
      <c r="H132">
        <v>5378</v>
      </c>
      <c r="I132">
        <v>7343</v>
      </c>
      <c r="J132" t="s">
        <v>1667</v>
      </c>
      <c r="K132">
        <v>9.58</v>
      </c>
      <c r="L132">
        <v>9.35</v>
      </c>
      <c r="M132" s="175" t="s">
        <v>1667</v>
      </c>
      <c r="N132" t="s">
        <v>1667</v>
      </c>
    </row>
    <row r="133" spans="1:14">
      <c r="A133" t="s">
        <v>2414</v>
      </c>
      <c r="B133" t="s">
        <v>2415</v>
      </c>
      <c r="C133">
        <v>31.46</v>
      </c>
      <c r="D133">
        <v>31.47</v>
      </c>
      <c r="E133" s="178">
        <v>0.05</v>
      </c>
      <c r="F133" s="176">
        <v>0.16</v>
      </c>
      <c r="G133" t="s">
        <v>5652</v>
      </c>
      <c r="H133">
        <v>104</v>
      </c>
      <c r="I133">
        <v>116</v>
      </c>
      <c r="J133" t="s">
        <v>1667</v>
      </c>
      <c r="K133">
        <v>31.47</v>
      </c>
      <c r="L133">
        <v>31.45</v>
      </c>
      <c r="M133" s="175" t="s">
        <v>1667</v>
      </c>
      <c r="N133" t="s">
        <v>1667</v>
      </c>
    </row>
    <row r="134" spans="1:14">
      <c r="A134" t="s">
        <v>2416</v>
      </c>
      <c r="B134" t="s">
        <v>2582</v>
      </c>
      <c r="C134">
        <v>31.7</v>
      </c>
      <c r="D134">
        <v>31.68</v>
      </c>
      <c r="E134" s="178">
        <v>0.06</v>
      </c>
      <c r="F134" s="176">
        <v>0.19</v>
      </c>
      <c r="G134" t="s">
        <v>5534</v>
      </c>
      <c r="H134">
        <v>105</v>
      </c>
      <c r="I134">
        <v>137</v>
      </c>
      <c r="J134" t="s">
        <v>1667</v>
      </c>
      <c r="K134">
        <v>31.7</v>
      </c>
      <c r="L134">
        <v>31.68</v>
      </c>
      <c r="M134" s="175" t="s">
        <v>1667</v>
      </c>
      <c r="N134" t="s">
        <v>1667</v>
      </c>
    </row>
    <row r="135" spans="1:14">
      <c r="A135" t="s">
        <v>2417</v>
      </c>
      <c r="B135" t="s">
        <v>2583</v>
      </c>
      <c r="C135">
        <v>30.5</v>
      </c>
      <c r="D135">
        <v>30.46</v>
      </c>
      <c r="E135" s="178">
        <v>0.06</v>
      </c>
      <c r="F135" s="176">
        <v>0.2</v>
      </c>
      <c r="G135" t="s">
        <v>5835</v>
      </c>
      <c r="H135">
        <v>314</v>
      </c>
      <c r="I135">
        <v>144</v>
      </c>
      <c r="J135" t="s">
        <v>1667</v>
      </c>
      <c r="K135">
        <v>30.51</v>
      </c>
      <c r="L135">
        <v>30.45</v>
      </c>
      <c r="M135" s="175" t="s">
        <v>1667</v>
      </c>
      <c r="N135" t="s">
        <v>1667</v>
      </c>
    </row>
    <row r="136" spans="1:14">
      <c r="A136">
        <v>757</v>
      </c>
      <c r="B136" t="s">
        <v>2418</v>
      </c>
      <c r="C136">
        <v>139.35</v>
      </c>
      <c r="D136">
        <v>140</v>
      </c>
      <c r="E136" s="178">
        <v>1.3</v>
      </c>
      <c r="F136" s="176">
        <v>0.94</v>
      </c>
      <c r="G136" t="s">
        <v>5836</v>
      </c>
      <c r="H136">
        <v>517</v>
      </c>
      <c r="I136">
        <v>829</v>
      </c>
      <c r="J136" t="s">
        <v>1667</v>
      </c>
      <c r="K136">
        <v>140</v>
      </c>
      <c r="L136">
        <v>138.9</v>
      </c>
      <c r="M136" s="175" t="s">
        <v>1667</v>
      </c>
      <c r="N136" t="s">
        <v>1667</v>
      </c>
    </row>
    <row r="137" spans="1:14">
      <c r="A137" t="s">
        <v>2419</v>
      </c>
      <c r="B137" t="s">
        <v>2584</v>
      </c>
      <c r="C137">
        <v>50.1</v>
      </c>
      <c r="D137">
        <v>50.1</v>
      </c>
      <c r="E137" s="178">
        <v>-0.05</v>
      </c>
      <c r="F137" s="176">
        <v>-0.1</v>
      </c>
      <c r="G137" t="s">
        <v>5471</v>
      </c>
      <c r="H137">
        <v>100</v>
      </c>
      <c r="I137">
        <v>100</v>
      </c>
      <c r="J137" t="s">
        <v>1667</v>
      </c>
      <c r="K137">
        <v>50.1</v>
      </c>
      <c r="L137">
        <v>50.1</v>
      </c>
      <c r="M137" s="175" t="s">
        <v>1667</v>
      </c>
      <c r="N137" t="s">
        <v>1667</v>
      </c>
    </row>
    <row r="138" spans="1:14">
      <c r="A138" t="s">
        <v>2420</v>
      </c>
      <c r="B138" t="s">
        <v>2585</v>
      </c>
      <c r="C138">
        <v>52.85</v>
      </c>
      <c r="D138">
        <v>52.85</v>
      </c>
      <c r="E138" s="178">
        <v>-0.1</v>
      </c>
      <c r="F138" s="176">
        <v>-0.19</v>
      </c>
      <c r="G138" t="s">
        <v>5455</v>
      </c>
      <c r="H138">
        <v>100</v>
      </c>
      <c r="I138">
        <v>101</v>
      </c>
      <c r="J138" t="s">
        <v>1667</v>
      </c>
      <c r="K138">
        <v>52.85</v>
      </c>
      <c r="L138">
        <v>52.85</v>
      </c>
      <c r="M138" s="175" t="s">
        <v>1667</v>
      </c>
      <c r="N138" t="s">
        <v>1667</v>
      </c>
    </row>
    <row r="139" spans="1:14">
      <c r="A139" t="s">
        <v>2421</v>
      </c>
      <c r="B139" t="s">
        <v>2586</v>
      </c>
      <c r="C139">
        <v>52.25</v>
      </c>
      <c r="D139">
        <v>52.35</v>
      </c>
      <c r="E139" s="178">
        <v>0.05</v>
      </c>
      <c r="F139" s="176">
        <v>0.1</v>
      </c>
      <c r="G139" t="s">
        <v>5455</v>
      </c>
      <c r="H139">
        <v>101</v>
      </c>
      <c r="I139">
        <v>105</v>
      </c>
      <c r="J139" t="s">
        <v>1667</v>
      </c>
      <c r="K139">
        <v>52.35</v>
      </c>
      <c r="L139">
        <v>52.25</v>
      </c>
      <c r="M139" s="175" t="s">
        <v>1667</v>
      </c>
      <c r="N139" t="s">
        <v>1667</v>
      </c>
    </row>
    <row r="140" spans="1:14">
      <c r="A140" t="s">
        <v>2422</v>
      </c>
      <c r="B140" t="s">
        <v>2423</v>
      </c>
      <c r="C140">
        <v>33.07</v>
      </c>
      <c r="D140">
        <v>33.1</v>
      </c>
      <c r="E140" s="178">
        <v>0.04</v>
      </c>
      <c r="F140" s="176">
        <v>0.12</v>
      </c>
      <c r="G140" t="s">
        <v>5425</v>
      </c>
      <c r="H140">
        <v>322</v>
      </c>
      <c r="I140">
        <v>217</v>
      </c>
      <c r="J140" t="s">
        <v>1667</v>
      </c>
      <c r="K140">
        <v>33.130000000000003</v>
      </c>
      <c r="L140">
        <v>33.020000000000003</v>
      </c>
      <c r="M140" s="175" t="s">
        <v>1667</v>
      </c>
      <c r="N140" t="s">
        <v>1667</v>
      </c>
    </row>
    <row r="141" spans="1:14">
      <c r="A141">
        <v>762</v>
      </c>
      <c r="B141" t="s">
        <v>2424</v>
      </c>
      <c r="C141">
        <v>110.8</v>
      </c>
      <c r="D141">
        <v>111.5</v>
      </c>
      <c r="E141" s="178">
        <v>-1.05</v>
      </c>
      <c r="F141" s="176">
        <v>-0.93</v>
      </c>
      <c r="G141" t="s">
        <v>5584</v>
      </c>
      <c r="H141">
        <v>268</v>
      </c>
      <c r="I141">
        <v>176</v>
      </c>
      <c r="J141" t="s">
        <v>1667</v>
      </c>
      <c r="K141">
        <v>111.6</v>
      </c>
      <c r="L141">
        <v>110.5</v>
      </c>
      <c r="M141" s="175" t="s">
        <v>1667</v>
      </c>
      <c r="N141" t="s">
        <v>1667</v>
      </c>
    </row>
    <row r="142" spans="1:14">
      <c r="A142" t="s">
        <v>2425</v>
      </c>
      <c r="B142" t="s">
        <v>2426</v>
      </c>
      <c r="C142">
        <v>34.71</v>
      </c>
      <c r="D142">
        <v>34.92</v>
      </c>
      <c r="E142" s="178">
        <v>-0.09</v>
      </c>
      <c r="F142" s="176">
        <v>-0.26</v>
      </c>
      <c r="G142" t="s">
        <v>5837</v>
      </c>
      <c r="H142">
        <v>301</v>
      </c>
      <c r="I142">
        <v>451</v>
      </c>
      <c r="J142" t="s">
        <v>1667</v>
      </c>
      <c r="K142">
        <v>34.92</v>
      </c>
      <c r="L142">
        <v>34.5</v>
      </c>
      <c r="M142" s="175" t="s">
        <v>1667</v>
      </c>
      <c r="N142" t="s">
        <v>1667</v>
      </c>
    </row>
    <row r="143" spans="1:14">
      <c r="A143" t="s">
        <v>2427</v>
      </c>
      <c r="B143" t="s">
        <v>2428</v>
      </c>
      <c r="C143">
        <v>27.09</v>
      </c>
      <c r="D143">
        <v>27.1</v>
      </c>
      <c r="E143" s="178">
        <v>0.03</v>
      </c>
      <c r="F143" s="176">
        <v>0.11</v>
      </c>
      <c r="G143" t="s">
        <v>5426</v>
      </c>
      <c r="H143">
        <v>7633</v>
      </c>
      <c r="I143">
        <v>8730</v>
      </c>
      <c r="J143" t="s">
        <v>1667</v>
      </c>
      <c r="K143">
        <v>27.16</v>
      </c>
      <c r="L143">
        <v>27.06</v>
      </c>
      <c r="M143" s="175" t="s">
        <v>1667</v>
      </c>
      <c r="N143" t="s">
        <v>1667</v>
      </c>
    </row>
    <row r="144" spans="1:14">
      <c r="A144" t="s">
        <v>2429</v>
      </c>
      <c r="B144" t="s">
        <v>2587</v>
      </c>
      <c r="C144">
        <v>48.18</v>
      </c>
      <c r="D144">
        <v>48.18</v>
      </c>
      <c r="E144" s="178">
        <v>7.0000000000000007E-2</v>
      </c>
      <c r="F144" s="176">
        <v>0.15</v>
      </c>
      <c r="G144" t="s">
        <v>5838</v>
      </c>
      <c r="H144">
        <v>523</v>
      </c>
      <c r="I144">
        <v>244</v>
      </c>
      <c r="J144" t="s">
        <v>1667</v>
      </c>
      <c r="K144">
        <v>48.26</v>
      </c>
      <c r="L144">
        <v>48.13</v>
      </c>
      <c r="M144" s="175" t="s">
        <v>1667</v>
      </c>
      <c r="N144" t="s">
        <v>1667</v>
      </c>
    </row>
    <row r="145" spans="1:14">
      <c r="A145">
        <v>770</v>
      </c>
      <c r="B145" t="s">
        <v>2430</v>
      </c>
      <c r="C145">
        <v>68</v>
      </c>
      <c r="D145">
        <v>67.7</v>
      </c>
      <c r="E145" s="178">
        <v>-0.6</v>
      </c>
      <c r="F145" s="176">
        <v>-0.88</v>
      </c>
      <c r="G145" t="s">
        <v>5523</v>
      </c>
      <c r="H145">
        <v>229</v>
      </c>
      <c r="I145">
        <v>162</v>
      </c>
      <c r="J145" t="s">
        <v>1667</v>
      </c>
      <c r="K145">
        <v>68</v>
      </c>
      <c r="L145">
        <v>67.2</v>
      </c>
      <c r="M145" s="175" t="s">
        <v>1667</v>
      </c>
      <c r="N145" t="s">
        <v>1667</v>
      </c>
    </row>
    <row r="146" spans="1:14">
      <c r="A146">
        <v>771</v>
      </c>
      <c r="B146" t="s">
        <v>2431</v>
      </c>
      <c r="C146">
        <v>15.3</v>
      </c>
      <c r="D146">
        <v>15.33</v>
      </c>
      <c r="E146" s="178">
        <v>-0.09</v>
      </c>
      <c r="F146" s="176">
        <v>-0.57999999999999996</v>
      </c>
      <c r="G146" t="s">
        <v>5663</v>
      </c>
      <c r="H146">
        <v>41</v>
      </c>
      <c r="I146">
        <v>24</v>
      </c>
      <c r="J146" t="s">
        <v>1667</v>
      </c>
      <c r="K146">
        <v>15.33</v>
      </c>
      <c r="L146">
        <v>15.27</v>
      </c>
      <c r="M146" s="175" t="s">
        <v>1667</v>
      </c>
      <c r="N146" t="s">
        <v>1667</v>
      </c>
    </row>
    <row r="147" spans="1:14">
      <c r="A147" t="s">
        <v>2432</v>
      </c>
      <c r="B147" t="s">
        <v>2433</v>
      </c>
      <c r="C147">
        <v>32.57</v>
      </c>
      <c r="D147">
        <v>32.53</v>
      </c>
      <c r="E147" s="178">
        <v>0.01</v>
      </c>
      <c r="F147" s="176">
        <v>0.03</v>
      </c>
      <c r="G147" t="s">
        <v>5839</v>
      </c>
      <c r="H147">
        <v>1619</v>
      </c>
      <c r="I147">
        <v>1151</v>
      </c>
      <c r="J147" t="s">
        <v>1667</v>
      </c>
      <c r="K147">
        <v>32.590000000000003</v>
      </c>
      <c r="L147">
        <v>32.479999999999997</v>
      </c>
      <c r="M147" s="175" t="s">
        <v>1667</v>
      </c>
      <c r="N147" t="s">
        <v>1667</v>
      </c>
    </row>
    <row r="148" spans="1:14">
      <c r="A148" t="s">
        <v>2434</v>
      </c>
      <c r="B148" t="s">
        <v>2435</v>
      </c>
      <c r="C148">
        <v>34.86</v>
      </c>
      <c r="D148">
        <v>34.840000000000003</v>
      </c>
      <c r="E148" s="178">
        <v>-0.02</v>
      </c>
      <c r="F148" s="176">
        <v>-0.06</v>
      </c>
      <c r="G148" t="s">
        <v>5840</v>
      </c>
      <c r="H148">
        <v>230</v>
      </c>
      <c r="I148">
        <v>1554</v>
      </c>
      <c r="J148" t="s">
        <v>1667</v>
      </c>
      <c r="K148">
        <v>34.9</v>
      </c>
      <c r="L148">
        <v>34.81</v>
      </c>
      <c r="M148" s="175" t="s">
        <v>1667</v>
      </c>
      <c r="N148" t="s">
        <v>1667</v>
      </c>
    </row>
    <row r="149" spans="1:14">
      <c r="A149" t="s">
        <v>2436</v>
      </c>
      <c r="B149" t="s">
        <v>5152</v>
      </c>
      <c r="C149">
        <v>30.95</v>
      </c>
      <c r="D149">
        <v>30.95</v>
      </c>
      <c r="E149" s="178">
        <v>0.05</v>
      </c>
      <c r="F149" s="176">
        <v>0.16</v>
      </c>
      <c r="G149" t="s">
        <v>5379</v>
      </c>
      <c r="H149">
        <v>80</v>
      </c>
      <c r="I149">
        <v>100</v>
      </c>
      <c r="J149" t="s">
        <v>1667</v>
      </c>
      <c r="K149">
        <v>30.95</v>
      </c>
      <c r="L149">
        <v>30.95</v>
      </c>
      <c r="M149" s="175" t="s">
        <v>1667</v>
      </c>
      <c r="N149" t="s">
        <v>1667</v>
      </c>
    </row>
    <row r="150" spans="1:14">
      <c r="A150" t="s">
        <v>2437</v>
      </c>
      <c r="B150" t="s">
        <v>2438</v>
      </c>
      <c r="C150">
        <v>31.19</v>
      </c>
      <c r="D150">
        <v>31.18</v>
      </c>
      <c r="E150" s="178">
        <v>-0.05</v>
      </c>
      <c r="F150" s="176">
        <v>-0.16</v>
      </c>
      <c r="G150" t="s">
        <v>5841</v>
      </c>
      <c r="H150">
        <v>102</v>
      </c>
      <c r="I150">
        <v>103</v>
      </c>
      <c r="J150" t="s">
        <v>1667</v>
      </c>
      <c r="K150">
        <v>31.26</v>
      </c>
      <c r="L150">
        <v>31.18</v>
      </c>
      <c r="M150" s="175" t="s">
        <v>1667</v>
      </c>
      <c r="N150" t="s">
        <v>1667</v>
      </c>
    </row>
    <row r="151" spans="1:14">
      <c r="A151" t="s">
        <v>2439</v>
      </c>
      <c r="B151" t="s">
        <v>2440</v>
      </c>
      <c r="C151">
        <v>33.369999999999997</v>
      </c>
      <c r="D151">
        <v>33.369999999999997</v>
      </c>
      <c r="E151" s="178">
        <v>7.0000000000000007E-2</v>
      </c>
      <c r="F151" s="176">
        <v>0.21</v>
      </c>
      <c r="G151" t="s">
        <v>5828</v>
      </c>
      <c r="H151">
        <v>100</v>
      </c>
      <c r="I151">
        <v>101</v>
      </c>
      <c r="J151" t="s">
        <v>1667</v>
      </c>
      <c r="K151">
        <v>33.369999999999997</v>
      </c>
      <c r="L151">
        <v>33.369999999999997</v>
      </c>
      <c r="M151" s="175" t="s">
        <v>1667</v>
      </c>
      <c r="N151" t="s">
        <v>1667</v>
      </c>
    </row>
    <row r="152" spans="1:14">
      <c r="A152" t="s">
        <v>2441</v>
      </c>
      <c r="B152" t="s">
        <v>2442</v>
      </c>
      <c r="C152">
        <v>27.48</v>
      </c>
      <c r="D152">
        <v>27.4</v>
      </c>
      <c r="E152" s="178">
        <v>0.02</v>
      </c>
      <c r="F152" s="176">
        <v>7.0000000000000007E-2</v>
      </c>
      <c r="G152" t="s">
        <v>5329</v>
      </c>
      <c r="H152">
        <v>304</v>
      </c>
      <c r="I152">
        <v>330</v>
      </c>
      <c r="J152" t="s">
        <v>1667</v>
      </c>
      <c r="K152">
        <v>27.48</v>
      </c>
      <c r="L152">
        <v>27.4</v>
      </c>
      <c r="M152" s="175" t="s">
        <v>1667</v>
      </c>
      <c r="N152" t="s">
        <v>1667</v>
      </c>
    </row>
    <row r="153" spans="1:14">
      <c r="A153" t="s">
        <v>2443</v>
      </c>
      <c r="B153" t="s">
        <v>2444</v>
      </c>
      <c r="C153">
        <v>36.340000000000003</v>
      </c>
      <c r="D153">
        <v>36.380000000000003</v>
      </c>
      <c r="E153" s="178">
        <v>-0.03</v>
      </c>
      <c r="F153" s="176">
        <v>-0.08</v>
      </c>
      <c r="G153" t="s">
        <v>5842</v>
      </c>
      <c r="H153">
        <v>160</v>
      </c>
      <c r="I153">
        <v>108</v>
      </c>
      <c r="J153" t="s">
        <v>1667</v>
      </c>
      <c r="K153">
        <v>36.4</v>
      </c>
      <c r="L153">
        <v>36.33</v>
      </c>
      <c r="M153" s="175" t="s">
        <v>1667</v>
      </c>
      <c r="N153" t="s">
        <v>1667</v>
      </c>
    </row>
    <row r="154" spans="1:14">
      <c r="A154" t="s">
        <v>2445</v>
      </c>
      <c r="B154" t="s">
        <v>2446</v>
      </c>
      <c r="C154">
        <v>27.22</v>
      </c>
      <c r="D154">
        <v>27.2</v>
      </c>
      <c r="E154" s="178">
        <v>0.05</v>
      </c>
      <c r="F154" s="176">
        <v>0.18</v>
      </c>
      <c r="G154" t="s">
        <v>5514</v>
      </c>
      <c r="H154">
        <v>236</v>
      </c>
      <c r="I154">
        <v>148</v>
      </c>
      <c r="J154" t="s">
        <v>1667</v>
      </c>
      <c r="K154">
        <v>27.24</v>
      </c>
      <c r="L154">
        <v>27.14</v>
      </c>
      <c r="M154" s="175" t="s">
        <v>1667</v>
      </c>
      <c r="N154" t="s">
        <v>1667</v>
      </c>
    </row>
    <row r="155" spans="1:14">
      <c r="A155" t="s">
        <v>2447</v>
      </c>
      <c r="B155" t="s">
        <v>2448</v>
      </c>
      <c r="C155">
        <v>29.44</v>
      </c>
      <c r="D155">
        <v>29.47</v>
      </c>
      <c r="E155" s="178">
        <v>0.03</v>
      </c>
      <c r="F155" s="176">
        <v>0.1</v>
      </c>
      <c r="G155" t="s">
        <v>5565</v>
      </c>
      <c r="H155">
        <v>319</v>
      </c>
      <c r="I155">
        <v>137</v>
      </c>
      <c r="J155" t="s">
        <v>1667</v>
      </c>
      <c r="K155">
        <v>29.48</v>
      </c>
      <c r="L155">
        <v>29.43</v>
      </c>
      <c r="M155" s="175" t="s">
        <v>1667</v>
      </c>
      <c r="N155" t="s">
        <v>1667</v>
      </c>
    </row>
    <row r="156" spans="1:14">
      <c r="A156">
        <v>783</v>
      </c>
      <c r="B156" t="s">
        <v>2449</v>
      </c>
      <c r="C156">
        <v>27.98</v>
      </c>
      <c r="D156">
        <v>28.12</v>
      </c>
      <c r="E156" s="178">
        <v>-0.15</v>
      </c>
      <c r="F156" s="176">
        <v>-0.53</v>
      </c>
      <c r="G156" t="s">
        <v>5843</v>
      </c>
      <c r="H156">
        <v>32</v>
      </c>
      <c r="I156">
        <v>87</v>
      </c>
      <c r="J156" t="s">
        <v>1667</v>
      </c>
      <c r="K156">
        <v>28.12</v>
      </c>
      <c r="L156">
        <v>27.78</v>
      </c>
      <c r="M156" s="175" t="s">
        <v>1667</v>
      </c>
      <c r="N156" t="s">
        <v>1667</v>
      </c>
    </row>
    <row r="157" spans="1:14">
      <c r="A157" t="s">
        <v>2450</v>
      </c>
      <c r="B157" t="s">
        <v>2451</v>
      </c>
      <c r="C157">
        <v>33.99</v>
      </c>
      <c r="D157">
        <v>34</v>
      </c>
      <c r="E157" s="178">
        <v>0</v>
      </c>
      <c r="F157" s="176">
        <v>0</v>
      </c>
      <c r="G157" t="s">
        <v>5276</v>
      </c>
      <c r="H157">
        <v>51</v>
      </c>
      <c r="I157">
        <v>46</v>
      </c>
      <c r="J157" t="s">
        <v>1667</v>
      </c>
      <c r="K157">
        <v>34</v>
      </c>
      <c r="L157">
        <v>33.99</v>
      </c>
      <c r="M157" s="175" t="s">
        <v>1667</v>
      </c>
      <c r="N157" t="s">
        <v>1667</v>
      </c>
    </row>
    <row r="158" spans="1:14">
      <c r="A158" t="s">
        <v>2452</v>
      </c>
      <c r="B158" t="s">
        <v>2453</v>
      </c>
      <c r="C158">
        <v>31.8</v>
      </c>
      <c r="D158">
        <v>31.8</v>
      </c>
      <c r="E158" s="178">
        <v>0.03</v>
      </c>
      <c r="F158" s="176">
        <v>0.09</v>
      </c>
      <c r="G158" t="s">
        <v>5844</v>
      </c>
      <c r="H158">
        <v>19</v>
      </c>
      <c r="I158">
        <v>32</v>
      </c>
      <c r="J158" t="s">
        <v>1667</v>
      </c>
      <c r="K158">
        <v>31.8</v>
      </c>
      <c r="L158">
        <v>31.79</v>
      </c>
      <c r="M158" s="175" t="s">
        <v>1667</v>
      </c>
      <c r="N158" t="s">
        <v>1667</v>
      </c>
    </row>
    <row r="159" spans="1:14">
      <c r="A159" t="s">
        <v>2454</v>
      </c>
      <c r="B159" t="s">
        <v>2455</v>
      </c>
      <c r="C159">
        <v>31.81</v>
      </c>
      <c r="D159">
        <v>31.79</v>
      </c>
      <c r="E159" s="178">
        <v>-0.06</v>
      </c>
      <c r="F159" s="176">
        <v>-0.19</v>
      </c>
      <c r="G159" t="s">
        <v>5420</v>
      </c>
      <c r="H159">
        <v>9</v>
      </c>
      <c r="I159">
        <v>6</v>
      </c>
      <c r="J159" t="s">
        <v>1667</v>
      </c>
      <c r="K159">
        <v>31.83</v>
      </c>
      <c r="L159">
        <v>31.78</v>
      </c>
      <c r="M159" s="175" t="s">
        <v>1667</v>
      </c>
      <c r="N159" t="s">
        <v>1667</v>
      </c>
    </row>
    <row r="160" spans="1:14">
      <c r="A160" t="s">
        <v>2456</v>
      </c>
      <c r="B160" t="s">
        <v>2457</v>
      </c>
      <c r="C160">
        <v>29.22</v>
      </c>
      <c r="D160">
        <v>29.16</v>
      </c>
      <c r="E160" s="178">
        <v>0.02</v>
      </c>
      <c r="F160" s="176">
        <v>7.0000000000000007E-2</v>
      </c>
      <c r="G160" t="s">
        <v>5845</v>
      </c>
      <c r="H160">
        <v>34</v>
      </c>
      <c r="I160">
        <v>26</v>
      </c>
      <c r="J160" t="s">
        <v>1667</v>
      </c>
      <c r="K160">
        <v>29.22</v>
      </c>
      <c r="L160">
        <v>29.16</v>
      </c>
      <c r="M160" s="175" t="s">
        <v>1667</v>
      </c>
      <c r="N160" t="s">
        <v>1667</v>
      </c>
    </row>
    <row r="161" spans="1:14">
      <c r="A161" t="s">
        <v>2458</v>
      </c>
      <c r="B161" t="s">
        <v>2588</v>
      </c>
      <c r="C161">
        <v>46.22</v>
      </c>
      <c r="D161">
        <v>46.22</v>
      </c>
      <c r="E161" s="178">
        <v>0.01</v>
      </c>
      <c r="F161" s="176">
        <v>0.02</v>
      </c>
      <c r="G161" t="s">
        <v>5348</v>
      </c>
      <c r="H161">
        <v>102</v>
      </c>
      <c r="I161">
        <v>106</v>
      </c>
      <c r="J161" t="s">
        <v>1667</v>
      </c>
      <c r="K161">
        <v>46.22</v>
      </c>
      <c r="L161">
        <v>46.22</v>
      </c>
      <c r="M161" s="175" t="s">
        <v>1667</v>
      </c>
      <c r="N161" t="s">
        <v>1667</v>
      </c>
    </row>
    <row r="162" spans="1:14">
      <c r="A162" t="s">
        <v>2459</v>
      </c>
      <c r="B162" t="s">
        <v>2589</v>
      </c>
      <c r="C162">
        <v>56.55</v>
      </c>
      <c r="D162">
        <v>56.65</v>
      </c>
      <c r="E162" s="178">
        <v>0</v>
      </c>
      <c r="F162" s="176">
        <v>0</v>
      </c>
      <c r="G162" t="s">
        <v>5685</v>
      </c>
      <c r="H162">
        <v>111</v>
      </c>
      <c r="I162">
        <v>100</v>
      </c>
      <c r="J162" t="s">
        <v>1667</v>
      </c>
      <c r="K162">
        <v>56.65</v>
      </c>
      <c r="L162">
        <v>56.55</v>
      </c>
      <c r="M162" s="175" t="s">
        <v>1667</v>
      </c>
      <c r="N162" t="s">
        <v>1667</v>
      </c>
    </row>
    <row r="163" spans="1:14">
      <c r="A163" t="s">
        <v>2460</v>
      </c>
      <c r="B163" t="s">
        <v>2461</v>
      </c>
      <c r="C163">
        <v>30.84</v>
      </c>
      <c r="D163">
        <v>30.83</v>
      </c>
      <c r="E163" s="178">
        <v>0.03</v>
      </c>
      <c r="F163" s="176">
        <v>0.1</v>
      </c>
      <c r="G163" t="s">
        <v>5819</v>
      </c>
      <c r="H163">
        <v>136</v>
      </c>
      <c r="I163">
        <v>168</v>
      </c>
      <c r="J163" t="s">
        <v>1667</v>
      </c>
      <c r="K163">
        <v>30.87</v>
      </c>
      <c r="L163">
        <v>30.83</v>
      </c>
      <c r="M163" s="175" t="s">
        <v>1667</v>
      </c>
      <c r="N163" t="s">
        <v>1667</v>
      </c>
    </row>
    <row r="164" spans="1:14">
      <c r="A164" t="s">
        <v>2462</v>
      </c>
      <c r="B164" t="s">
        <v>2463</v>
      </c>
      <c r="C164">
        <v>29.81</v>
      </c>
      <c r="D164">
        <v>29.82</v>
      </c>
      <c r="E164" s="178">
        <v>0.1</v>
      </c>
      <c r="F164" s="176">
        <v>0.34</v>
      </c>
      <c r="G164" t="s">
        <v>5350</v>
      </c>
      <c r="H164">
        <v>111</v>
      </c>
      <c r="I164">
        <v>92</v>
      </c>
      <c r="J164" t="s">
        <v>1667</v>
      </c>
      <c r="K164">
        <v>29.85</v>
      </c>
      <c r="L164">
        <v>29.77</v>
      </c>
      <c r="M164" s="175" t="s">
        <v>1667</v>
      </c>
      <c r="N164" t="s">
        <v>1667</v>
      </c>
    </row>
    <row r="165" spans="1:14">
      <c r="A165" t="s">
        <v>2464</v>
      </c>
      <c r="B165" t="s">
        <v>2465</v>
      </c>
      <c r="C165">
        <v>25.98</v>
      </c>
      <c r="D165">
        <v>25.96</v>
      </c>
      <c r="E165" s="178">
        <v>0.02</v>
      </c>
      <c r="F165" s="176">
        <v>0.08</v>
      </c>
      <c r="G165" t="s">
        <v>5692</v>
      </c>
      <c r="H165">
        <v>6277</v>
      </c>
      <c r="I165">
        <v>3893</v>
      </c>
      <c r="J165" t="s">
        <v>1667</v>
      </c>
      <c r="K165">
        <v>26.03</v>
      </c>
      <c r="L165">
        <v>25.95</v>
      </c>
      <c r="M165" s="175" t="s">
        <v>1667</v>
      </c>
      <c r="N165" t="s">
        <v>1667</v>
      </c>
    </row>
    <row r="166" spans="1:14">
      <c r="A166" t="s">
        <v>2466</v>
      </c>
      <c r="B166" t="s">
        <v>2467</v>
      </c>
      <c r="C166">
        <v>28.56</v>
      </c>
      <c r="D166">
        <v>28.59</v>
      </c>
      <c r="E166" s="178">
        <v>0.03</v>
      </c>
      <c r="F166" s="176">
        <v>0.11</v>
      </c>
      <c r="G166" t="s">
        <v>5496</v>
      </c>
      <c r="H166">
        <v>126</v>
      </c>
      <c r="I166">
        <v>195</v>
      </c>
      <c r="J166" t="s">
        <v>1667</v>
      </c>
      <c r="K166">
        <v>28.6</v>
      </c>
      <c r="L166">
        <v>28.56</v>
      </c>
      <c r="M166" s="175" t="s">
        <v>1667</v>
      </c>
      <c r="N166" t="s">
        <v>1667</v>
      </c>
    </row>
    <row r="167" spans="1:14">
      <c r="A167">
        <v>830</v>
      </c>
      <c r="B167" t="s">
        <v>2468</v>
      </c>
      <c r="C167">
        <v>80.849999999999994</v>
      </c>
      <c r="D167">
        <v>81</v>
      </c>
      <c r="E167" s="178">
        <v>-1.85</v>
      </c>
      <c r="F167" s="176">
        <v>-2.23</v>
      </c>
      <c r="G167" t="s">
        <v>5846</v>
      </c>
      <c r="H167">
        <v>9391</v>
      </c>
      <c r="I167">
        <v>7342</v>
      </c>
      <c r="J167" t="s">
        <v>1667</v>
      </c>
      <c r="K167">
        <v>81</v>
      </c>
      <c r="L167">
        <v>80</v>
      </c>
      <c r="M167" s="175" t="s">
        <v>1667</v>
      </c>
      <c r="N167" t="s">
        <v>1667</v>
      </c>
    </row>
    <row r="168" spans="1:14">
      <c r="A168" t="s">
        <v>2469</v>
      </c>
      <c r="B168" t="s">
        <v>2470</v>
      </c>
      <c r="C168">
        <v>33.200000000000003</v>
      </c>
      <c r="D168">
        <v>33.200000000000003</v>
      </c>
      <c r="E168" s="178">
        <v>0.08</v>
      </c>
      <c r="F168" s="176">
        <v>0.24</v>
      </c>
      <c r="G168" t="s">
        <v>5347</v>
      </c>
      <c r="H168">
        <v>100</v>
      </c>
      <c r="I168">
        <v>107</v>
      </c>
      <c r="J168" t="s">
        <v>1667</v>
      </c>
      <c r="K168">
        <v>33.200000000000003</v>
      </c>
      <c r="L168">
        <v>33.200000000000003</v>
      </c>
      <c r="M168" s="175" t="s">
        <v>1667</v>
      </c>
      <c r="N168" t="s">
        <v>1667</v>
      </c>
    </row>
    <row r="169" spans="1:14">
      <c r="A169" t="s">
        <v>2471</v>
      </c>
      <c r="B169" t="s">
        <v>2472</v>
      </c>
      <c r="C169">
        <v>27.97</v>
      </c>
      <c r="D169">
        <v>27.97</v>
      </c>
      <c r="E169" s="178">
        <v>0.05</v>
      </c>
      <c r="F169" s="176">
        <v>0.18</v>
      </c>
      <c r="G169" t="s">
        <v>5847</v>
      </c>
      <c r="H169">
        <v>1</v>
      </c>
      <c r="I169">
        <v>52</v>
      </c>
      <c r="J169" t="s">
        <v>1667</v>
      </c>
      <c r="K169">
        <v>27.97</v>
      </c>
      <c r="L169">
        <v>27.97</v>
      </c>
      <c r="M169" s="175" t="s">
        <v>1667</v>
      </c>
      <c r="N169" t="s">
        <v>1667</v>
      </c>
    </row>
    <row r="170" spans="1:14">
      <c r="A170" t="s">
        <v>2473</v>
      </c>
      <c r="B170" t="s">
        <v>2474</v>
      </c>
      <c r="C170">
        <v>28.77</v>
      </c>
      <c r="D170">
        <v>28.77</v>
      </c>
      <c r="E170" s="178">
        <v>0</v>
      </c>
      <c r="F170" s="176">
        <v>0</v>
      </c>
      <c r="G170" t="s">
        <v>5848</v>
      </c>
      <c r="H170">
        <v>100</v>
      </c>
      <c r="I170">
        <v>100</v>
      </c>
      <c r="J170" t="s">
        <v>1667</v>
      </c>
      <c r="K170">
        <v>28.77</v>
      </c>
      <c r="L170">
        <v>28.77</v>
      </c>
      <c r="M170" s="175" t="s">
        <v>1667</v>
      </c>
      <c r="N170" t="s">
        <v>1667</v>
      </c>
    </row>
    <row r="171" spans="1:14">
      <c r="A171" t="s">
        <v>2475</v>
      </c>
      <c r="B171" t="s">
        <v>2476</v>
      </c>
      <c r="C171">
        <v>27.41</v>
      </c>
      <c r="D171">
        <v>27.41</v>
      </c>
      <c r="E171" s="178">
        <v>0</v>
      </c>
      <c r="F171" s="176">
        <v>0</v>
      </c>
      <c r="G171" t="s">
        <v>5693</v>
      </c>
      <c r="H171">
        <v>100</v>
      </c>
      <c r="I171">
        <v>100</v>
      </c>
      <c r="J171" t="s">
        <v>1667</v>
      </c>
      <c r="K171">
        <v>27.41</v>
      </c>
      <c r="L171">
        <v>27.41</v>
      </c>
      <c r="M171" s="175" t="s">
        <v>1667</v>
      </c>
      <c r="N171" t="s">
        <v>1667</v>
      </c>
    </row>
    <row r="172" spans="1:14">
      <c r="A172" t="s">
        <v>2477</v>
      </c>
      <c r="B172" t="s">
        <v>2478</v>
      </c>
      <c r="C172">
        <v>29.41</v>
      </c>
      <c r="D172">
        <v>29.35</v>
      </c>
      <c r="E172" s="178">
        <v>0.01</v>
      </c>
      <c r="F172" s="176">
        <v>0.03</v>
      </c>
      <c r="G172" t="s">
        <v>5849</v>
      </c>
      <c r="H172">
        <v>462</v>
      </c>
      <c r="I172">
        <v>231</v>
      </c>
      <c r="J172" t="s">
        <v>1667</v>
      </c>
      <c r="K172">
        <v>29.45</v>
      </c>
      <c r="L172">
        <v>29.35</v>
      </c>
      <c r="M172" s="175" t="s">
        <v>1667</v>
      </c>
      <c r="N172" t="s">
        <v>1667</v>
      </c>
    </row>
    <row r="173" spans="1:14">
      <c r="A173" t="s">
        <v>2479</v>
      </c>
      <c r="B173" t="s">
        <v>5153</v>
      </c>
      <c r="C173">
        <v>30.57</v>
      </c>
      <c r="D173">
        <v>30.58</v>
      </c>
      <c r="E173" s="178">
        <v>7.0000000000000007E-2</v>
      </c>
      <c r="F173" s="176">
        <v>0.23</v>
      </c>
      <c r="G173" t="s">
        <v>5379</v>
      </c>
      <c r="H173">
        <v>81</v>
      </c>
      <c r="I173">
        <v>85</v>
      </c>
      <c r="J173" t="s">
        <v>1667</v>
      </c>
      <c r="K173">
        <v>30.58</v>
      </c>
      <c r="L173">
        <v>30.57</v>
      </c>
      <c r="M173" s="175" t="s">
        <v>1667</v>
      </c>
      <c r="N173" t="s">
        <v>1667</v>
      </c>
    </row>
    <row r="174" spans="1:14">
      <c r="A174" t="s">
        <v>2480</v>
      </c>
      <c r="B174" t="s">
        <v>2481</v>
      </c>
      <c r="C174">
        <v>32.479999999999997</v>
      </c>
      <c r="D174">
        <v>32.520000000000003</v>
      </c>
      <c r="E174" s="178">
        <v>0.05</v>
      </c>
      <c r="F174" s="176">
        <v>0.15</v>
      </c>
      <c r="G174" t="s">
        <v>5850</v>
      </c>
      <c r="H174">
        <v>103</v>
      </c>
      <c r="I174">
        <v>86</v>
      </c>
      <c r="J174" t="s">
        <v>1667</v>
      </c>
      <c r="K174">
        <v>32.520000000000003</v>
      </c>
      <c r="L174">
        <v>32.479999999999997</v>
      </c>
      <c r="M174" s="175" t="s">
        <v>1667</v>
      </c>
      <c r="N174" t="s">
        <v>1667</v>
      </c>
    </row>
    <row r="175" spans="1:14">
      <c r="A175" t="s">
        <v>2482</v>
      </c>
      <c r="B175" t="s">
        <v>2483</v>
      </c>
      <c r="C175">
        <v>34.950000000000003</v>
      </c>
      <c r="D175">
        <v>35.1</v>
      </c>
      <c r="E175" s="178">
        <v>-7.0000000000000007E-2</v>
      </c>
      <c r="F175" s="176">
        <v>-0.2</v>
      </c>
      <c r="G175" t="s">
        <v>5851</v>
      </c>
      <c r="H175">
        <v>102</v>
      </c>
      <c r="I175">
        <v>82</v>
      </c>
      <c r="J175" t="s">
        <v>1667</v>
      </c>
      <c r="K175">
        <v>35.1</v>
      </c>
      <c r="L175">
        <v>34.950000000000003</v>
      </c>
      <c r="M175" s="175" t="s">
        <v>1667</v>
      </c>
      <c r="N175" t="s">
        <v>1667</v>
      </c>
    </row>
    <row r="176" spans="1:14">
      <c r="A176" t="s">
        <v>2484</v>
      </c>
      <c r="B176" t="s">
        <v>2485</v>
      </c>
      <c r="C176">
        <v>24.7</v>
      </c>
      <c r="D176">
        <v>24.66</v>
      </c>
      <c r="E176" s="178">
        <v>0.04</v>
      </c>
      <c r="F176" s="176">
        <v>0.16</v>
      </c>
      <c r="G176" t="s">
        <v>5353</v>
      </c>
      <c r="H176">
        <v>154</v>
      </c>
      <c r="I176">
        <v>435</v>
      </c>
      <c r="J176" t="s">
        <v>1667</v>
      </c>
      <c r="K176">
        <v>24.7</v>
      </c>
      <c r="L176">
        <v>24.66</v>
      </c>
      <c r="M176" s="175" t="s">
        <v>1667</v>
      </c>
      <c r="N176" t="s">
        <v>1667</v>
      </c>
    </row>
    <row r="177" spans="1:14">
      <c r="A177" t="s">
        <v>2486</v>
      </c>
      <c r="B177" t="s">
        <v>2487</v>
      </c>
      <c r="C177">
        <v>33.43</v>
      </c>
      <c r="D177">
        <v>33.409999999999997</v>
      </c>
      <c r="E177" s="178">
        <v>0.04</v>
      </c>
      <c r="F177" s="176">
        <v>0.12</v>
      </c>
      <c r="G177" t="s">
        <v>5511</v>
      </c>
      <c r="H177">
        <v>300</v>
      </c>
      <c r="I177">
        <v>395</v>
      </c>
      <c r="J177" t="s">
        <v>1667</v>
      </c>
      <c r="K177">
        <v>33.43</v>
      </c>
      <c r="L177">
        <v>33.409999999999997</v>
      </c>
      <c r="M177" s="175" t="s">
        <v>1667</v>
      </c>
      <c r="N177" t="s">
        <v>1667</v>
      </c>
    </row>
    <row r="178" spans="1:14">
      <c r="A178" t="s">
        <v>2488</v>
      </c>
      <c r="B178" t="s">
        <v>2489</v>
      </c>
      <c r="C178">
        <v>37.15</v>
      </c>
      <c r="D178">
        <v>37.159999999999997</v>
      </c>
      <c r="E178" s="178">
        <v>0.05</v>
      </c>
      <c r="F178" s="176">
        <v>0.13</v>
      </c>
      <c r="G178" t="s">
        <v>5852</v>
      </c>
      <c r="H178">
        <v>144</v>
      </c>
      <c r="I178">
        <v>458</v>
      </c>
      <c r="J178" t="s">
        <v>1667</v>
      </c>
      <c r="K178">
        <v>37.18</v>
      </c>
      <c r="L178">
        <v>37.15</v>
      </c>
      <c r="M178" s="175" t="s">
        <v>1667</v>
      </c>
      <c r="N178" t="s">
        <v>1667</v>
      </c>
    </row>
    <row r="179" spans="1:14">
      <c r="A179">
        <v>850</v>
      </c>
      <c r="B179" t="s">
        <v>2490</v>
      </c>
      <c r="C179">
        <v>90.35</v>
      </c>
      <c r="D179">
        <v>91</v>
      </c>
      <c r="E179" s="178">
        <v>-0.4</v>
      </c>
      <c r="F179" s="176">
        <v>-0.44</v>
      </c>
      <c r="G179" t="s">
        <v>5853</v>
      </c>
      <c r="H179">
        <v>396</v>
      </c>
      <c r="I179">
        <v>617</v>
      </c>
      <c r="J179" t="s">
        <v>1667</v>
      </c>
      <c r="K179">
        <v>91</v>
      </c>
      <c r="L179">
        <v>89.8</v>
      </c>
      <c r="M179" s="175" t="s">
        <v>1667</v>
      </c>
      <c r="N179" t="s">
        <v>1667</v>
      </c>
    </row>
    <row r="180" spans="1:14">
      <c r="A180">
        <v>851</v>
      </c>
      <c r="B180" t="s">
        <v>2491</v>
      </c>
      <c r="C180">
        <v>69.5</v>
      </c>
      <c r="D180">
        <v>69.8</v>
      </c>
      <c r="E180" s="178">
        <v>-0.2</v>
      </c>
      <c r="F180" s="176">
        <v>-0.28999999999999998</v>
      </c>
      <c r="G180" t="s">
        <v>5854</v>
      </c>
      <c r="H180">
        <v>55</v>
      </c>
      <c r="I180">
        <v>36</v>
      </c>
      <c r="J180" t="s">
        <v>1667</v>
      </c>
      <c r="K180">
        <v>69.8</v>
      </c>
      <c r="L180">
        <v>69.400000000000006</v>
      </c>
      <c r="M180" s="175" t="s">
        <v>1667</v>
      </c>
      <c r="N180" t="s">
        <v>1667</v>
      </c>
    </row>
    <row r="181" spans="1:14">
      <c r="A181" t="s">
        <v>2492</v>
      </c>
      <c r="B181" t="s">
        <v>2493</v>
      </c>
      <c r="C181">
        <v>35.479999999999997</v>
      </c>
      <c r="D181">
        <v>35.54</v>
      </c>
      <c r="E181" s="178">
        <v>-0.25</v>
      </c>
      <c r="F181" s="176">
        <v>-0.7</v>
      </c>
      <c r="G181" t="s">
        <v>5855</v>
      </c>
      <c r="H181">
        <v>17</v>
      </c>
      <c r="I181">
        <v>63</v>
      </c>
      <c r="J181" t="s">
        <v>1667</v>
      </c>
      <c r="K181">
        <v>35.54</v>
      </c>
      <c r="L181">
        <v>35.43</v>
      </c>
      <c r="M181" s="175" t="s">
        <v>1667</v>
      </c>
      <c r="N181" t="s">
        <v>1667</v>
      </c>
    </row>
    <row r="182" spans="1:14">
      <c r="A182" t="s">
        <v>2494</v>
      </c>
      <c r="B182" t="s">
        <v>2495</v>
      </c>
      <c r="C182">
        <v>26.81</v>
      </c>
      <c r="D182">
        <v>26.81</v>
      </c>
      <c r="E182" s="178">
        <v>0</v>
      </c>
      <c r="F182" s="176">
        <v>0</v>
      </c>
      <c r="G182" t="s">
        <v>5856</v>
      </c>
      <c r="H182">
        <v>1124</v>
      </c>
      <c r="I182">
        <v>1076</v>
      </c>
      <c r="J182" t="s">
        <v>1667</v>
      </c>
      <c r="K182">
        <v>26.82</v>
      </c>
      <c r="L182">
        <v>26.76</v>
      </c>
      <c r="M182" s="175" t="s">
        <v>1667</v>
      </c>
      <c r="N182" t="s">
        <v>1667</v>
      </c>
    </row>
    <row r="183" spans="1:14">
      <c r="A183" t="s">
        <v>2496</v>
      </c>
      <c r="B183" t="s">
        <v>2497</v>
      </c>
      <c r="C183">
        <v>37.22</v>
      </c>
      <c r="D183">
        <v>37.26</v>
      </c>
      <c r="E183" s="178">
        <v>0.02</v>
      </c>
      <c r="F183" s="176">
        <v>0.05</v>
      </c>
      <c r="G183" t="s">
        <v>5857</v>
      </c>
      <c r="H183">
        <v>4</v>
      </c>
      <c r="I183">
        <v>48</v>
      </c>
      <c r="J183" t="s">
        <v>1667</v>
      </c>
      <c r="K183">
        <v>37.26</v>
      </c>
      <c r="L183">
        <v>37.22</v>
      </c>
      <c r="M183" s="175" t="s">
        <v>1667</v>
      </c>
      <c r="N183" t="s">
        <v>1667</v>
      </c>
    </row>
    <row r="184" spans="1:14">
      <c r="A184" t="s">
        <v>2498</v>
      </c>
      <c r="B184" t="s">
        <v>2499</v>
      </c>
      <c r="C184">
        <v>22.6</v>
      </c>
      <c r="D184">
        <v>22.58</v>
      </c>
      <c r="E184" s="178">
        <v>0.02</v>
      </c>
      <c r="F184" s="176">
        <v>0.09</v>
      </c>
      <c r="G184" t="s">
        <v>5858</v>
      </c>
      <c r="H184">
        <v>1065</v>
      </c>
      <c r="I184">
        <v>615</v>
      </c>
      <c r="J184" t="s">
        <v>1667</v>
      </c>
      <c r="K184">
        <v>22.62</v>
      </c>
      <c r="L184">
        <v>22.56</v>
      </c>
      <c r="M184" s="175" t="s">
        <v>1667</v>
      </c>
      <c r="N184" t="s">
        <v>1667</v>
      </c>
    </row>
    <row r="185" spans="1:14">
      <c r="A185">
        <v>858</v>
      </c>
      <c r="B185" t="s">
        <v>2500</v>
      </c>
      <c r="C185">
        <v>35.74</v>
      </c>
      <c r="D185">
        <v>35.76</v>
      </c>
      <c r="E185" s="178">
        <v>-0.08</v>
      </c>
      <c r="F185" s="176">
        <v>-0.22</v>
      </c>
      <c r="G185" t="s">
        <v>5451</v>
      </c>
      <c r="H185">
        <v>354</v>
      </c>
      <c r="I185">
        <v>300</v>
      </c>
      <c r="J185" t="s">
        <v>1667</v>
      </c>
      <c r="K185">
        <v>35.770000000000003</v>
      </c>
      <c r="L185">
        <v>35.65</v>
      </c>
      <c r="M185" s="175" t="s">
        <v>1667</v>
      </c>
      <c r="N185" t="s">
        <v>1667</v>
      </c>
    </row>
    <row r="186" spans="1:14">
      <c r="A186" t="s">
        <v>2501</v>
      </c>
      <c r="B186" t="s">
        <v>2502</v>
      </c>
      <c r="C186">
        <v>40.92</v>
      </c>
      <c r="D186">
        <v>40.950000000000003</v>
      </c>
      <c r="E186" s="178">
        <v>0.1</v>
      </c>
      <c r="F186" s="176">
        <v>0.24</v>
      </c>
      <c r="G186" t="s">
        <v>5210</v>
      </c>
      <c r="H186">
        <v>2989</v>
      </c>
      <c r="I186">
        <v>2604</v>
      </c>
      <c r="J186" t="s">
        <v>1667</v>
      </c>
      <c r="K186">
        <v>40.950000000000003</v>
      </c>
      <c r="L186">
        <v>40.869999999999997</v>
      </c>
      <c r="M186" s="175" t="s">
        <v>1667</v>
      </c>
      <c r="N186" t="s">
        <v>1667</v>
      </c>
    </row>
    <row r="187" spans="1:14">
      <c r="A187" t="s">
        <v>2503</v>
      </c>
      <c r="B187" t="s">
        <v>2590</v>
      </c>
      <c r="C187">
        <v>37.72</v>
      </c>
      <c r="D187">
        <v>37.74</v>
      </c>
      <c r="E187" s="178">
        <v>0.08</v>
      </c>
      <c r="F187" s="176">
        <v>0.21</v>
      </c>
      <c r="G187" t="s">
        <v>5296</v>
      </c>
      <c r="H187">
        <v>102</v>
      </c>
      <c r="I187">
        <v>123</v>
      </c>
      <c r="J187" t="s">
        <v>1667</v>
      </c>
      <c r="K187">
        <v>37.74</v>
      </c>
      <c r="L187">
        <v>37.71</v>
      </c>
      <c r="M187" s="175" t="s">
        <v>1667</v>
      </c>
      <c r="N187" t="s">
        <v>1667</v>
      </c>
    </row>
    <row r="188" spans="1:14">
      <c r="A188">
        <v>861</v>
      </c>
      <c r="B188" t="s">
        <v>2504</v>
      </c>
      <c r="C188">
        <v>84</v>
      </c>
      <c r="D188">
        <v>84.1</v>
      </c>
      <c r="E188" s="178">
        <v>-1.3</v>
      </c>
      <c r="F188" s="176">
        <v>-1.52</v>
      </c>
      <c r="G188" t="s">
        <v>5493</v>
      </c>
      <c r="H188">
        <v>39</v>
      </c>
      <c r="I188">
        <v>59</v>
      </c>
      <c r="J188" t="s">
        <v>1667</v>
      </c>
      <c r="K188">
        <v>84.1</v>
      </c>
      <c r="L188">
        <v>83.25</v>
      </c>
      <c r="M188" s="175" t="s">
        <v>1667</v>
      </c>
      <c r="N188" t="s">
        <v>1667</v>
      </c>
    </row>
    <row r="189" spans="1:14">
      <c r="A189" t="s">
        <v>2505</v>
      </c>
      <c r="B189" t="s">
        <v>2506</v>
      </c>
      <c r="C189">
        <v>30.79</v>
      </c>
      <c r="D189">
        <v>30.84</v>
      </c>
      <c r="E189" s="178">
        <v>0.09</v>
      </c>
      <c r="F189" s="176">
        <v>0.28999999999999998</v>
      </c>
      <c r="G189" t="s">
        <v>5540</v>
      </c>
      <c r="H189">
        <v>142</v>
      </c>
      <c r="I189">
        <v>420</v>
      </c>
      <c r="J189" t="s">
        <v>1667</v>
      </c>
      <c r="K189">
        <v>30.84</v>
      </c>
      <c r="L189">
        <v>30.79</v>
      </c>
      <c r="M189" s="175" t="s">
        <v>1667</v>
      </c>
      <c r="N189" t="s">
        <v>1667</v>
      </c>
    </row>
    <row r="190" spans="1:14">
      <c r="A190" t="s">
        <v>2507</v>
      </c>
      <c r="B190" t="s">
        <v>2508</v>
      </c>
      <c r="C190">
        <v>30.81</v>
      </c>
      <c r="D190">
        <v>30.86</v>
      </c>
      <c r="E190" s="178">
        <v>-0.01</v>
      </c>
      <c r="F190" s="176">
        <v>-0.03</v>
      </c>
      <c r="G190" t="s">
        <v>5859</v>
      </c>
      <c r="H190">
        <v>170</v>
      </c>
      <c r="I190">
        <v>528</v>
      </c>
      <c r="J190" t="s">
        <v>1667</v>
      </c>
      <c r="K190">
        <v>30.94</v>
      </c>
      <c r="L190">
        <v>30.81</v>
      </c>
      <c r="M190" s="175" t="s">
        <v>1667</v>
      </c>
      <c r="N190" t="s">
        <v>1667</v>
      </c>
    </row>
    <row r="191" spans="1:14">
      <c r="A191" t="s">
        <v>2509</v>
      </c>
      <c r="B191" t="s">
        <v>2510</v>
      </c>
      <c r="C191">
        <v>45.8</v>
      </c>
      <c r="D191">
        <v>45.83</v>
      </c>
      <c r="E191" s="178">
        <v>0.03</v>
      </c>
      <c r="F191" s="176">
        <v>7.0000000000000007E-2</v>
      </c>
      <c r="G191" t="s">
        <v>5860</v>
      </c>
      <c r="H191">
        <v>1019</v>
      </c>
      <c r="I191">
        <v>1471</v>
      </c>
      <c r="J191" t="s">
        <v>1667</v>
      </c>
      <c r="K191">
        <v>45.86</v>
      </c>
      <c r="L191">
        <v>45.77</v>
      </c>
      <c r="M191" s="175" t="s">
        <v>1667</v>
      </c>
      <c r="N191" t="s">
        <v>1667</v>
      </c>
    </row>
    <row r="192" spans="1:14">
      <c r="A192" t="s">
        <v>2511</v>
      </c>
      <c r="B192" t="s">
        <v>2512</v>
      </c>
      <c r="C192">
        <v>48.71</v>
      </c>
      <c r="D192">
        <v>48.59</v>
      </c>
      <c r="E192" s="178">
        <v>0.08</v>
      </c>
      <c r="F192" s="176">
        <v>0.16</v>
      </c>
      <c r="G192" t="s">
        <v>5203</v>
      </c>
      <c r="H192">
        <v>2494</v>
      </c>
      <c r="I192">
        <v>2887</v>
      </c>
      <c r="J192" t="s">
        <v>1667</v>
      </c>
      <c r="K192">
        <v>48.71</v>
      </c>
      <c r="L192">
        <v>48.52</v>
      </c>
      <c r="M192" s="175" t="s">
        <v>1667</v>
      </c>
      <c r="N192" t="s">
        <v>1667</v>
      </c>
    </row>
    <row r="193" spans="1:14">
      <c r="A193" t="s">
        <v>2513</v>
      </c>
      <c r="B193" t="s">
        <v>5154</v>
      </c>
      <c r="C193" t="s">
        <v>1667</v>
      </c>
      <c r="D193" t="s">
        <v>1667</v>
      </c>
      <c r="E193" s="178" t="s">
        <v>1667</v>
      </c>
      <c r="F193" s="176" t="s">
        <v>1667</v>
      </c>
      <c r="G193" t="s">
        <v>1667</v>
      </c>
      <c r="H193">
        <v>0</v>
      </c>
      <c r="I193">
        <v>10</v>
      </c>
      <c r="J193" t="s">
        <v>1667</v>
      </c>
      <c r="K193" t="s">
        <v>1667</v>
      </c>
      <c r="L193" t="s">
        <v>1667</v>
      </c>
      <c r="M193" s="175" t="s">
        <v>1667</v>
      </c>
      <c r="N193" t="s">
        <v>1667</v>
      </c>
    </row>
    <row r="194" spans="1:14">
      <c r="A194" t="s">
        <v>2514</v>
      </c>
      <c r="B194" t="s">
        <v>2515</v>
      </c>
      <c r="C194">
        <v>27.52</v>
      </c>
      <c r="D194">
        <v>27.52</v>
      </c>
      <c r="E194" s="178">
        <v>0.02</v>
      </c>
      <c r="F194" s="176">
        <v>7.0000000000000007E-2</v>
      </c>
      <c r="G194" t="s">
        <v>5632</v>
      </c>
      <c r="H194">
        <v>20</v>
      </c>
      <c r="I194">
        <v>28</v>
      </c>
      <c r="J194" t="s">
        <v>1667</v>
      </c>
      <c r="K194">
        <v>27.52</v>
      </c>
      <c r="L194">
        <v>27.52</v>
      </c>
      <c r="M194" s="175" t="s">
        <v>1667</v>
      </c>
      <c r="N194" t="s">
        <v>1667</v>
      </c>
    </row>
    <row r="195" spans="1:14">
      <c r="A195">
        <v>875</v>
      </c>
      <c r="B195" t="s">
        <v>2516</v>
      </c>
      <c r="C195">
        <v>55</v>
      </c>
      <c r="D195">
        <v>54.95</v>
      </c>
      <c r="E195" s="178">
        <v>-0.8</v>
      </c>
      <c r="F195" s="176">
        <v>-1.43</v>
      </c>
      <c r="G195" t="s">
        <v>5549</v>
      </c>
      <c r="H195">
        <v>57</v>
      </c>
      <c r="I195">
        <v>241</v>
      </c>
      <c r="J195" t="s">
        <v>1667</v>
      </c>
      <c r="K195">
        <v>55</v>
      </c>
      <c r="L195">
        <v>54.6</v>
      </c>
      <c r="M195" s="175" t="s">
        <v>1667</v>
      </c>
      <c r="N195" t="s">
        <v>1667</v>
      </c>
    </row>
    <row r="196" spans="1:14">
      <c r="A196">
        <v>876</v>
      </c>
      <c r="B196" t="s">
        <v>2517</v>
      </c>
      <c r="C196">
        <v>85.45</v>
      </c>
      <c r="D196">
        <v>85</v>
      </c>
      <c r="E196" s="178">
        <v>-2.15</v>
      </c>
      <c r="F196" s="176">
        <v>-2.4700000000000002</v>
      </c>
      <c r="G196" t="s">
        <v>5235</v>
      </c>
      <c r="H196">
        <v>59</v>
      </c>
      <c r="I196">
        <v>285</v>
      </c>
      <c r="J196" t="s">
        <v>1667</v>
      </c>
      <c r="K196">
        <v>85.45</v>
      </c>
      <c r="L196">
        <v>83.25</v>
      </c>
      <c r="M196" s="175" t="s">
        <v>1667</v>
      </c>
      <c r="N196" t="s">
        <v>1667</v>
      </c>
    </row>
    <row r="197" spans="1:14">
      <c r="A197">
        <v>877</v>
      </c>
      <c r="B197" t="s">
        <v>2591</v>
      </c>
      <c r="C197">
        <v>37.46</v>
      </c>
      <c r="D197">
        <v>37.369999999999997</v>
      </c>
      <c r="E197" s="178">
        <v>-0.16</v>
      </c>
      <c r="F197" s="176">
        <v>-0.43</v>
      </c>
      <c r="G197" t="s">
        <v>5861</v>
      </c>
      <c r="H197">
        <v>1521</v>
      </c>
      <c r="I197">
        <v>3189</v>
      </c>
      <c r="J197" t="s">
        <v>1667</v>
      </c>
      <c r="K197">
        <v>37.51</v>
      </c>
      <c r="L197">
        <v>36.75</v>
      </c>
      <c r="M197" s="175" t="s">
        <v>1667</v>
      </c>
      <c r="N197" t="s">
        <v>1667</v>
      </c>
    </row>
    <row r="198" spans="1:14">
      <c r="A198">
        <v>878</v>
      </c>
      <c r="B198" t="s">
        <v>2518</v>
      </c>
      <c r="C198">
        <v>32.78</v>
      </c>
      <c r="D198">
        <v>33.18</v>
      </c>
      <c r="E198" s="178">
        <v>0.18</v>
      </c>
      <c r="F198" s="176">
        <v>0.55000000000000004</v>
      </c>
      <c r="G198" t="s">
        <v>5862</v>
      </c>
      <c r="H198">
        <v>35889</v>
      </c>
      <c r="I198">
        <v>26585</v>
      </c>
      <c r="J198" t="s">
        <v>1667</v>
      </c>
      <c r="K198">
        <v>33.19</v>
      </c>
      <c r="L198">
        <v>32.71</v>
      </c>
      <c r="M198" s="175" t="s">
        <v>1667</v>
      </c>
      <c r="N198" t="s">
        <v>1667</v>
      </c>
    </row>
    <row r="199" spans="1:14">
      <c r="A199">
        <v>881</v>
      </c>
      <c r="B199" t="s">
        <v>4468</v>
      </c>
      <c r="C199">
        <v>49.24</v>
      </c>
      <c r="D199">
        <v>49.58</v>
      </c>
      <c r="E199" s="178">
        <v>-0.42</v>
      </c>
      <c r="F199" s="176">
        <v>-0.84</v>
      </c>
      <c r="G199" t="s">
        <v>5863</v>
      </c>
      <c r="H199">
        <v>19703</v>
      </c>
      <c r="I199">
        <v>24028</v>
      </c>
      <c r="J199" t="s">
        <v>1667</v>
      </c>
      <c r="K199">
        <v>49.58</v>
      </c>
      <c r="L199">
        <v>48.94</v>
      </c>
      <c r="M199" s="175" t="s">
        <v>1667</v>
      </c>
      <c r="N199" t="s">
        <v>1667</v>
      </c>
    </row>
    <row r="200" spans="1:14">
      <c r="A200">
        <v>882</v>
      </c>
      <c r="B200" t="s">
        <v>2519</v>
      </c>
      <c r="C200">
        <v>14.98</v>
      </c>
      <c r="D200">
        <v>14.94</v>
      </c>
      <c r="E200" s="178">
        <v>-0.04</v>
      </c>
      <c r="F200" s="176">
        <v>-0.27</v>
      </c>
      <c r="G200" t="s">
        <v>5864</v>
      </c>
      <c r="H200">
        <v>2095</v>
      </c>
      <c r="I200">
        <v>3289</v>
      </c>
      <c r="J200" t="s">
        <v>1667</v>
      </c>
      <c r="K200">
        <v>14.98</v>
      </c>
      <c r="L200">
        <v>14.89</v>
      </c>
      <c r="M200" s="175" t="s">
        <v>1667</v>
      </c>
      <c r="N200" t="s">
        <v>1667</v>
      </c>
    </row>
    <row r="201" spans="1:14">
      <c r="A201" t="s">
        <v>2520</v>
      </c>
      <c r="B201" t="s">
        <v>2521</v>
      </c>
      <c r="C201">
        <v>28.79</v>
      </c>
      <c r="D201">
        <v>28.77</v>
      </c>
      <c r="E201" s="178">
        <v>0.1</v>
      </c>
      <c r="F201" s="176">
        <v>0.35</v>
      </c>
      <c r="G201" t="s">
        <v>5728</v>
      </c>
      <c r="H201">
        <v>141</v>
      </c>
      <c r="I201">
        <v>464</v>
      </c>
      <c r="J201" t="s">
        <v>1667</v>
      </c>
      <c r="K201">
        <v>28.79</v>
      </c>
      <c r="L201">
        <v>28.77</v>
      </c>
      <c r="M201" s="175" t="s">
        <v>1667</v>
      </c>
      <c r="N201" t="s">
        <v>1667</v>
      </c>
    </row>
    <row r="202" spans="1:14">
      <c r="A202">
        <v>885</v>
      </c>
      <c r="B202" t="s">
        <v>2522</v>
      </c>
      <c r="C202">
        <v>18.48</v>
      </c>
      <c r="D202">
        <v>18.559999999999999</v>
      </c>
      <c r="E202" s="178">
        <v>0.03</v>
      </c>
      <c r="F202" s="176">
        <v>0.16</v>
      </c>
      <c r="G202" t="s">
        <v>5865</v>
      </c>
      <c r="H202">
        <v>1556</v>
      </c>
      <c r="I202">
        <v>3097</v>
      </c>
      <c r="J202" t="s">
        <v>1667</v>
      </c>
      <c r="K202">
        <v>18.57</v>
      </c>
      <c r="L202">
        <v>18.48</v>
      </c>
      <c r="M202" s="175" t="s">
        <v>1667</v>
      </c>
      <c r="N202" t="s">
        <v>1667</v>
      </c>
    </row>
    <row r="203" spans="1:14">
      <c r="A203">
        <v>886</v>
      </c>
      <c r="B203" t="s">
        <v>2523</v>
      </c>
      <c r="C203">
        <v>47.19</v>
      </c>
      <c r="D203">
        <v>47.33</v>
      </c>
      <c r="E203" s="178">
        <v>-0.18</v>
      </c>
      <c r="F203" s="176">
        <v>-0.38</v>
      </c>
      <c r="G203" t="s">
        <v>5866</v>
      </c>
      <c r="H203">
        <v>32</v>
      </c>
      <c r="I203">
        <v>36</v>
      </c>
      <c r="J203" t="s">
        <v>1667</v>
      </c>
      <c r="K203">
        <v>47.33</v>
      </c>
      <c r="L203">
        <v>47</v>
      </c>
      <c r="M203" s="175" t="s">
        <v>1667</v>
      </c>
      <c r="N203" t="s">
        <v>1667</v>
      </c>
    </row>
    <row r="204" spans="1:14">
      <c r="A204">
        <v>887</v>
      </c>
      <c r="B204" t="s">
        <v>2524</v>
      </c>
      <c r="C204">
        <v>16.190000000000001</v>
      </c>
      <c r="D204">
        <v>16.18</v>
      </c>
      <c r="E204" s="178">
        <v>-0.12</v>
      </c>
      <c r="F204" s="176">
        <v>-0.74</v>
      </c>
      <c r="G204" t="s">
        <v>5867</v>
      </c>
      <c r="H204">
        <v>2904</v>
      </c>
      <c r="I204">
        <v>5608</v>
      </c>
      <c r="J204" t="s">
        <v>1667</v>
      </c>
      <c r="K204">
        <v>16.190000000000001</v>
      </c>
      <c r="L204">
        <v>15.99</v>
      </c>
      <c r="M204" s="175" t="s">
        <v>1667</v>
      </c>
      <c r="N204" t="s">
        <v>1667</v>
      </c>
    </row>
    <row r="205" spans="1:14">
      <c r="A205">
        <v>888</v>
      </c>
      <c r="B205" t="s">
        <v>2525</v>
      </c>
      <c r="C205">
        <v>33.29</v>
      </c>
      <c r="D205">
        <v>33.57</v>
      </c>
      <c r="E205" s="178">
        <v>-0.19</v>
      </c>
      <c r="F205" s="176">
        <v>-0.56000000000000005</v>
      </c>
      <c r="G205" t="s">
        <v>5266</v>
      </c>
      <c r="H205">
        <v>4237</v>
      </c>
      <c r="I205">
        <v>5355</v>
      </c>
      <c r="J205" t="s">
        <v>1667</v>
      </c>
      <c r="K205">
        <v>33.57</v>
      </c>
      <c r="L205">
        <v>33.020000000000003</v>
      </c>
      <c r="M205" s="175" t="s">
        <v>1667</v>
      </c>
      <c r="N205" t="s">
        <v>1667</v>
      </c>
    </row>
    <row r="206" spans="1:14">
      <c r="A206" t="s">
        <v>2526</v>
      </c>
      <c r="B206" t="s">
        <v>2527</v>
      </c>
      <c r="C206">
        <v>31.22</v>
      </c>
      <c r="D206">
        <v>31.21</v>
      </c>
      <c r="E206" s="178">
        <v>0.02</v>
      </c>
      <c r="F206" s="176">
        <v>0.06</v>
      </c>
      <c r="G206" t="s">
        <v>5510</v>
      </c>
      <c r="H206">
        <v>131</v>
      </c>
      <c r="I206">
        <v>105</v>
      </c>
      <c r="J206" t="s">
        <v>1667</v>
      </c>
      <c r="K206">
        <v>31.25</v>
      </c>
      <c r="L206">
        <v>31.2</v>
      </c>
      <c r="M206" s="175" t="s">
        <v>1667</v>
      </c>
      <c r="N206" t="s">
        <v>1667</v>
      </c>
    </row>
    <row r="207" spans="1:14">
      <c r="A207">
        <v>891</v>
      </c>
      <c r="B207" t="s">
        <v>2528</v>
      </c>
      <c r="C207">
        <v>34.04</v>
      </c>
      <c r="D207">
        <v>34.340000000000003</v>
      </c>
      <c r="E207" s="178">
        <v>-0.24</v>
      </c>
      <c r="F207" s="176">
        <v>-0.69</v>
      </c>
      <c r="G207" t="s">
        <v>5868</v>
      </c>
      <c r="H207">
        <v>11645</v>
      </c>
      <c r="I207">
        <v>9966</v>
      </c>
      <c r="J207" t="s">
        <v>1667</v>
      </c>
      <c r="K207">
        <v>34.340000000000003</v>
      </c>
      <c r="L207">
        <v>33.72</v>
      </c>
      <c r="M207" s="175" t="s">
        <v>1667</v>
      </c>
      <c r="N207" t="s">
        <v>1667</v>
      </c>
    </row>
    <row r="208" spans="1:14">
      <c r="A208">
        <v>892</v>
      </c>
      <c r="B208" t="s">
        <v>2529</v>
      </c>
      <c r="C208">
        <v>39.6</v>
      </c>
      <c r="D208">
        <v>39.520000000000003</v>
      </c>
      <c r="E208" s="178">
        <v>-0.54</v>
      </c>
      <c r="F208" s="176">
        <v>-1.35</v>
      </c>
      <c r="G208" t="s">
        <v>5869</v>
      </c>
      <c r="H208">
        <v>3787</v>
      </c>
      <c r="I208">
        <v>3091</v>
      </c>
      <c r="J208" t="s">
        <v>1667</v>
      </c>
      <c r="K208">
        <v>39.6</v>
      </c>
      <c r="L208">
        <v>38.69</v>
      </c>
      <c r="M208" s="175" t="s">
        <v>1667</v>
      </c>
      <c r="N208" t="s">
        <v>1667</v>
      </c>
    </row>
    <row r="209" spans="1:14">
      <c r="A209">
        <v>893</v>
      </c>
      <c r="B209" t="s">
        <v>2530</v>
      </c>
      <c r="C209">
        <v>42</v>
      </c>
      <c r="D209">
        <v>42.18</v>
      </c>
      <c r="E209" s="178">
        <v>-0.71</v>
      </c>
      <c r="F209" s="176">
        <v>-1.66</v>
      </c>
      <c r="G209" t="s">
        <v>5870</v>
      </c>
      <c r="H209">
        <v>777</v>
      </c>
      <c r="I209">
        <v>583</v>
      </c>
      <c r="J209" t="s">
        <v>1667</v>
      </c>
      <c r="K209">
        <v>42.18</v>
      </c>
      <c r="L209">
        <v>41.8</v>
      </c>
      <c r="M209" s="175" t="s">
        <v>1667</v>
      </c>
      <c r="N209" t="s">
        <v>1667</v>
      </c>
    </row>
    <row r="210" spans="1:14">
      <c r="A210">
        <v>894</v>
      </c>
      <c r="B210" t="s">
        <v>2531</v>
      </c>
      <c r="C210">
        <v>46.12</v>
      </c>
      <c r="D210">
        <v>46.52</v>
      </c>
      <c r="E210" s="178">
        <v>-0.42</v>
      </c>
      <c r="F210" s="176">
        <v>-0.89</v>
      </c>
      <c r="G210" t="s">
        <v>5871</v>
      </c>
      <c r="H210">
        <v>803</v>
      </c>
      <c r="I210">
        <v>905</v>
      </c>
      <c r="J210" t="s">
        <v>1667</v>
      </c>
      <c r="K210">
        <v>46.52</v>
      </c>
      <c r="L210">
        <v>45.58</v>
      </c>
      <c r="M210" s="175" t="s">
        <v>1667</v>
      </c>
      <c r="N210" t="s">
        <v>1667</v>
      </c>
    </row>
    <row r="211" spans="1:14">
      <c r="A211">
        <v>895</v>
      </c>
      <c r="B211" t="s">
        <v>2532</v>
      </c>
      <c r="C211">
        <v>49.7</v>
      </c>
      <c r="D211">
        <v>49.34</v>
      </c>
      <c r="E211" s="178">
        <v>-0.96</v>
      </c>
      <c r="F211" s="176">
        <v>-1.91</v>
      </c>
      <c r="G211" t="s">
        <v>5872</v>
      </c>
      <c r="H211">
        <v>96</v>
      </c>
      <c r="I211">
        <v>450</v>
      </c>
      <c r="J211" t="s">
        <v>1667</v>
      </c>
      <c r="K211">
        <v>49.7</v>
      </c>
      <c r="L211">
        <v>49.01</v>
      </c>
      <c r="M211" s="175" t="s">
        <v>1667</v>
      </c>
      <c r="N211" t="s">
        <v>1667</v>
      </c>
    </row>
    <row r="212" spans="1:14">
      <c r="A212">
        <v>896</v>
      </c>
      <c r="B212" t="s">
        <v>2533</v>
      </c>
      <c r="C212">
        <v>27.71</v>
      </c>
      <c r="D212">
        <v>28.07</v>
      </c>
      <c r="E212" s="178">
        <v>0.03</v>
      </c>
      <c r="F212" s="176">
        <v>0.11</v>
      </c>
      <c r="G212" t="s">
        <v>5873</v>
      </c>
      <c r="H212">
        <v>1973</v>
      </c>
      <c r="I212">
        <v>2008</v>
      </c>
      <c r="J212" t="s">
        <v>1667</v>
      </c>
      <c r="K212">
        <v>28.1</v>
      </c>
      <c r="L212">
        <v>27.66</v>
      </c>
      <c r="M212" s="175" t="s">
        <v>1667</v>
      </c>
      <c r="N212" t="s">
        <v>1667</v>
      </c>
    </row>
    <row r="213" spans="1:14">
      <c r="A213">
        <v>897</v>
      </c>
      <c r="B213" t="s">
        <v>2534</v>
      </c>
      <c r="C213">
        <v>13.11</v>
      </c>
      <c r="D213">
        <v>13.04</v>
      </c>
      <c r="E213" s="178">
        <v>-0.4</v>
      </c>
      <c r="F213" s="176">
        <v>-2.98</v>
      </c>
      <c r="G213" t="s">
        <v>5499</v>
      </c>
      <c r="H213">
        <v>1056</v>
      </c>
      <c r="I213">
        <v>1442</v>
      </c>
      <c r="J213" t="s">
        <v>1667</v>
      </c>
      <c r="K213">
        <v>13.11</v>
      </c>
      <c r="L213">
        <v>12.99</v>
      </c>
      <c r="M213" s="175" t="s">
        <v>1667</v>
      </c>
      <c r="N213" t="s">
        <v>1667</v>
      </c>
    </row>
    <row r="214" spans="1:14">
      <c r="A214">
        <v>898</v>
      </c>
      <c r="B214" t="s">
        <v>2535</v>
      </c>
      <c r="C214">
        <v>10.86</v>
      </c>
      <c r="D214">
        <v>10.78</v>
      </c>
      <c r="E214" s="178">
        <v>-0.28000000000000003</v>
      </c>
      <c r="F214" s="176">
        <v>-2.5299999999999998</v>
      </c>
      <c r="G214" t="s">
        <v>5874</v>
      </c>
      <c r="H214">
        <v>1158</v>
      </c>
      <c r="I214">
        <v>1185</v>
      </c>
      <c r="J214" t="s">
        <v>1667</v>
      </c>
      <c r="K214">
        <v>10.86</v>
      </c>
      <c r="L214">
        <v>10.75</v>
      </c>
      <c r="M214" s="175" t="s">
        <v>1667</v>
      </c>
      <c r="N214" t="s">
        <v>1667</v>
      </c>
    </row>
    <row r="215" spans="1:14">
      <c r="A215">
        <v>899</v>
      </c>
      <c r="B215" t="s">
        <v>2536</v>
      </c>
      <c r="C215">
        <v>23.2</v>
      </c>
      <c r="D215">
        <v>23.18</v>
      </c>
      <c r="E215" s="178">
        <v>-0.23</v>
      </c>
      <c r="F215" s="176">
        <v>-0.98</v>
      </c>
      <c r="G215" t="s">
        <v>5465</v>
      </c>
      <c r="H215">
        <v>29</v>
      </c>
      <c r="I215">
        <v>33</v>
      </c>
      <c r="J215" t="s">
        <v>1667</v>
      </c>
      <c r="K215">
        <v>23.2</v>
      </c>
      <c r="L215">
        <v>23.1</v>
      </c>
      <c r="M215" s="175" t="s">
        <v>1667</v>
      </c>
      <c r="N215" t="s">
        <v>1667</v>
      </c>
    </row>
    <row r="216" spans="1:14">
      <c r="A216">
        <v>900</v>
      </c>
      <c r="B216" t="s">
        <v>2537</v>
      </c>
      <c r="C216">
        <v>18.88</v>
      </c>
      <c r="D216">
        <v>19.29</v>
      </c>
      <c r="E216" s="178">
        <v>0.26</v>
      </c>
      <c r="F216" s="176">
        <v>1.37</v>
      </c>
      <c r="G216" t="s">
        <v>5307</v>
      </c>
      <c r="H216">
        <v>8033</v>
      </c>
      <c r="I216">
        <v>5061</v>
      </c>
      <c r="J216" t="s">
        <v>1667</v>
      </c>
      <c r="K216">
        <v>19.29</v>
      </c>
      <c r="L216">
        <v>18.88</v>
      </c>
      <c r="M216" s="175" t="s">
        <v>1667</v>
      </c>
      <c r="N216" t="s">
        <v>1667</v>
      </c>
    </row>
    <row r="217" spans="1:14">
      <c r="A217">
        <v>901</v>
      </c>
      <c r="B217" t="s">
        <v>2538</v>
      </c>
      <c r="C217">
        <v>45.36</v>
      </c>
      <c r="D217">
        <v>45.56</v>
      </c>
      <c r="E217" s="178">
        <v>-0.71</v>
      </c>
      <c r="F217" s="176">
        <v>-1.53</v>
      </c>
      <c r="G217" t="s">
        <v>5190</v>
      </c>
      <c r="H217">
        <v>34</v>
      </c>
      <c r="I217">
        <v>132</v>
      </c>
      <c r="J217" t="s">
        <v>1667</v>
      </c>
      <c r="K217">
        <v>45.56</v>
      </c>
      <c r="L217">
        <v>44.99</v>
      </c>
      <c r="M217" s="175" t="s">
        <v>1667</v>
      </c>
      <c r="N217" t="s">
        <v>1667</v>
      </c>
    </row>
    <row r="218" spans="1:14">
      <c r="A218">
        <v>902</v>
      </c>
      <c r="B218" t="s">
        <v>2539</v>
      </c>
      <c r="C218">
        <v>13.64</v>
      </c>
      <c r="D218">
        <v>13.55</v>
      </c>
      <c r="E218" s="178">
        <v>-0.09</v>
      </c>
      <c r="F218" s="176">
        <v>-0.66</v>
      </c>
      <c r="G218" t="s">
        <v>5282</v>
      </c>
      <c r="H218">
        <v>404</v>
      </c>
      <c r="I218">
        <v>452</v>
      </c>
      <c r="J218" t="s">
        <v>1667</v>
      </c>
      <c r="K218">
        <v>13.64</v>
      </c>
      <c r="L218">
        <v>13.38</v>
      </c>
      <c r="M218" s="175" t="s">
        <v>1667</v>
      </c>
      <c r="N218" t="s">
        <v>1667</v>
      </c>
    </row>
    <row r="219" spans="1:14">
      <c r="A219">
        <v>903</v>
      </c>
      <c r="B219" t="s">
        <v>2540</v>
      </c>
      <c r="C219">
        <v>21.05</v>
      </c>
      <c r="D219">
        <v>21.15</v>
      </c>
      <c r="E219" s="178">
        <v>-0.16</v>
      </c>
      <c r="F219" s="176">
        <v>-0.75</v>
      </c>
      <c r="G219" t="s">
        <v>5875</v>
      </c>
      <c r="H219">
        <v>78</v>
      </c>
      <c r="I219">
        <v>313</v>
      </c>
      <c r="J219" t="s">
        <v>1667</v>
      </c>
      <c r="K219">
        <v>21.15</v>
      </c>
      <c r="L219">
        <v>21.04</v>
      </c>
      <c r="M219" s="175" t="s">
        <v>1667</v>
      </c>
      <c r="N219" t="s">
        <v>1667</v>
      </c>
    </row>
    <row r="220" spans="1:14">
      <c r="A220">
        <v>904</v>
      </c>
      <c r="B220" t="s">
        <v>5155</v>
      </c>
      <c r="C220">
        <v>39.69</v>
      </c>
      <c r="D220">
        <v>39.950000000000003</v>
      </c>
      <c r="E220" s="178">
        <v>-0.55000000000000004</v>
      </c>
      <c r="F220" s="176">
        <v>-1.36</v>
      </c>
      <c r="G220" t="s">
        <v>5656</v>
      </c>
      <c r="H220">
        <v>906</v>
      </c>
      <c r="I220">
        <v>690</v>
      </c>
      <c r="J220" t="s">
        <v>1667</v>
      </c>
      <c r="K220">
        <v>40</v>
      </c>
      <c r="L220">
        <v>39.35</v>
      </c>
      <c r="M220" s="175" t="s">
        <v>1667</v>
      </c>
      <c r="N220" t="s">
        <v>1667</v>
      </c>
    </row>
    <row r="221" spans="1:14">
      <c r="A221">
        <v>905</v>
      </c>
      <c r="B221" t="s">
        <v>2541</v>
      </c>
      <c r="C221">
        <v>26.2</v>
      </c>
      <c r="D221">
        <v>26.21</v>
      </c>
      <c r="E221" s="178">
        <v>-0.36</v>
      </c>
      <c r="F221" s="176">
        <v>-1.35</v>
      </c>
      <c r="G221" t="s">
        <v>5876</v>
      </c>
      <c r="H221">
        <v>946</v>
      </c>
      <c r="I221">
        <v>817</v>
      </c>
      <c r="J221" t="s">
        <v>1667</v>
      </c>
      <c r="K221">
        <v>26.21</v>
      </c>
      <c r="L221">
        <v>25.88</v>
      </c>
      <c r="M221" s="175" t="s">
        <v>1667</v>
      </c>
      <c r="N221" t="s">
        <v>1667</v>
      </c>
    </row>
    <row r="222" spans="1:14">
      <c r="A222">
        <v>907</v>
      </c>
      <c r="B222" t="s">
        <v>2542</v>
      </c>
      <c r="C222">
        <v>17.100000000000001</v>
      </c>
      <c r="D222">
        <v>17.260000000000002</v>
      </c>
      <c r="E222" s="178">
        <v>0.15</v>
      </c>
      <c r="F222" s="176">
        <v>0.88</v>
      </c>
      <c r="G222" t="s">
        <v>5877</v>
      </c>
      <c r="H222">
        <v>999</v>
      </c>
      <c r="I222">
        <v>1358</v>
      </c>
      <c r="J222" t="s">
        <v>1667</v>
      </c>
      <c r="K222">
        <v>17.260000000000002</v>
      </c>
      <c r="L222">
        <v>17.100000000000001</v>
      </c>
      <c r="M222" s="175" t="s">
        <v>1667</v>
      </c>
      <c r="N222" t="s">
        <v>1667</v>
      </c>
    </row>
    <row r="223" spans="1:14">
      <c r="A223">
        <v>908</v>
      </c>
      <c r="B223" t="s">
        <v>2543</v>
      </c>
      <c r="C223">
        <v>15.39</v>
      </c>
      <c r="D223">
        <v>15.42</v>
      </c>
      <c r="E223" s="178">
        <v>0</v>
      </c>
      <c r="F223" s="176">
        <v>0</v>
      </c>
      <c r="G223" t="s">
        <v>5726</v>
      </c>
      <c r="H223">
        <v>53</v>
      </c>
      <c r="I223">
        <v>198</v>
      </c>
      <c r="J223" t="s">
        <v>1667</v>
      </c>
      <c r="K223">
        <v>15.42</v>
      </c>
      <c r="L223">
        <v>15.39</v>
      </c>
      <c r="M223" s="175" t="s">
        <v>1667</v>
      </c>
      <c r="N223" t="s">
        <v>1667</v>
      </c>
    </row>
    <row r="224" spans="1:14">
      <c r="A224">
        <v>909</v>
      </c>
      <c r="B224" t="s">
        <v>2544</v>
      </c>
      <c r="C224">
        <v>45.62</v>
      </c>
      <c r="D224">
        <v>45.23</v>
      </c>
      <c r="E224" s="178">
        <v>-2.59</v>
      </c>
      <c r="F224" s="176">
        <v>-5.42</v>
      </c>
      <c r="G224" t="s">
        <v>5878</v>
      </c>
      <c r="H224">
        <v>1816</v>
      </c>
      <c r="I224">
        <v>1773</v>
      </c>
      <c r="J224" t="s">
        <v>1667</v>
      </c>
      <c r="K224">
        <v>45.62</v>
      </c>
      <c r="L224">
        <v>44.92</v>
      </c>
      <c r="M224" s="175" t="s">
        <v>1667</v>
      </c>
      <c r="N224" t="s">
        <v>1667</v>
      </c>
    </row>
    <row r="225" spans="1:14">
      <c r="A225">
        <v>910</v>
      </c>
      <c r="B225" t="s">
        <v>2545</v>
      </c>
      <c r="C225">
        <v>56.95</v>
      </c>
      <c r="D225">
        <v>57.15</v>
      </c>
      <c r="E225" s="178">
        <v>-1.2</v>
      </c>
      <c r="F225" s="176">
        <v>-2.06</v>
      </c>
      <c r="G225" t="s">
        <v>5879</v>
      </c>
      <c r="H225">
        <v>872</v>
      </c>
      <c r="I225">
        <v>585</v>
      </c>
      <c r="J225" t="s">
        <v>1667</v>
      </c>
      <c r="K225">
        <v>57.15</v>
      </c>
      <c r="L225">
        <v>56.55</v>
      </c>
      <c r="M225" s="175" t="s">
        <v>1667</v>
      </c>
      <c r="N225" t="s">
        <v>1667</v>
      </c>
    </row>
    <row r="226" spans="1:14">
      <c r="A226">
        <v>911</v>
      </c>
      <c r="B226" t="s">
        <v>2546</v>
      </c>
      <c r="C226">
        <v>50.95</v>
      </c>
      <c r="D226">
        <v>51.25</v>
      </c>
      <c r="E226" s="178">
        <v>-1.25</v>
      </c>
      <c r="F226" s="176">
        <v>-2.38</v>
      </c>
      <c r="G226" t="s">
        <v>5880</v>
      </c>
      <c r="H226">
        <v>160</v>
      </c>
      <c r="I226">
        <v>840</v>
      </c>
      <c r="J226" t="s">
        <v>1667</v>
      </c>
      <c r="K226">
        <v>51.25</v>
      </c>
      <c r="L226">
        <v>50.7</v>
      </c>
      <c r="M226" s="175" t="s">
        <v>1667</v>
      </c>
      <c r="N226" t="s">
        <v>1667</v>
      </c>
    </row>
    <row r="227" spans="1:14">
      <c r="A227">
        <v>912</v>
      </c>
      <c r="B227" t="s">
        <v>2547</v>
      </c>
      <c r="C227">
        <v>34.64</v>
      </c>
      <c r="D227">
        <v>34.700000000000003</v>
      </c>
      <c r="E227" s="178">
        <v>-0.04</v>
      </c>
      <c r="F227" s="176">
        <v>-0.12</v>
      </c>
      <c r="G227" t="s">
        <v>5881</v>
      </c>
      <c r="H227">
        <v>258</v>
      </c>
      <c r="I227">
        <v>144</v>
      </c>
      <c r="J227" t="s">
        <v>1667</v>
      </c>
      <c r="K227">
        <v>34.700000000000003</v>
      </c>
      <c r="L227">
        <v>34.24</v>
      </c>
      <c r="M227" s="175" t="s">
        <v>1667</v>
      </c>
      <c r="N227" t="s">
        <v>1667</v>
      </c>
    </row>
    <row r="228" spans="1:14">
      <c r="A228">
        <v>913</v>
      </c>
      <c r="B228" t="s">
        <v>2548</v>
      </c>
      <c r="C228">
        <v>46.35</v>
      </c>
      <c r="D228">
        <v>46.9</v>
      </c>
      <c r="E228" s="178">
        <v>-0.63</v>
      </c>
      <c r="F228" s="176">
        <v>-1.33</v>
      </c>
      <c r="G228" t="s">
        <v>5882</v>
      </c>
      <c r="H228">
        <v>1050</v>
      </c>
      <c r="I228">
        <v>1014</v>
      </c>
      <c r="J228" t="s">
        <v>1667</v>
      </c>
      <c r="K228">
        <v>46.9</v>
      </c>
      <c r="L228">
        <v>45.7</v>
      </c>
      <c r="M228" s="175" t="s">
        <v>1667</v>
      </c>
      <c r="N228" t="s">
        <v>1667</v>
      </c>
    </row>
    <row r="229" spans="1:14">
      <c r="A229">
        <v>915</v>
      </c>
      <c r="B229" t="s">
        <v>2549</v>
      </c>
      <c r="C229">
        <v>31.39</v>
      </c>
      <c r="D229">
        <v>31.89</v>
      </c>
      <c r="E229" s="178">
        <v>0.13</v>
      </c>
      <c r="F229" s="176">
        <v>0.41</v>
      </c>
      <c r="G229" t="s">
        <v>5883</v>
      </c>
      <c r="H229">
        <v>1905</v>
      </c>
      <c r="I229">
        <v>1357</v>
      </c>
      <c r="J229" t="s">
        <v>1667</v>
      </c>
      <c r="K229">
        <v>31.89</v>
      </c>
      <c r="L229">
        <v>31.39</v>
      </c>
      <c r="M229" s="175" t="s">
        <v>1667</v>
      </c>
      <c r="N229" t="s">
        <v>1667</v>
      </c>
    </row>
    <row r="230" spans="1:14">
      <c r="A230">
        <v>916</v>
      </c>
      <c r="B230" t="s">
        <v>2550</v>
      </c>
      <c r="C230">
        <v>26.75</v>
      </c>
      <c r="D230">
        <v>26.95</v>
      </c>
      <c r="E230" s="178">
        <v>0.2</v>
      </c>
      <c r="F230" s="176">
        <v>0.75</v>
      </c>
      <c r="G230" t="s">
        <v>5654</v>
      </c>
      <c r="H230">
        <v>577</v>
      </c>
      <c r="I230">
        <v>315</v>
      </c>
      <c r="J230" t="s">
        <v>1667</v>
      </c>
      <c r="K230">
        <v>26.97</v>
      </c>
      <c r="L230">
        <v>26.72</v>
      </c>
      <c r="M230" s="175" t="s">
        <v>1667</v>
      </c>
      <c r="N230" t="s">
        <v>1667</v>
      </c>
    </row>
    <row r="231" spans="1:14">
      <c r="A231">
        <v>917</v>
      </c>
      <c r="B231" t="s">
        <v>2551</v>
      </c>
      <c r="C231">
        <v>24.15</v>
      </c>
      <c r="D231">
        <v>24.15</v>
      </c>
      <c r="E231" s="178">
        <v>7.0000000000000007E-2</v>
      </c>
      <c r="F231" s="176">
        <v>0.28999999999999998</v>
      </c>
      <c r="G231" t="s">
        <v>5884</v>
      </c>
      <c r="H231">
        <v>449</v>
      </c>
      <c r="I231">
        <v>719</v>
      </c>
      <c r="J231" t="s">
        <v>1667</v>
      </c>
      <c r="K231">
        <v>24.15</v>
      </c>
      <c r="L231">
        <v>24.08</v>
      </c>
      <c r="M231" s="175" t="s">
        <v>1667</v>
      </c>
      <c r="N231" t="s">
        <v>1667</v>
      </c>
    </row>
    <row r="232" spans="1:14">
      <c r="A232">
        <v>918</v>
      </c>
      <c r="B232" t="s">
        <v>2552</v>
      </c>
      <c r="C232">
        <v>34.119999999999997</v>
      </c>
      <c r="D232">
        <v>34.61</v>
      </c>
      <c r="E232" s="178">
        <v>0.35</v>
      </c>
      <c r="F232" s="176">
        <v>1.02</v>
      </c>
      <c r="G232" t="s">
        <v>5885</v>
      </c>
      <c r="H232">
        <v>19286</v>
      </c>
      <c r="I232">
        <v>10017</v>
      </c>
      <c r="J232" t="s">
        <v>1667</v>
      </c>
      <c r="K232">
        <v>34.64</v>
      </c>
      <c r="L232">
        <v>34.04</v>
      </c>
      <c r="M232" s="175" t="s">
        <v>1667</v>
      </c>
      <c r="N232" t="s">
        <v>1667</v>
      </c>
    </row>
    <row r="233" spans="1:14">
      <c r="A233">
        <v>919</v>
      </c>
      <c r="B233" t="s">
        <v>2553</v>
      </c>
      <c r="C233">
        <v>31.36</v>
      </c>
      <c r="D233">
        <v>31.96</v>
      </c>
      <c r="E233" s="178">
        <v>0.52</v>
      </c>
      <c r="F233" s="176">
        <v>1.65</v>
      </c>
      <c r="G233" t="s">
        <v>5886</v>
      </c>
      <c r="H233">
        <v>77094</v>
      </c>
      <c r="I233">
        <v>58896</v>
      </c>
      <c r="J233" t="s">
        <v>1667</v>
      </c>
      <c r="K233">
        <v>31.96</v>
      </c>
      <c r="L233">
        <v>31.35</v>
      </c>
      <c r="M233" s="175" t="s">
        <v>1667</v>
      </c>
      <c r="N233" t="s">
        <v>1667</v>
      </c>
    </row>
    <row r="234" spans="1:14">
      <c r="A234">
        <v>920</v>
      </c>
      <c r="B234" t="s">
        <v>2554</v>
      </c>
      <c r="C234">
        <v>24.57</v>
      </c>
      <c r="D234">
        <v>24.31</v>
      </c>
      <c r="E234" s="178">
        <v>-0.34</v>
      </c>
      <c r="F234" s="176">
        <v>-1.38</v>
      </c>
      <c r="G234" t="s">
        <v>5887</v>
      </c>
      <c r="H234">
        <v>256</v>
      </c>
      <c r="I234">
        <v>176</v>
      </c>
      <c r="J234" t="s">
        <v>1667</v>
      </c>
      <c r="K234">
        <v>24.57</v>
      </c>
      <c r="L234">
        <v>24.12</v>
      </c>
      <c r="M234" s="175" t="s">
        <v>1667</v>
      </c>
      <c r="N234" t="s">
        <v>1667</v>
      </c>
    </row>
    <row r="235" spans="1:14">
      <c r="A235">
        <v>921</v>
      </c>
      <c r="B235" t="s">
        <v>2555</v>
      </c>
      <c r="C235">
        <v>24.22</v>
      </c>
      <c r="D235">
        <v>24.47</v>
      </c>
      <c r="E235" s="178">
        <v>-0.01</v>
      </c>
      <c r="F235" s="176">
        <v>-0.04</v>
      </c>
      <c r="G235" t="s">
        <v>5371</v>
      </c>
      <c r="H235">
        <v>78</v>
      </c>
      <c r="I235">
        <v>83</v>
      </c>
      <c r="J235" t="s">
        <v>1667</v>
      </c>
      <c r="K235">
        <v>24.47</v>
      </c>
      <c r="L235">
        <v>24.22</v>
      </c>
      <c r="M235" s="175" t="s">
        <v>1667</v>
      </c>
      <c r="N235" t="s">
        <v>1667</v>
      </c>
    </row>
    <row r="236" spans="1:14">
      <c r="A236">
        <v>922</v>
      </c>
      <c r="B236" t="s">
        <v>2592</v>
      </c>
      <c r="C236">
        <v>40.880000000000003</v>
      </c>
      <c r="D236">
        <v>41.22</v>
      </c>
      <c r="E236" s="178">
        <v>-0.31</v>
      </c>
      <c r="F236" s="176">
        <v>-0.75</v>
      </c>
      <c r="G236" t="s">
        <v>5453</v>
      </c>
      <c r="H236">
        <v>10999</v>
      </c>
      <c r="I236">
        <v>7678</v>
      </c>
      <c r="J236" t="s">
        <v>1667</v>
      </c>
      <c r="K236">
        <v>41.28</v>
      </c>
      <c r="L236">
        <v>40.770000000000003</v>
      </c>
      <c r="M236" s="175" t="s">
        <v>1667</v>
      </c>
      <c r="N236" t="s">
        <v>1667</v>
      </c>
    </row>
    <row r="237" spans="1:14">
      <c r="A237">
        <v>923</v>
      </c>
      <c r="B237" t="s">
        <v>3045</v>
      </c>
      <c r="C237">
        <v>39.17</v>
      </c>
      <c r="D237">
        <v>39.380000000000003</v>
      </c>
      <c r="E237" s="178">
        <v>-0.39</v>
      </c>
      <c r="F237" s="176">
        <v>-0.98</v>
      </c>
      <c r="G237" t="s">
        <v>5869</v>
      </c>
      <c r="H237">
        <v>3821</v>
      </c>
      <c r="I237">
        <v>4272</v>
      </c>
      <c r="J237" t="s">
        <v>1667</v>
      </c>
      <c r="K237">
        <v>39.380000000000003</v>
      </c>
      <c r="L237">
        <v>38.93</v>
      </c>
      <c r="M237" s="175" t="s">
        <v>1667</v>
      </c>
      <c r="N237" t="s">
        <v>1667</v>
      </c>
    </row>
    <row r="238" spans="1:14">
      <c r="A238">
        <v>924</v>
      </c>
      <c r="B238" t="s">
        <v>2593</v>
      </c>
      <c r="C238">
        <v>32.950000000000003</v>
      </c>
      <c r="D238">
        <v>32.96</v>
      </c>
      <c r="E238" s="178">
        <v>-0.09</v>
      </c>
      <c r="F238" s="176">
        <v>-0.27</v>
      </c>
      <c r="G238" t="s">
        <v>5888</v>
      </c>
      <c r="H238">
        <v>1087</v>
      </c>
      <c r="I238">
        <v>1086</v>
      </c>
      <c r="J238" t="s">
        <v>1667</v>
      </c>
      <c r="K238">
        <v>32.97</v>
      </c>
      <c r="L238">
        <v>32.81</v>
      </c>
      <c r="M238" s="175" t="s">
        <v>1667</v>
      </c>
      <c r="N238" t="s">
        <v>1667</v>
      </c>
    </row>
    <row r="239" spans="1:14">
      <c r="A239">
        <v>926</v>
      </c>
      <c r="B239" t="s">
        <v>2594</v>
      </c>
      <c r="C239">
        <v>26.23</v>
      </c>
      <c r="D239">
        <v>26.26</v>
      </c>
      <c r="E239" s="178">
        <v>0.03</v>
      </c>
      <c r="F239" s="176">
        <v>0.11</v>
      </c>
      <c r="G239" t="s">
        <v>5889</v>
      </c>
      <c r="H239">
        <v>394</v>
      </c>
      <c r="I239">
        <v>428</v>
      </c>
      <c r="J239" t="s">
        <v>1667</v>
      </c>
      <c r="K239">
        <v>26.29</v>
      </c>
      <c r="L239">
        <v>26.13</v>
      </c>
      <c r="M239" s="175" t="s">
        <v>1667</v>
      </c>
      <c r="N239" t="s">
        <v>1667</v>
      </c>
    </row>
    <row r="240" spans="1:14">
      <c r="A240">
        <v>927</v>
      </c>
      <c r="B240" t="s">
        <v>2595</v>
      </c>
      <c r="C240">
        <v>36.020000000000003</v>
      </c>
      <c r="D240">
        <v>35.9</v>
      </c>
      <c r="E240" s="178">
        <v>-0.81</v>
      </c>
      <c r="F240" s="176">
        <v>-2.21</v>
      </c>
      <c r="G240" t="s">
        <v>5890</v>
      </c>
      <c r="H240">
        <v>18290</v>
      </c>
      <c r="I240">
        <v>8102</v>
      </c>
      <c r="J240" t="s">
        <v>1667</v>
      </c>
      <c r="K240">
        <v>36.07</v>
      </c>
      <c r="L240">
        <v>35.49</v>
      </c>
      <c r="M240" s="175" t="s">
        <v>1667</v>
      </c>
      <c r="N240" t="s">
        <v>1667</v>
      </c>
    </row>
    <row r="241" spans="1:14">
      <c r="A241">
        <v>928</v>
      </c>
      <c r="B241" t="s">
        <v>2596</v>
      </c>
      <c r="C241">
        <v>32.5</v>
      </c>
      <c r="D241">
        <v>33.14</v>
      </c>
      <c r="E241" s="178">
        <v>0.15</v>
      </c>
      <c r="F241" s="176">
        <v>0.45</v>
      </c>
      <c r="G241" t="s">
        <v>5891</v>
      </c>
      <c r="H241">
        <v>343</v>
      </c>
      <c r="I241">
        <v>522</v>
      </c>
      <c r="J241" t="s">
        <v>1667</v>
      </c>
      <c r="K241">
        <v>33.14</v>
      </c>
      <c r="L241">
        <v>32.130000000000003</v>
      </c>
      <c r="M241" s="175" t="s">
        <v>1667</v>
      </c>
      <c r="N241" t="s">
        <v>1667</v>
      </c>
    </row>
    <row r="242" spans="1:14">
      <c r="A242">
        <v>929</v>
      </c>
      <c r="B242" t="s">
        <v>2597</v>
      </c>
      <c r="C242">
        <v>28.88</v>
      </c>
      <c r="D242">
        <v>29.15</v>
      </c>
      <c r="E242" s="178">
        <v>0.02</v>
      </c>
      <c r="F242" s="176">
        <v>7.0000000000000007E-2</v>
      </c>
      <c r="G242" t="s">
        <v>5892</v>
      </c>
      <c r="H242">
        <v>26331</v>
      </c>
      <c r="I242">
        <v>20798</v>
      </c>
      <c r="J242" t="s">
        <v>1667</v>
      </c>
      <c r="K242">
        <v>29.16</v>
      </c>
      <c r="L242">
        <v>28.74</v>
      </c>
      <c r="M242" s="175" t="s">
        <v>1667</v>
      </c>
      <c r="N242" t="s">
        <v>1667</v>
      </c>
    </row>
    <row r="243" spans="1:14">
      <c r="A243">
        <v>930</v>
      </c>
      <c r="B243" t="s">
        <v>3014</v>
      </c>
      <c r="C243">
        <v>23.73</v>
      </c>
      <c r="D243">
        <v>23.78</v>
      </c>
      <c r="E243" s="178">
        <v>-0.11</v>
      </c>
      <c r="F243" s="176">
        <v>-0.46</v>
      </c>
      <c r="G243" t="s">
        <v>5294</v>
      </c>
      <c r="H243">
        <v>219</v>
      </c>
      <c r="I243">
        <v>278</v>
      </c>
      <c r="J243" t="s">
        <v>1667</v>
      </c>
      <c r="K243">
        <v>23.85</v>
      </c>
      <c r="L243">
        <v>23.63</v>
      </c>
      <c r="M243" s="175" t="s">
        <v>1667</v>
      </c>
      <c r="N243" t="s">
        <v>1667</v>
      </c>
    </row>
    <row r="244" spans="1:14">
      <c r="A244" t="s">
        <v>3046</v>
      </c>
      <c r="B244" t="s">
        <v>3047</v>
      </c>
      <c r="C244">
        <v>13.07</v>
      </c>
      <c r="D244">
        <v>13.08</v>
      </c>
      <c r="E244" s="178">
        <v>0.02</v>
      </c>
      <c r="F244" s="176">
        <v>0.15</v>
      </c>
      <c r="G244" t="s">
        <v>5893</v>
      </c>
      <c r="H244">
        <v>2522</v>
      </c>
      <c r="I244">
        <v>2171</v>
      </c>
      <c r="J244" t="s">
        <v>1667</v>
      </c>
      <c r="K244">
        <v>13.1</v>
      </c>
      <c r="L244">
        <v>13.06</v>
      </c>
      <c r="M244" s="175" t="s">
        <v>1667</v>
      </c>
      <c r="N244" t="s">
        <v>1667</v>
      </c>
    </row>
    <row r="245" spans="1:14">
      <c r="A245">
        <v>932</v>
      </c>
      <c r="B245" t="s">
        <v>3057</v>
      </c>
      <c r="C245">
        <v>17.45</v>
      </c>
      <c r="D245">
        <v>17.53</v>
      </c>
      <c r="E245" s="178">
        <v>0.01</v>
      </c>
      <c r="F245" s="176">
        <v>0.06</v>
      </c>
      <c r="G245" t="s">
        <v>5445</v>
      </c>
      <c r="H245">
        <v>326</v>
      </c>
      <c r="I245">
        <v>351</v>
      </c>
      <c r="J245" t="s">
        <v>1667</v>
      </c>
      <c r="K245">
        <v>17.53</v>
      </c>
      <c r="L245">
        <v>17.43</v>
      </c>
      <c r="M245" s="175" t="s">
        <v>1667</v>
      </c>
      <c r="N245" t="s">
        <v>1667</v>
      </c>
    </row>
    <row r="246" spans="1:14">
      <c r="A246" t="s">
        <v>3080</v>
      </c>
      <c r="B246" t="s">
        <v>3081</v>
      </c>
      <c r="C246">
        <v>15.6</v>
      </c>
      <c r="D246">
        <v>15.59</v>
      </c>
      <c r="E246" s="178">
        <v>-0.01</v>
      </c>
      <c r="F246" s="176">
        <v>-0.06</v>
      </c>
      <c r="G246" t="s">
        <v>5894</v>
      </c>
      <c r="H246">
        <v>5386</v>
      </c>
      <c r="I246">
        <v>5408</v>
      </c>
      <c r="J246" t="s">
        <v>1667</v>
      </c>
      <c r="K246">
        <v>15.61</v>
      </c>
      <c r="L246">
        <v>15.57</v>
      </c>
      <c r="M246" s="175" t="s">
        <v>1667</v>
      </c>
      <c r="N246" t="s">
        <v>1667</v>
      </c>
    </row>
    <row r="247" spans="1:14">
      <c r="A247">
        <v>934</v>
      </c>
      <c r="B247" t="s">
        <v>3091</v>
      </c>
      <c r="C247">
        <v>29.32</v>
      </c>
      <c r="D247">
        <v>29.8</v>
      </c>
      <c r="E247" s="178">
        <v>0.19</v>
      </c>
      <c r="F247" s="176">
        <v>0.64</v>
      </c>
      <c r="G247" t="s">
        <v>5895</v>
      </c>
      <c r="H247">
        <v>2280</v>
      </c>
      <c r="I247">
        <v>2232</v>
      </c>
      <c r="J247" t="s">
        <v>1667</v>
      </c>
      <c r="K247">
        <v>29.81</v>
      </c>
      <c r="L247">
        <v>29.29</v>
      </c>
      <c r="M247" s="175" t="s">
        <v>1667</v>
      </c>
      <c r="N247" t="s">
        <v>1667</v>
      </c>
    </row>
    <row r="248" spans="1:14">
      <c r="A248">
        <v>935</v>
      </c>
      <c r="B248" t="s">
        <v>3092</v>
      </c>
      <c r="C248">
        <v>56.95</v>
      </c>
      <c r="D248">
        <v>57.3</v>
      </c>
      <c r="E248" s="178">
        <v>-0.9</v>
      </c>
      <c r="F248" s="176">
        <v>-1.55</v>
      </c>
      <c r="G248" t="s">
        <v>5364</v>
      </c>
      <c r="H248">
        <v>6474</v>
      </c>
      <c r="I248">
        <v>7078</v>
      </c>
      <c r="J248" t="s">
        <v>1667</v>
      </c>
      <c r="K248">
        <v>57.35</v>
      </c>
      <c r="L248">
        <v>56.35</v>
      </c>
      <c r="M248" s="175" t="s">
        <v>1667</v>
      </c>
      <c r="N248" t="s">
        <v>1667</v>
      </c>
    </row>
    <row r="249" spans="1:14">
      <c r="A249">
        <v>936</v>
      </c>
      <c r="B249" t="s">
        <v>3102</v>
      </c>
      <c r="C249">
        <v>21.17</v>
      </c>
      <c r="D249">
        <v>21.38</v>
      </c>
      <c r="E249" s="178">
        <v>0.03</v>
      </c>
      <c r="F249" s="176">
        <v>0.14000000000000001</v>
      </c>
      <c r="G249" t="s">
        <v>5896</v>
      </c>
      <c r="H249">
        <v>576</v>
      </c>
      <c r="I249">
        <v>574</v>
      </c>
      <c r="J249" t="s">
        <v>1667</v>
      </c>
      <c r="K249">
        <v>21.38</v>
      </c>
      <c r="L249">
        <v>21.17</v>
      </c>
      <c r="M249" s="175" t="s">
        <v>1667</v>
      </c>
      <c r="N249" t="s">
        <v>1667</v>
      </c>
    </row>
    <row r="250" spans="1:14">
      <c r="A250" t="s">
        <v>3115</v>
      </c>
      <c r="B250" t="s">
        <v>3116</v>
      </c>
      <c r="C250">
        <v>14.36</v>
      </c>
      <c r="D250">
        <v>14.36</v>
      </c>
      <c r="E250" s="178">
        <v>0.02</v>
      </c>
      <c r="F250" s="176">
        <v>0.14000000000000001</v>
      </c>
      <c r="G250" t="s">
        <v>5598</v>
      </c>
      <c r="H250">
        <v>42325</v>
      </c>
      <c r="I250">
        <v>32421</v>
      </c>
      <c r="J250" t="s">
        <v>1667</v>
      </c>
      <c r="K250">
        <v>14.37</v>
      </c>
      <c r="L250">
        <v>14.33</v>
      </c>
      <c r="M250" s="175" t="s">
        <v>1667</v>
      </c>
      <c r="N250" t="s">
        <v>1667</v>
      </c>
    </row>
    <row r="251" spans="1:14">
      <c r="A251">
        <v>938</v>
      </c>
      <c r="B251" t="s">
        <v>4077</v>
      </c>
      <c r="C251">
        <v>25.01</v>
      </c>
      <c r="D251">
        <v>25.4</v>
      </c>
      <c r="E251" s="178">
        <v>0.24</v>
      </c>
      <c r="F251" s="176">
        <v>0.95</v>
      </c>
      <c r="G251" t="s">
        <v>5897</v>
      </c>
      <c r="H251">
        <v>1583</v>
      </c>
      <c r="I251">
        <v>963</v>
      </c>
      <c r="J251" t="s">
        <v>1667</v>
      </c>
      <c r="K251">
        <v>25.4</v>
      </c>
      <c r="L251">
        <v>24.92</v>
      </c>
      <c r="M251" s="175" t="s">
        <v>1667</v>
      </c>
      <c r="N251" t="s">
        <v>1667</v>
      </c>
    </row>
    <row r="252" spans="1:14">
      <c r="A252">
        <v>939</v>
      </c>
      <c r="B252" t="s">
        <v>3412</v>
      </c>
      <c r="C252">
        <v>22.79</v>
      </c>
      <c r="D252">
        <v>23.17</v>
      </c>
      <c r="E252" s="178">
        <v>0.38</v>
      </c>
      <c r="F252" s="176">
        <v>1.67</v>
      </c>
      <c r="G252" t="s">
        <v>5199</v>
      </c>
      <c r="H252">
        <v>4617</v>
      </c>
      <c r="I252">
        <v>3186</v>
      </c>
      <c r="J252" t="s">
        <v>1667</v>
      </c>
      <c r="K252">
        <v>23.17</v>
      </c>
      <c r="L252">
        <v>22.74</v>
      </c>
      <c r="M252" s="175" t="s">
        <v>1667</v>
      </c>
      <c r="N252" t="s">
        <v>1667</v>
      </c>
    </row>
    <row r="253" spans="1:14">
      <c r="A253">
        <v>940</v>
      </c>
      <c r="B253" t="s">
        <v>3423</v>
      </c>
      <c r="C253">
        <v>12.64</v>
      </c>
      <c r="D253">
        <v>12.78</v>
      </c>
      <c r="E253" s="178">
        <v>0.09</v>
      </c>
      <c r="F253" s="176">
        <v>0.71</v>
      </c>
      <c r="G253" t="s">
        <v>5337</v>
      </c>
      <c r="H253">
        <v>17962</v>
      </c>
      <c r="I253">
        <v>12236</v>
      </c>
      <c r="J253" t="s">
        <v>1667</v>
      </c>
      <c r="K253">
        <v>12.78</v>
      </c>
      <c r="L253">
        <v>12.61</v>
      </c>
      <c r="M253" s="175" t="s">
        <v>1667</v>
      </c>
      <c r="N253" t="s">
        <v>1667</v>
      </c>
    </row>
    <row r="254" spans="1:14">
      <c r="A254">
        <v>941</v>
      </c>
      <c r="B254" t="s">
        <v>3407</v>
      </c>
      <c r="C254">
        <v>25.15</v>
      </c>
      <c r="D254">
        <v>25.06</v>
      </c>
      <c r="E254" s="178">
        <v>-0.4</v>
      </c>
      <c r="F254" s="176">
        <v>-1.57</v>
      </c>
      <c r="G254" t="s">
        <v>5898</v>
      </c>
      <c r="H254">
        <v>1509</v>
      </c>
      <c r="I254">
        <v>908</v>
      </c>
      <c r="J254" t="s">
        <v>1667</v>
      </c>
      <c r="K254">
        <v>25.15</v>
      </c>
      <c r="L254">
        <v>24.88</v>
      </c>
      <c r="M254" s="175" t="s">
        <v>1667</v>
      </c>
      <c r="N254" t="s">
        <v>1667</v>
      </c>
    </row>
    <row r="255" spans="1:14">
      <c r="A255" t="s">
        <v>3431</v>
      </c>
      <c r="B255" t="s">
        <v>3432</v>
      </c>
      <c r="C255">
        <v>13.8</v>
      </c>
      <c r="D255">
        <v>13.79</v>
      </c>
      <c r="E255" s="178">
        <v>0</v>
      </c>
      <c r="F255" s="176">
        <v>0</v>
      </c>
      <c r="G255" t="s">
        <v>5349</v>
      </c>
      <c r="H255">
        <v>570</v>
      </c>
      <c r="I255">
        <v>629</v>
      </c>
      <c r="J255" t="s">
        <v>1667</v>
      </c>
      <c r="K255">
        <v>13.82</v>
      </c>
      <c r="L255">
        <v>13.78</v>
      </c>
      <c r="M255" s="175" t="s">
        <v>1667</v>
      </c>
      <c r="N255" t="s">
        <v>1667</v>
      </c>
    </row>
    <row r="256" spans="1:14">
      <c r="A256">
        <v>943</v>
      </c>
      <c r="B256" t="s">
        <v>3680</v>
      </c>
      <c r="C256">
        <v>21.21</v>
      </c>
      <c r="D256">
        <v>21.25</v>
      </c>
      <c r="E256" s="178">
        <v>-0.13</v>
      </c>
      <c r="F256" s="176">
        <v>-0.61</v>
      </c>
      <c r="G256" t="s">
        <v>5223</v>
      </c>
      <c r="H256">
        <v>52</v>
      </c>
      <c r="I256">
        <v>34</v>
      </c>
      <c r="J256" t="s">
        <v>1667</v>
      </c>
      <c r="K256">
        <v>21.25</v>
      </c>
      <c r="L256">
        <v>21.1</v>
      </c>
      <c r="M256" s="175" t="s">
        <v>1667</v>
      </c>
      <c r="N256" t="s">
        <v>1667</v>
      </c>
    </row>
    <row r="257" spans="1:14">
      <c r="A257">
        <v>944</v>
      </c>
      <c r="B257" t="s">
        <v>3498</v>
      </c>
      <c r="C257">
        <v>20.78</v>
      </c>
      <c r="D257">
        <v>20.88</v>
      </c>
      <c r="E257" s="178">
        <v>-0.12</v>
      </c>
      <c r="F257" s="176">
        <v>-0.56999999999999995</v>
      </c>
      <c r="G257" t="s">
        <v>5887</v>
      </c>
      <c r="H257">
        <v>298</v>
      </c>
      <c r="I257">
        <v>205</v>
      </c>
      <c r="J257" t="s">
        <v>1667</v>
      </c>
      <c r="K257">
        <v>20.88</v>
      </c>
      <c r="L257">
        <v>20.72</v>
      </c>
      <c r="M257" s="175" t="s">
        <v>1667</v>
      </c>
      <c r="N257" t="s">
        <v>1667</v>
      </c>
    </row>
    <row r="258" spans="1:14">
      <c r="A258" t="s">
        <v>3451</v>
      </c>
      <c r="B258" t="s">
        <v>3452</v>
      </c>
      <c r="C258">
        <v>14.39</v>
      </c>
      <c r="D258">
        <v>14.39</v>
      </c>
      <c r="E258" s="178">
        <v>0.01</v>
      </c>
      <c r="F258" s="176">
        <v>7.0000000000000007E-2</v>
      </c>
      <c r="G258" t="s">
        <v>5899</v>
      </c>
      <c r="H258">
        <v>2755</v>
      </c>
      <c r="I258">
        <v>3067</v>
      </c>
      <c r="J258" t="s">
        <v>1667</v>
      </c>
      <c r="K258">
        <v>14.4</v>
      </c>
      <c r="L258">
        <v>14.37</v>
      </c>
      <c r="M258" s="175" t="s">
        <v>1667</v>
      </c>
      <c r="N258" t="s">
        <v>1667</v>
      </c>
    </row>
    <row r="259" spans="1:14">
      <c r="A259">
        <v>946</v>
      </c>
      <c r="B259" t="s">
        <v>3499</v>
      </c>
      <c r="C259">
        <v>15.38</v>
      </c>
      <c r="D259">
        <v>15.55</v>
      </c>
      <c r="E259" s="178">
        <v>7.0000000000000007E-2</v>
      </c>
      <c r="F259" s="176">
        <v>0.45</v>
      </c>
      <c r="G259" t="s">
        <v>5900</v>
      </c>
      <c r="H259">
        <v>1954</v>
      </c>
      <c r="I259">
        <v>1769</v>
      </c>
      <c r="J259" t="s">
        <v>1667</v>
      </c>
      <c r="K259">
        <v>15.58</v>
      </c>
      <c r="L259">
        <v>15.26</v>
      </c>
      <c r="M259" s="175" t="s">
        <v>1667</v>
      </c>
      <c r="N259" t="s">
        <v>1667</v>
      </c>
    </row>
    <row r="260" spans="1:14">
      <c r="A260">
        <v>947</v>
      </c>
      <c r="B260" t="s">
        <v>3917</v>
      </c>
      <c r="C260">
        <v>37</v>
      </c>
      <c r="D260">
        <v>37.9</v>
      </c>
      <c r="E260" s="178">
        <v>0.24</v>
      </c>
      <c r="F260" s="176">
        <v>0.64</v>
      </c>
      <c r="G260" t="s">
        <v>5901</v>
      </c>
      <c r="H260">
        <v>5008</v>
      </c>
      <c r="I260">
        <v>4868</v>
      </c>
      <c r="J260" t="s">
        <v>1667</v>
      </c>
      <c r="K260">
        <v>37.9</v>
      </c>
      <c r="L260">
        <v>36.75</v>
      </c>
      <c r="M260" s="175" t="s">
        <v>1667</v>
      </c>
      <c r="N260" t="s">
        <v>1667</v>
      </c>
    </row>
    <row r="261" spans="1:14">
      <c r="A261" t="s">
        <v>3918</v>
      </c>
      <c r="B261" t="s">
        <v>3919</v>
      </c>
      <c r="C261">
        <v>9.16</v>
      </c>
      <c r="D261">
        <v>9.16</v>
      </c>
      <c r="E261" s="178">
        <v>0</v>
      </c>
      <c r="F261" s="176">
        <v>0</v>
      </c>
      <c r="G261" t="s">
        <v>5902</v>
      </c>
      <c r="H261">
        <v>1577</v>
      </c>
      <c r="I261">
        <v>3416</v>
      </c>
      <c r="J261" t="s">
        <v>1667</v>
      </c>
      <c r="K261">
        <v>9.18</v>
      </c>
      <c r="L261">
        <v>9.15</v>
      </c>
      <c r="M261" s="175" t="s">
        <v>1667</v>
      </c>
      <c r="N261" t="s">
        <v>1667</v>
      </c>
    </row>
    <row r="262" spans="1:14">
      <c r="A262">
        <v>949</v>
      </c>
      <c r="B262" t="s">
        <v>3939</v>
      </c>
      <c r="C262">
        <v>21.98</v>
      </c>
      <c r="D262">
        <v>21.99</v>
      </c>
      <c r="E262" s="178">
        <v>0.01</v>
      </c>
      <c r="F262" s="176">
        <v>0.05</v>
      </c>
      <c r="G262" t="s">
        <v>5596</v>
      </c>
      <c r="H262">
        <v>726</v>
      </c>
      <c r="I262">
        <v>292</v>
      </c>
      <c r="J262" t="s">
        <v>1667</v>
      </c>
      <c r="K262">
        <v>22.03</v>
      </c>
      <c r="L262">
        <v>21.76</v>
      </c>
      <c r="M262" s="175" t="s">
        <v>1667</v>
      </c>
      <c r="N262" t="s">
        <v>1667</v>
      </c>
    </row>
    <row r="263" spans="1:14">
      <c r="A263" t="s">
        <v>3948</v>
      </c>
      <c r="B263" t="s">
        <v>3949</v>
      </c>
      <c r="C263">
        <v>13.71</v>
      </c>
      <c r="D263">
        <v>13.69</v>
      </c>
      <c r="E263" s="178">
        <v>-0.01</v>
      </c>
      <c r="F263" s="176">
        <v>-7.0000000000000007E-2</v>
      </c>
      <c r="G263" t="s">
        <v>5903</v>
      </c>
      <c r="H263">
        <v>2241</v>
      </c>
      <c r="I263">
        <v>2412</v>
      </c>
      <c r="J263" t="s">
        <v>1667</v>
      </c>
      <c r="K263">
        <v>13.72</v>
      </c>
      <c r="L263">
        <v>13.67</v>
      </c>
      <c r="M263" s="175" t="s">
        <v>1667</v>
      </c>
      <c r="N263" t="s">
        <v>1667</v>
      </c>
    </row>
    <row r="264" spans="1:14">
      <c r="A264">
        <v>951</v>
      </c>
      <c r="B264" t="s">
        <v>3967</v>
      </c>
      <c r="C264">
        <v>16.399999999999999</v>
      </c>
      <c r="D264">
        <v>16.829999999999998</v>
      </c>
      <c r="E264" s="178">
        <v>-0.23</v>
      </c>
      <c r="F264" s="176">
        <v>-1.35</v>
      </c>
      <c r="G264" t="s">
        <v>5904</v>
      </c>
      <c r="H264">
        <v>1998</v>
      </c>
      <c r="I264">
        <v>1639</v>
      </c>
      <c r="J264" t="s">
        <v>1667</v>
      </c>
      <c r="K264">
        <v>16.84</v>
      </c>
      <c r="L264">
        <v>16.34</v>
      </c>
      <c r="M264" s="175" t="s">
        <v>1667</v>
      </c>
      <c r="N264" t="s">
        <v>1667</v>
      </c>
    </row>
    <row r="265" spans="1:14">
      <c r="A265">
        <v>952</v>
      </c>
      <c r="B265" t="s">
        <v>4013</v>
      </c>
      <c r="C265">
        <v>18.100000000000001</v>
      </c>
      <c r="D265">
        <v>18.2</v>
      </c>
      <c r="E265" s="178">
        <v>-0.03</v>
      </c>
      <c r="F265" s="176">
        <v>-0.16</v>
      </c>
      <c r="G265" t="s">
        <v>5905</v>
      </c>
      <c r="H265">
        <v>968</v>
      </c>
      <c r="I265">
        <v>1351</v>
      </c>
      <c r="J265" t="s">
        <v>1667</v>
      </c>
      <c r="K265">
        <v>18.25</v>
      </c>
      <c r="L265">
        <v>18</v>
      </c>
      <c r="M265" s="175" t="s">
        <v>1667</v>
      </c>
      <c r="N265" t="s">
        <v>1667</v>
      </c>
    </row>
    <row r="266" spans="1:14">
      <c r="A266" t="s">
        <v>4000</v>
      </c>
      <c r="B266" t="s">
        <v>4001</v>
      </c>
      <c r="C266">
        <v>9.6300000000000008</v>
      </c>
      <c r="D266">
        <v>9.64</v>
      </c>
      <c r="E266" s="178">
        <v>0.01</v>
      </c>
      <c r="F266" s="176">
        <v>0.1</v>
      </c>
      <c r="G266" t="s">
        <v>5906</v>
      </c>
      <c r="H266">
        <v>40807</v>
      </c>
      <c r="I266">
        <v>45178</v>
      </c>
      <c r="J266" t="s">
        <v>1667</v>
      </c>
      <c r="K266">
        <v>9.64</v>
      </c>
      <c r="L266">
        <v>9.6199999999999992</v>
      </c>
      <c r="M266" s="175" t="s">
        <v>1667</v>
      </c>
      <c r="N266" t="s">
        <v>1667</v>
      </c>
    </row>
    <row r="267" spans="1:14">
      <c r="A267">
        <v>954</v>
      </c>
      <c r="B267" t="s">
        <v>3995</v>
      </c>
      <c r="C267">
        <v>17.57</v>
      </c>
      <c r="D267">
        <v>17.95</v>
      </c>
      <c r="E267" s="178">
        <v>-0.25</v>
      </c>
      <c r="F267" s="176">
        <v>-1.37</v>
      </c>
      <c r="G267" t="s">
        <v>5907</v>
      </c>
      <c r="H267">
        <v>2264</v>
      </c>
      <c r="I267">
        <v>1256</v>
      </c>
      <c r="J267" t="s">
        <v>1667</v>
      </c>
      <c r="K267">
        <v>18</v>
      </c>
      <c r="L267">
        <v>17.420000000000002</v>
      </c>
      <c r="M267" s="175" t="s">
        <v>1667</v>
      </c>
      <c r="N267" t="s">
        <v>1667</v>
      </c>
    </row>
    <row r="268" spans="1:14">
      <c r="A268">
        <v>955</v>
      </c>
      <c r="B268" t="s">
        <v>3996</v>
      </c>
      <c r="C268">
        <v>15.44</v>
      </c>
      <c r="D268">
        <v>15.56</v>
      </c>
      <c r="E268" s="178">
        <v>0.02</v>
      </c>
      <c r="F268" s="176">
        <v>0.13</v>
      </c>
      <c r="G268" t="s">
        <v>5908</v>
      </c>
      <c r="H268">
        <v>2839</v>
      </c>
      <c r="I268">
        <v>2644</v>
      </c>
      <c r="J268" t="s">
        <v>1667</v>
      </c>
      <c r="K268">
        <v>15.58</v>
      </c>
      <c r="L268">
        <v>15.37</v>
      </c>
      <c r="M268" s="175" t="s">
        <v>1667</v>
      </c>
      <c r="N268" t="s">
        <v>1667</v>
      </c>
    </row>
    <row r="269" spans="1:14">
      <c r="A269">
        <v>956</v>
      </c>
      <c r="B269" t="s">
        <v>3997</v>
      </c>
      <c r="C269">
        <v>13.29</v>
      </c>
      <c r="D269">
        <v>13.36</v>
      </c>
      <c r="E269" s="178">
        <v>-0.03</v>
      </c>
      <c r="F269" s="176">
        <v>-0.22</v>
      </c>
      <c r="G269" t="s">
        <v>5273</v>
      </c>
      <c r="H269">
        <v>105</v>
      </c>
      <c r="I269">
        <v>163</v>
      </c>
      <c r="J269" t="s">
        <v>1667</v>
      </c>
      <c r="K269">
        <v>13.36</v>
      </c>
      <c r="L269">
        <v>13.27</v>
      </c>
      <c r="M269" s="175" t="s">
        <v>1667</v>
      </c>
      <c r="N269" t="s">
        <v>1667</v>
      </c>
    </row>
    <row r="270" spans="1:14">
      <c r="A270" t="s">
        <v>4021</v>
      </c>
      <c r="B270" t="s">
        <v>4022</v>
      </c>
      <c r="C270">
        <v>12.98</v>
      </c>
      <c r="D270">
        <v>13</v>
      </c>
      <c r="E270" s="178">
        <v>0.02</v>
      </c>
      <c r="F270" s="176">
        <v>0.15</v>
      </c>
      <c r="G270" t="s">
        <v>5909</v>
      </c>
      <c r="H270">
        <v>244</v>
      </c>
      <c r="I270">
        <v>164</v>
      </c>
      <c r="J270" t="s">
        <v>1667</v>
      </c>
      <c r="K270">
        <v>13.02</v>
      </c>
      <c r="L270">
        <v>12.98</v>
      </c>
      <c r="M270" s="175" t="s">
        <v>1667</v>
      </c>
      <c r="N270" t="s">
        <v>1667</v>
      </c>
    </row>
    <row r="271" spans="1:14">
      <c r="A271" t="s">
        <v>4036</v>
      </c>
      <c r="B271" t="s">
        <v>4037</v>
      </c>
      <c r="C271">
        <v>9.02</v>
      </c>
      <c r="D271">
        <v>9.02</v>
      </c>
      <c r="E271" s="178">
        <v>0</v>
      </c>
      <c r="F271" s="176">
        <v>0</v>
      </c>
      <c r="G271" t="s">
        <v>5296</v>
      </c>
      <c r="H271">
        <v>427</v>
      </c>
      <c r="I271">
        <v>607</v>
      </c>
      <c r="J271" t="s">
        <v>1667</v>
      </c>
      <c r="K271">
        <v>9.0299999999999994</v>
      </c>
      <c r="L271">
        <v>9.02</v>
      </c>
      <c r="M271" s="175" t="s">
        <v>1667</v>
      </c>
      <c r="N271" t="s">
        <v>1667</v>
      </c>
    </row>
    <row r="272" spans="1:14">
      <c r="A272" t="s">
        <v>4003</v>
      </c>
      <c r="B272" t="s">
        <v>4004</v>
      </c>
      <c r="C272">
        <v>9.14</v>
      </c>
      <c r="D272">
        <v>9.1300000000000008</v>
      </c>
      <c r="E272" s="178">
        <v>0</v>
      </c>
      <c r="F272" s="176">
        <v>0</v>
      </c>
      <c r="G272" t="s">
        <v>5466</v>
      </c>
      <c r="H272">
        <v>1236</v>
      </c>
      <c r="I272">
        <v>1074</v>
      </c>
      <c r="J272" t="s">
        <v>1667</v>
      </c>
      <c r="K272">
        <v>9.15</v>
      </c>
      <c r="L272">
        <v>9.1300000000000008</v>
      </c>
      <c r="M272" s="175" t="s">
        <v>1667</v>
      </c>
      <c r="N272" t="s">
        <v>1667</v>
      </c>
    </row>
    <row r="273" spans="1:14">
      <c r="A273">
        <v>960</v>
      </c>
      <c r="B273" t="s">
        <v>4038</v>
      </c>
      <c r="C273">
        <v>20.8</v>
      </c>
      <c r="D273">
        <v>20.87</v>
      </c>
      <c r="E273" s="178">
        <v>0.11</v>
      </c>
      <c r="F273" s="176">
        <v>0.53</v>
      </c>
      <c r="G273" t="s">
        <v>5910</v>
      </c>
      <c r="H273">
        <v>574</v>
      </c>
      <c r="I273">
        <v>3137</v>
      </c>
      <c r="J273" t="s">
        <v>1667</v>
      </c>
      <c r="K273">
        <v>20.95</v>
      </c>
      <c r="L273">
        <v>20.76</v>
      </c>
      <c r="M273" s="175" t="s">
        <v>1667</v>
      </c>
      <c r="N273" t="s">
        <v>1667</v>
      </c>
    </row>
    <row r="274" spans="1:14">
      <c r="A274">
        <v>961</v>
      </c>
      <c r="B274" t="s">
        <v>4070</v>
      </c>
      <c r="C274">
        <v>13.07</v>
      </c>
      <c r="D274">
        <v>13.2</v>
      </c>
      <c r="E274" s="178">
        <v>0.03</v>
      </c>
      <c r="F274" s="176">
        <v>0.23</v>
      </c>
      <c r="G274" t="s">
        <v>5911</v>
      </c>
      <c r="H274">
        <v>17204</v>
      </c>
      <c r="I274">
        <v>14631</v>
      </c>
      <c r="J274" t="s">
        <v>1667</v>
      </c>
      <c r="K274">
        <v>13.2</v>
      </c>
      <c r="L274">
        <v>13.05</v>
      </c>
      <c r="M274" s="175" t="s">
        <v>1667</v>
      </c>
      <c r="N274" t="s">
        <v>1667</v>
      </c>
    </row>
    <row r="275" spans="1:14">
      <c r="A275">
        <v>962</v>
      </c>
      <c r="B275" t="s">
        <v>4139</v>
      </c>
      <c r="C275">
        <v>15.03</v>
      </c>
      <c r="D275">
        <v>15.31</v>
      </c>
      <c r="E275" s="178">
        <v>0.08</v>
      </c>
      <c r="F275" s="176">
        <v>0.53</v>
      </c>
      <c r="G275" t="s">
        <v>5492</v>
      </c>
      <c r="H275">
        <v>377</v>
      </c>
      <c r="I275">
        <v>621</v>
      </c>
      <c r="J275" t="s">
        <v>1667</v>
      </c>
      <c r="K275">
        <v>15.31</v>
      </c>
      <c r="L275">
        <v>15.03</v>
      </c>
      <c r="M275" s="175" t="s">
        <v>1667</v>
      </c>
      <c r="N275" t="s">
        <v>1667</v>
      </c>
    </row>
    <row r="276" spans="1:14">
      <c r="A276">
        <v>963</v>
      </c>
      <c r="B276" t="s">
        <v>4113</v>
      </c>
      <c r="C276">
        <v>13.06</v>
      </c>
      <c r="D276">
        <v>13.07</v>
      </c>
      <c r="E276" s="178">
        <v>0.01</v>
      </c>
      <c r="F276" s="176">
        <v>0.08</v>
      </c>
      <c r="G276" t="s">
        <v>5912</v>
      </c>
      <c r="H276">
        <v>1046</v>
      </c>
      <c r="I276">
        <v>1198</v>
      </c>
      <c r="J276" t="s">
        <v>1667</v>
      </c>
      <c r="K276">
        <v>13.07</v>
      </c>
      <c r="L276">
        <v>13.03</v>
      </c>
      <c r="M276" s="175" t="s">
        <v>1667</v>
      </c>
      <c r="N276" t="s">
        <v>1667</v>
      </c>
    </row>
    <row r="277" spans="1:14">
      <c r="A277">
        <v>964</v>
      </c>
      <c r="B277" t="s">
        <v>4114</v>
      </c>
      <c r="C277">
        <v>14.81</v>
      </c>
      <c r="D277">
        <v>14.87</v>
      </c>
      <c r="E277" s="178">
        <v>0.06</v>
      </c>
      <c r="F277" s="176">
        <v>0.41</v>
      </c>
      <c r="G277" t="s">
        <v>5913</v>
      </c>
      <c r="H277">
        <v>912</v>
      </c>
      <c r="I277">
        <v>991</v>
      </c>
      <c r="J277" t="s">
        <v>1667</v>
      </c>
      <c r="K277">
        <v>14.87</v>
      </c>
      <c r="L277">
        <v>14.81</v>
      </c>
      <c r="M277" s="175" t="s">
        <v>1667</v>
      </c>
      <c r="N277" t="s">
        <v>1667</v>
      </c>
    </row>
    <row r="278" spans="1:14">
      <c r="A278">
        <v>965</v>
      </c>
      <c r="B278" t="s">
        <v>4127</v>
      </c>
      <c r="C278">
        <v>25.93</v>
      </c>
      <c r="D278">
        <v>25.77</v>
      </c>
      <c r="E278" s="178">
        <v>-0.41</v>
      </c>
      <c r="F278" s="176">
        <v>-1.57</v>
      </c>
      <c r="G278" t="s">
        <v>5914</v>
      </c>
      <c r="H278">
        <v>610</v>
      </c>
      <c r="I278">
        <v>859</v>
      </c>
      <c r="J278" t="s">
        <v>1667</v>
      </c>
      <c r="K278">
        <v>25.93</v>
      </c>
      <c r="L278">
        <v>25.63</v>
      </c>
      <c r="M278" s="175" t="s">
        <v>1667</v>
      </c>
      <c r="N278" t="s">
        <v>1667</v>
      </c>
    </row>
    <row r="279" spans="1:14">
      <c r="A279" t="s">
        <v>4153</v>
      </c>
      <c r="B279" t="s">
        <v>4154</v>
      </c>
      <c r="C279">
        <v>13.52</v>
      </c>
      <c r="D279">
        <v>13.54</v>
      </c>
      <c r="E279" s="178">
        <v>0.02</v>
      </c>
      <c r="F279" s="176">
        <v>0.15</v>
      </c>
      <c r="G279" t="s">
        <v>5915</v>
      </c>
      <c r="H279">
        <v>1606</v>
      </c>
      <c r="I279">
        <v>530</v>
      </c>
      <c r="J279" t="s">
        <v>1667</v>
      </c>
      <c r="K279">
        <v>13.55</v>
      </c>
      <c r="L279">
        <v>13.52</v>
      </c>
      <c r="M279" s="175" t="s">
        <v>1667</v>
      </c>
      <c r="N279" t="s">
        <v>1667</v>
      </c>
    </row>
    <row r="280" spans="1:14">
      <c r="A280" t="s">
        <v>4140</v>
      </c>
      <c r="B280" t="s">
        <v>4141</v>
      </c>
      <c r="C280">
        <v>8.91</v>
      </c>
      <c r="D280">
        <v>8.91</v>
      </c>
      <c r="E280" s="178">
        <v>-0.02</v>
      </c>
      <c r="F280" s="176">
        <v>-0.22</v>
      </c>
      <c r="G280" t="s">
        <v>5523</v>
      </c>
      <c r="H280">
        <v>1734</v>
      </c>
      <c r="I280">
        <v>473</v>
      </c>
      <c r="J280" t="s">
        <v>1667</v>
      </c>
      <c r="K280">
        <v>8.9499999999999993</v>
      </c>
      <c r="L280">
        <v>8.91</v>
      </c>
      <c r="M280" s="175" t="s">
        <v>1667</v>
      </c>
      <c r="N280" t="s">
        <v>1667</v>
      </c>
    </row>
    <row r="281" spans="1:14">
      <c r="A281" t="s">
        <v>4142</v>
      </c>
      <c r="B281" t="s">
        <v>4143</v>
      </c>
      <c r="C281">
        <v>9</v>
      </c>
      <c r="D281">
        <v>9</v>
      </c>
      <c r="E281" s="178">
        <v>0</v>
      </c>
      <c r="F281" s="176">
        <v>0</v>
      </c>
      <c r="G281" t="s">
        <v>5916</v>
      </c>
      <c r="H281">
        <v>944</v>
      </c>
      <c r="I281">
        <v>746</v>
      </c>
      <c r="J281" t="s">
        <v>1667</v>
      </c>
      <c r="K281">
        <v>9.02</v>
      </c>
      <c r="L281">
        <v>8.99</v>
      </c>
      <c r="M281" s="175" t="s">
        <v>1667</v>
      </c>
      <c r="N281" t="s">
        <v>1667</v>
      </c>
    </row>
    <row r="282" spans="1:14">
      <c r="A282" t="s">
        <v>4144</v>
      </c>
      <c r="B282" t="s">
        <v>4145</v>
      </c>
      <c r="C282">
        <v>8.02</v>
      </c>
      <c r="D282">
        <v>8.0399999999999991</v>
      </c>
      <c r="E282" s="178">
        <v>0.01</v>
      </c>
      <c r="F282" s="176">
        <v>0.12</v>
      </c>
      <c r="G282" t="s">
        <v>5516</v>
      </c>
      <c r="H282">
        <v>765</v>
      </c>
      <c r="I282">
        <v>532</v>
      </c>
      <c r="J282" t="s">
        <v>1667</v>
      </c>
      <c r="K282">
        <v>8.0500000000000007</v>
      </c>
      <c r="L282">
        <v>8.02</v>
      </c>
      <c r="M282" s="175" t="s">
        <v>1667</v>
      </c>
      <c r="N282" t="s">
        <v>1667</v>
      </c>
    </row>
    <row r="283" spans="1:14">
      <c r="A283" t="s">
        <v>4161</v>
      </c>
      <c r="B283" t="s">
        <v>5156</v>
      </c>
      <c r="C283">
        <v>9.08</v>
      </c>
      <c r="D283">
        <v>9.07</v>
      </c>
      <c r="E283" s="178">
        <v>0.01</v>
      </c>
      <c r="F283" s="176">
        <v>0.11</v>
      </c>
      <c r="G283" t="s">
        <v>5514</v>
      </c>
      <c r="H283">
        <v>708</v>
      </c>
      <c r="I283">
        <v>2707</v>
      </c>
      <c r="J283" t="s">
        <v>1667</v>
      </c>
      <c r="K283">
        <v>9.08</v>
      </c>
      <c r="L283">
        <v>9.06</v>
      </c>
      <c r="M283" s="175" t="s">
        <v>1667</v>
      </c>
      <c r="N283" t="s">
        <v>1667</v>
      </c>
    </row>
    <row r="284" spans="1:14">
      <c r="A284">
        <v>971</v>
      </c>
      <c r="B284" t="s">
        <v>4244</v>
      </c>
      <c r="C284">
        <v>17.45</v>
      </c>
      <c r="D284">
        <v>17.47</v>
      </c>
      <c r="E284" s="178">
        <v>-0.01</v>
      </c>
      <c r="F284" s="176">
        <v>-0.06</v>
      </c>
      <c r="G284" t="s">
        <v>5246</v>
      </c>
      <c r="H284">
        <v>97</v>
      </c>
      <c r="I284">
        <v>201</v>
      </c>
      <c r="J284" t="s">
        <v>1667</v>
      </c>
      <c r="K284">
        <v>17.47</v>
      </c>
      <c r="L284">
        <v>17.38</v>
      </c>
      <c r="M284" s="175" t="s">
        <v>1667</v>
      </c>
      <c r="N284" t="s">
        <v>1667</v>
      </c>
    </row>
    <row r="285" spans="1:14">
      <c r="A285">
        <v>972</v>
      </c>
      <c r="B285" t="s">
        <v>4245</v>
      </c>
      <c r="C285" t="s">
        <v>1667</v>
      </c>
      <c r="D285" t="s">
        <v>1667</v>
      </c>
      <c r="E285" s="178" t="s">
        <v>1667</v>
      </c>
      <c r="F285" s="176" t="s">
        <v>1667</v>
      </c>
      <c r="G285" t="s">
        <v>1667</v>
      </c>
      <c r="H285">
        <v>0</v>
      </c>
      <c r="I285">
        <v>44</v>
      </c>
      <c r="J285" t="s">
        <v>1667</v>
      </c>
      <c r="K285" t="s">
        <v>1667</v>
      </c>
      <c r="L285" t="s">
        <v>1667</v>
      </c>
      <c r="M285" s="175" t="s">
        <v>1667</v>
      </c>
      <c r="N285" t="s">
        <v>1667</v>
      </c>
    </row>
    <row r="286" spans="1:14">
      <c r="A286">
        <v>9800</v>
      </c>
      <c r="B286" t="s">
        <v>4271</v>
      </c>
      <c r="C286">
        <v>12.93</v>
      </c>
      <c r="D286">
        <v>12.96</v>
      </c>
      <c r="E286" s="178">
        <v>-0.03</v>
      </c>
      <c r="F286" s="176">
        <v>-0.23</v>
      </c>
      <c r="G286" t="s">
        <v>5917</v>
      </c>
      <c r="H286">
        <v>885</v>
      </c>
      <c r="I286">
        <v>956</v>
      </c>
      <c r="J286" t="s">
        <v>1667</v>
      </c>
      <c r="K286">
        <v>12.97</v>
      </c>
      <c r="L286">
        <v>12.87</v>
      </c>
      <c r="M286" s="175" t="s">
        <v>1667</v>
      </c>
      <c r="N286" t="s">
        <v>1667</v>
      </c>
    </row>
    <row r="287" spans="1:14">
      <c r="A287">
        <v>9801</v>
      </c>
      <c r="B287" t="s">
        <v>4272</v>
      </c>
      <c r="C287">
        <v>11.1</v>
      </c>
      <c r="D287">
        <v>11.12</v>
      </c>
      <c r="E287" s="178">
        <v>-0.03</v>
      </c>
      <c r="F287" s="176">
        <v>-0.27</v>
      </c>
      <c r="G287" t="s">
        <v>5918</v>
      </c>
      <c r="H287">
        <v>393</v>
      </c>
      <c r="I287">
        <v>538</v>
      </c>
      <c r="J287" t="s">
        <v>1667</v>
      </c>
      <c r="K287">
        <v>11.12</v>
      </c>
      <c r="L287">
        <v>11.04</v>
      </c>
      <c r="M287" s="175" t="s">
        <v>1667</v>
      </c>
      <c r="N287" t="s">
        <v>1667</v>
      </c>
    </row>
    <row r="288" spans="1:14">
      <c r="A288">
        <v>9802</v>
      </c>
      <c r="B288" t="s">
        <v>4451</v>
      </c>
      <c r="C288">
        <v>19.25</v>
      </c>
      <c r="D288">
        <v>19.350000000000001</v>
      </c>
      <c r="E288" s="178">
        <v>-0.19</v>
      </c>
      <c r="F288" s="176">
        <v>-0.97</v>
      </c>
      <c r="G288" t="s">
        <v>5919</v>
      </c>
      <c r="H288">
        <v>3675</v>
      </c>
      <c r="I288">
        <v>2107</v>
      </c>
      <c r="J288" t="s">
        <v>1667</v>
      </c>
      <c r="K288">
        <v>19.350000000000001</v>
      </c>
      <c r="L288">
        <v>19.059999999999999</v>
      </c>
      <c r="M288" s="175" t="s">
        <v>1667</v>
      </c>
      <c r="N288" t="s">
        <v>1667</v>
      </c>
    </row>
    <row r="289" spans="1:14">
      <c r="A289">
        <v>9803</v>
      </c>
      <c r="B289" t="s">
        <v>4974</v>
      </c>
      <c r="C289">
        <v>21.55</v>
      </c>
      <c r="D289">
        <v>21.7</v>
      </c>
      <c r="E289" s="178">
        <v>-0.1</v>
      </c>
      <c r="F289" s="176">
        <v>-0.46</v>
      </c>
      <c r="G289" t="s">
        <v>5920</v>
      </c>
      <c r="H289">
        <v>1264</v>
      </c>
      <c r="I289">
        <v>1082</v>
      </c>
      <c r="J289" t="s">
        <v>1667</v>
      </c>
      <c r="K289">
        <v>21.7</v>
      </c>
      <c r="L289">
        <v>21.41</v>
      </c>
      <c r="M289" s="175" t="s">
        <v>1667</v>
      </c>
      <c r="N289" t="s">
        <v>1667</v>
      </c>
    </row>
    <row r="290" spans="1:14">
      <c r="A290">
        <v>9804</v>
      </c>
      <c r="B290" t="s">
        <v>4469</v>
      </c>
      <c r="C290">
        <v>22.5</v>
      </c>
      <c r="D290">
        <v>22.55</v>
      </c>
      <c r="E290" s="178">
        <v>-0.14000000000000001</v>
      </c>
      <c r="F290" s="176">
        <v>-0.62</v>
      </c>
      <c r="G290" t="s">
        <v>5921</v>
      </c>
      <c r="H290">
        <v>628</v>
      </c>
      <c r="I290">
        <v>873</v>
      </c>
      <c r="J290" t="s">
        <v>1667</v>
      </c>
      <c r="K290">
        <v>22.56</v>
      </c>
      <c r="L290">
        <v>22.27</v>
      </c>
      <c r="M290" s="175" t="s">
        <v>1667</v>
      </c>
      <c r="N290" t="s">
        <v>1667</v>
      </c>
    </row>
    <row r="291" spans="1:14">
      <c r="A291">
        <v>9805</v>
      </c>
      <c r="B291" t="s">
        <v>5157</v>
      </c>
      <c r="C291">
        <v>14.9</v>
      </c>
      <c r="D291">
        <v>14.93</v>
      </c>
      <c r="E291" s="178">
        <v>-0.32</v>
      </c>
      <c r="F291" s="176">
        <v>-2.1</v>
      </c>
      <c r="G291" t="s">
        <v>5433</v>
      </c>
      <c r="H291">
        <v>10075</v>
      </c>
      <c r="I291">
        <v>6267</v>
      </c>
      <c r="J291" t="s">
        <v>1667</v>
      </c>
      <c r="K291">
        <v>14.94</v>
      </c>
      <c r="L291">
        <v>14.85</v>
      </c>
      <c r="M291" s="175" t="s">
        <v>1667</v>
      </c>
      <c r="N291" t="s">
        <v>1667</v>
      </c>
    </row>
    <row r="292" spans="1:14">
      <c r="A292">
        <v>9806</v>
      </c>
      <c r="B292" t="s">
        <v>4470</v>
      </c>
      <c r="C292">
        <v>13.59</v>
      </c>
      <c r="D292">
        <v>13.56</v>
      </c>
      <c r="E292" s="178">
        <v>-0.03</v>
      </c>
      <c r="F292" s="176">
        <v>-0.22</v>
      </c>
      <c r="G292" t="s">
        <v>5339</v>
      </c>
      <c r="H292">
        <v>61</v>
      </c>
      <c r="I292">
        <v>87</v>
      </c>
      <c r="J292" t="s">
        <v>1667</v>
      </c>
      <c r="K292">
        <v>13.59</v>
      </c>
      <c r="L292">
        <v>13.54</v>
      </c>
      <c r="M292" s="175" t="s">
        <v>1667</v>
      </c>
      <c r="N292" t="s">
        <v>1667</v>
      </c>
    </row>
    <row r="293" spans="1:14">
      <c r="A293">
        <v>9807</v>
      </c>
      <c r="B293" t="s">
        <v>4471</v>
      </c>
      <c r="C293">
        <v>16.75</v>
      </c>
      <c r="D293">
        <v>16.73</v>
      </c>
      <c r="E293" s="178">
        <v>-0.22</v>
      </c>
      <c r="F293" s="176">
        <v>-1.3</v>
      </c>
      <c r="G293" t="s">
        <v>5922</v>
      </c>
      <c r="H293">
        <v>36</v>
      </c>
      <c r="I293">
        <v>71</v>
      </c>
      <c r="J293" t="s">
        <v>1667</v>
      </c>
      <c r="K293">
        <v>16.75</v>
      </c>
      <c r="L293">
        <v>16.66</v>
      </c>
      <c r="M293" s="175" t="s">
        <v>1667</v>
      </c>
      <c r="N293" t="s">
        <v>1667</v>
      </c>
    </row>
    <row r="294" spans="1:14">
      <c r="A294">
        <v>9808</v>
      </c>
      <c r="B294" t="s">
        <v>4472</v>
      </c>
      <c r="C294">
        <v>30.36</v>
      </c>
      <c r="D294">
        <v>30.52</v>
      </c>
      <c r="E294" s="178">
        <v>-0.24</v>
      </c>
      <c r="F294" s="176">
        <v>-0.78</v>
      </c>
      <c r="G294" t="s">
        <v>5286</v>
      </c>
      <c r="H294">
        <v>47</v>
      </c>
      <c r="I294">
        <v>111</v>
      </c>
      <c r="J294" t="s">
        <v>1667</v>
      </c>
      <c r="K294">
        <v>30.52</v>
      </c>
      <c r="L294">
        <v>30.28</v>
      </c>
      <c r="M294" s="175" t="s">
        <v>1667</v>
      </c>
      <c r="N294" t="s">
        <v>1667</v>
      </c>
    </row>
    <row r="295" spans="1:14">
      <c r="A295">
        <v>9809</v>
      </c>
      <c r="B295" t="s">
        <v>4675</v>
      </c>
      <c r="C295">
        <v>17.68</v>
      </c>
      <c r="D295">
        <v>17.739999999999998</v>
      </c>
      <c r="E295" s="178">
        <v>-0.08</v>
      </c>
      <c r="F295" s="176">
        <v>-0.45</v>
      </c>
      <c r="G295" t="s">
        <v>5169</v>
      </c>
      <c r="H295">
        <v>68</v>
      </c>
      <c r="I295">
        <v>287</v>
      </c>
      <c r="J295" t="s">
        <v>1667</v>
      </c>
      <c r="K295">
        <v>17.739999999999998</v>
      </c>
      <c r="L295">
        <v>17.5</v>
      </c>
      <c r="M295" s="175" t="s">
        <v>1667</v>
      </c>
      <c r="N295" t="s">
        <v>1667</v>
      </c>
    </row>
    <row r="296" spans="1:14">
      <c r="A296" t="s">
        <v>4473</v>
      </c>
      <c r="B296" t="s">
        <v>4474</v>
      </c>
      <c r="C296">
        <v>24.51</v>
      </c>
      <c r="D296">
        <v>24.75</v>
      </c>
      <c r="E296" s="178">
        <v>-0.08</v>
      </c>
      <c r="F296" s="176">
        <v>-0.32</v>
      </c>
      <c r="G296" t="s">
        <v>5923</v>
      </c>
      <c r="H296">
        <v>8268</v>
      </c>
      <c r="I296">
        <v>8479</v>
      </c>
      <c r="J296" t="s">
        <v>1667</v>
      </c>
      <c r="K296">
        <v>24.75</v>
      </c>
      <c r="L296">
        <v>24.3</v>
      </c>
      <c r="M296" s="175" t="s">
        <v>1667</v>
      </c>
      <c r="N296" t="s">
        <v>1667</v>
      </c>
    </row>
    <row r="297" spans="1:14">
      <c r="A297" t="s">
        <v>4265</v>
      </c>
      <c r="B297" t="s">
        <v>4266</v>
      </c>
      <c r="C297">
        <v>9.1999999999999993</v>
      </c>
      <c r="D297">
        <v>9.1999999999999993</v>
      </c>
      <c r="E297" s="178">
        <v>0.01</v>
      </c>
      <c r="F297" s="176">
        <v>0.11</v>
      </c>
      <c r="G297" t="s">
        <v>5662</v>
      </c>
      <c r="H297">
        <v>11</v>
      </c>
      <c r="I297">
        <v>585</v>
      </c>
      <c r="J297" t="s">
        <v>1667</v>
      </c>
      <c r="K297">
        <v>9.2100000000000009</v>
      </c>
      <c r="L297">
        <v>9.1999999999999993</v>
      </c>
      <c r="M297" s="175" t="s">
        <v>1667</v>
      </c>
      <c r="N297" t="s">
        <v>1667</v>
      </c>
    </row>
    <row r="298" spans="1:14">
      <c r="A298" t="s">
        <v>4574</v>
      </c>
      <c r="B298" t="s">
        <v>4575</v>
      </c>
      <c r="C298">
        <v>20.079999999999998</v>
      </c>
      <c r="D298">
        <v>20.079999999999998</v>
      </c>
      <c r="E298" s="178">
        <v>0</v>
      </c>
      <c r="F298" s="176">
        <v>0</v>
      </c>
      <c r="G298" t="s">
        <v>5715</v>
      </c>
      <c r="H298">
        <v>693</v>
      </c>
      <c r="I298">
        <v>420</v>
      </c>
      <c r="J298" t="s">
        <v>1667</v>
      </c>
      <c r="K298">
        <v>20.100000000000001</v>
      </c>
      <c r="L298">
        <v>20.059999999999999</v>
      </c>
      <c r="M298" s="175" t="s">
        <v>1667</v>
      </c>
      <c r="N298" t="s">
        <v>1667</v>
      </c>
    </row>
    <row r="299" spans="1:14">
      <c r="A299" t="s">
        <v>4585</v>
      </c>
      <c r="B299" t="s">
        <v>4586</v>
      </c>
      <c r="C299">
        <v>11.74</v>
      </c>
      <c r="D299">
        <v>11.77</v>
      </c>
      <c r="E299" s="178">
        <v>0.02</v>
      </c>
      <c r="F299" s="176">
        <v>0.17</v>
      </c>
      <c r="G299" t="s">
        <v>5712</v>
      </c>
      <c r="H299">
        <v>244</v>
      </c>
      <c r="I299">
        <v>155</v>
      </c>
      <c r="J299" t="s">
        <v>1667</v>
      </c>
      <c r="K299">
        <v>11.77</v>
      </c>
      <c r="L299">
        <v>11.72</v>
      </c>
      <c r="M299" s="175" t="s">
        <v>1667</v>
      </c>
      <c r="N299" t="s">
        <v>1667</v>
      </c>
    </row>
    <row r="300" spans="1:14">
      <c r="A300">
        <v>9810</v>
      </c>
      <c r="B300" t="s">
        <v>4975</v>
      </c>
      <c r="C300">
        <v>21.25</v>
      </c>
      <c r="D300">
        <v>21.27</v>
      </c>
      <c r="E300" s="178">
        <v>0.02</v>
      </c>
      <c r="F300" s="176">
        <v>0.09</v>
      </c>
      <c r="G300" t="s">
        <v>5631</v>
      </c>
      <c r="H300">
        <v>59</v>
      </c>
      <c r="I300">
        <v>164</v>
      </c>
      <c r="J300" t="s">
        <v>1667</v>
      </c>
      <c r="K300">
        <v>21.27</v>
      </c>
      <c r="L300">
        <v>21.22</v>
      </c>
      <c r="M300" s="175" t="s">
        <v>1667</v>
      </c>
      <c r="N300" t="s">
        <v>1667</v>
      </c>
    </row>
    <row r="301" spans="1:14">
      <c r="A301">
        <v>9811</v>
      </c>
      <c r="B301" t="s">
        <v>4565</v>
      </c>
      <c r="C301">
        <v>13.14</v>
      </c>
      <c r="D301">
        <v>13.21</v>
      </c>
      <c r="E301" s="178">
        <v>0.03</v>
      </c>
      <c r="F301" s="176">
        <v>0.23</v>
      </c>
      <c r="G301" t="s">
        <v>5924</v>
      </c>
      <c r="H301">
        <v>1318</v>
      </c>
      <c r="I301">
        <v>1224</v>
      </c>
      <c r="J301" t="s">
        <v>1667</v>
      </c>
      <c r="K301">
        <v>13.21</v>
      </c>
      <c r="L301">
        <v>13.13</v>
      </c>
      <c r="M301" s="175" t="s">
        <v>1667</v>
      </c>
      <c r="N301" t="s">
        <v>1667</v>
      </c>
    </row>
    <row r="302" spans="1:14">
      <c r="A302">
        <v>9812</v>
      </c>
      <c r="B302" t="s">
        <v>4623</v>
      </c>
      <c r="C302">
        <v>12.73</v>
      </c>
      <c r="D302">
        <v>12.87</v>
      </c>
      <c r="E302" s="178">
        <v>-0.02</v>
      </c>
      <c r="F302" s="176">
        <v>-0.16</v>
      </c>
      <c r="G302" t="s">
        <v>5925</v>
      </c>
      <c r="H302">
        <v>867</v>
      </c>
      <c r="I302">
        <v>341</v>
      </c>
      <c r="J302" t="s">
        <v>1667</v>
      </c>
      <c r="K302">
        <v>12.88</v>
      </c>
      <c r="L302">
        <v>12.72</v>
      </c>
      <c r="M302" s="175" t="s">
        <v>1667</v>
      </c>
      <c r="N302" t="s">
        <v>1667</v>
      </c>
    </row>
    <row r="303" spans="1:14">
      <c r="A303">
        <v>9813</v>
      </c>
      <c r="B303" t="s">
        <v>4686</v>
      </c>
      <c r="C303">
        <v>11.19</v>
      </c>
      <c r="D303">
        <v>11.23</v>
      </c>
      <c r="E303" s="178">
        <v>0.02</v>
      </c>
      <c r="F303" s="176">
        <v>0.18</v>
      </c>
      <c r="G303" t="s">
        <v>5641</v>
      </c>
      <c r="H303">
        <v>2047</v>
      </c>
      <c r="I303">
        <v>859</v>
      </c>
      <c r="J303" t="s">
        <v>1667</v>
      </c>
      <c r="K303">
        <v>11.23</v>
      </c>
      <c r="L303">
        <v>11.16</v>
      </c>
      <c r="M303" s="175" t="s">
        <v>1667</v>
      </c>
      <c r="N303" t="s">
        <v>1667</v>
      </c>
    </row>
    <row r="304" spans="1:14">
      <c r="A304">
        <v>9814</v>
      </c>
      <c r="B304" t="s">
        <v>4764</v>
      </c>
      <c r="C304">
        <v>11.35</v>
      </c>
      <c r="D304">
        <v>11.36</v>
      </c>
      <c r="E304" s="178">
        <v>-0.01</v>
      </c>
      <c r="F304" s="176">
        <v>-0.09</v>
      </c>
      <c r="G304" t="s">
        <v>5926</v>
      </c>
      <c r="H304">
        <v>1085</v>
      </c>
      <c r="I304">
        <v>1568</v>
      </c>
      <c r="J304" t="s">
        <v>1667</v>
      </c>
      <c r="K304">
        <v>11.36</v>
      </c>
      <c r="L304">
        <v>11.31</v>
      </c>
      <c r="M304" s="175" t="s">
        <v>1667</v>
      </c>
      <c r="N304" t="s">
        <v>1667</v>
      </c>
    </row>
    <row r="305" spans="1:14">
      <c r="A305">
        <v>9815</v>
      </c>
      <c r="B305" t="s">
        <v>4823</v>
      </c>
      <c r="C305">
        <v>11.43</v>
      </c>
      <c r="D305">
        <v>11.46</v>
      </c>
      <c r="E305" s="178">
        <v>0.01</v>
      </c>
      <c r="F305" s="176">
        <v>0.09</v>
      </c>
      <c r="G305" t="s">
        <v>5927</v>
      </c>
      <c r="H305">
        <v>1947</v>
      </c>
      <c r="I305">
        <v>1182</v>
      </c>
      <c r="J305" t="s">
        <v>1667</v>
      </c>
      <c r="K305">
        <v>11.46</v>
      </c>
      <c r="L305">
        <v>11.37</v>
      </c>
      <c r="M305" s="175" t="s">
        <v>1667</v>
      </c>
      <c r="N305" t="s">
        <v>1667</v>
      </c>
    </row>
    <row r="306" spans="1:14">
      <c r="A306">
        <v>9816</v>
      </c>
      <c r="B306" t="s">
        <v>4878</v>
      </c>
      <c r="C306">
        <v>15.43</v>
      </c>
      <c r="D306">
        <v>15.56</v>
      </c>
      <c r="E306" s="178">
        <v>-0.03</v>
      </c>
      <c r="F306" s="176">
        <v>-0.19</v>
      </c>
      <c r="G306" t="s">
        <v>5393</v>
      </c>
      <c r="H306">
        <v>94311</v>
      </c>
      <c r="I306">
        <v>81170</v>
      </c>
      <c r="J306" t="s">
        <v>1667</v>
      </c>
      <c r="K306">
        <v>15.56</v>
      </c>
      <c r="L306">
        <v>15.35</v>
      </c>
      <c r="M306" s="175" t="s">
        <v>1667</v>
      </c>
      <c r="N306" t="s">
        <v>1667</v>
      </c>
    </row>
    <row r="307" spans="1:14">
      <c r="A307">
        <v>9817</v>
      </c>
      <c r="B307" t="s">
        <v>4891</v>
      </c>
      <c r="C307">
        <v>8.99</v>
      </c>
      <c r="D307">
        <v>8.99</v>
      </c>
      <c r="E307" s="178">
        <v>0</v>
      </c>
      <c r="F307" s="176">
        <v>0</v>
      </c>
      <c r="G307" t="s">
        <v>5928</v>
      </c>
      <c r="H307">
        <v>781</v>
      </c>
      <c r="I307">
        <v>482</v>
      </c>
      <c r="J307" t="s">
        <v>1667</v>
      </c>
      <c r="K307">
        <v>9.02</v>
      </c>
      <c r="L307">
        <v>8.9700000000000006</v>
      </c>
      <c r="M307" s="175" t="s">
        <v>1667</v>
      </c>
      <c r="N307" t="s">
        <v>1667</v>
      </c>
    </row>
    <row r="308" spans="1:14">
      <c r="A308">
        <v>9818</v>
      </c>
      <c r="B308" t="s">
        <v>4939</v>
      </c>
      <c r="C308">
        <v>19.760000000000002</v>
      </c>
      <c r="D308">
        <v>19.78</v>
      </c>
      <c r="E308" s="178">
        <v>-0.12</v>
      </c>
      <c r="F308" s="176">
        <v>-0.6</v>
      </c>
      <c r="G308" t="s">
        <v>5270</v>
      </c>
      <c r="H308">
        <v>171</v>
      </c>
      <c r="I308">
        <v>175</v>
      </c>
      <c r="J308" t="s">
        <v>1667</v>
      </c>
      <c r="K308">
        <v>19.78</v>
      </c>
      <c r="L308">
        <v>19.670000000000002</v>
      </c>
      <c r="M308" s="175" t="s">
        <v>1667</v>
      </c>
      <c r="N308" t="s">
        <v>1667</v>
      </c>
    </row>
    <row r="309" spans="1:14">
      <c r="A309">
        <v>9819</v>
      </c>
      <c r="B309" t="s">
        <v>5048</v>
      </c>
      <c r="C309">
        <v>9.83</v>
      </c>
      <c r="D309">
        <v>9.7799999999999994</v>
      </c>
      <c r="E309" s="178">
        <v>-0.11</v>
      </c>
      <c r="F309" s="176">
        <v>-1.1100000000000001</v>
      </c>
      <c r="G309" t="s">
        <v>5929</v>
      </c>
      <c r="H309">
        <v>4251</v>
      </c>
      <c r="I309">
        <v>4428</v>
      </c>
      <c r="J309" t="s">
        <v>1667</v>
      </c>
      <c r="K309">
        <v>9.83</v>
      </c>
      <c r="L309">
        <v>9.6999999999999993</v>
      </c>
      <c r="M309" s="175" t="s">
        <v>1667</v>
      </c>
      <c r="N309" t="s">
        <v>1667</v>
      </c>
    </row>
    <row r="310" spans="1:14">
      <c r="A310" t="s">
        <v>4475</v>
      </c>
      <c r="B310" t="s">
        <v>4476</v>
      </c>
      <c r="C310">
        <v>29.09</v>
      </c>
      <c r="D310">
        <v>29.4</v>
      </c>
      <c r="E310" s="178">
        <v>-0.69</v>
      </c>
      <c r="F310" s="176">
        <v>-2.29</v>
      </c>
      <c r="G310" t="s">
        <v>5930</v>
      </c>
      <c r="H310">
        <v>233224</v>
      </c>
      <c r="I310">
        <v>163564</v>
      </c>
      <c r="J310" t="s">
        <v>1667</v>
      </c>
      <c r="K310">
        <v>29.5</v>
      </c>
      <c r="L310">
        <v>28.93</v>
      </c>
      <c r="M310" s="175" t="s">
        <v>1667</v>
      </c>
      <c r="N310" t="s">
        <v>1667</v>
      </c>
    </row>
    <row r="311" spans="1:14">
      <c r="A311" t="s">
        <v>4348</v>
      </c>
      <c r="B311" t="s">
        <v>4349</v>
      </c>
      <c r="C311">
        <v>9.15</v>
      </c>
      <c r="D311">
        <v>9.15</v>
      </c>
      <c r="E311" s="178">
        <v>0.01</v>
      </c>
      <c r="F311" s="176">
        <v>0.11</v>
      </c>
      <c r="G311" t="s">
        <v>5931</v>
      </c>
      <c r="H311">
        <v>8713</v>
      </c>
      <c r="I311">
        <v>13310</v>
      </c>
      <c r="J311" t="s">
        <v>1667</v>
      </c>
      <c r="K311">
        <v>9.15</v>
      </c>
      <c r="L311">
        <v>9.1300000000000008</v>
      </c>
      <c r="M311" s="175" t="s">
        <v>1667</v>
      </c>
      <c r="N311" t="s">
        <v>1667</v>
      </c>
    </row>
    <row r="312" spans="1:14">
      <c r="A312" t="s">
        <v>4620</v>
      </c>
      <c r="B312" t="s">
        <v>4621</v>
      </c>
      <c r="C312">
        <v>10.29</v>
      </c>
      <c r="D312">
        <v>10.27</v>
      </c>
      <c r="E312" s="178">
        <v>-0.02</v>
      </c>
      <c r="F312" s="176">
        <v>-0.19</v>
      </c>
      <c r="G312" t="s">
        <v>5932</v>
      </c>
      <c r="H312">
        <v>4189</v>
      </c>
      <c r="I312">
        <v>2336</v>
      </c>
      <c r="J312" t="s">
        <v>1667</v>
      </c>
      <c r="K312">
        <v>10.29</v>
      </c>
      <c r="L312">
        <v>10.27</v>
      </c>
      <c r="M312" s="175" t="s">
        <v>1667</v>
      </c>
      <c r="N312" t="s">
        <v>1667</v>
      </c>
    </row>
    <row r="313" spans="1:14">
      <c r="A313" t="s">
        <v>4652</v>
      </c>
      <c r="B313" t="s">
        <v>4653</v>
      </c>
      <c r="C313">
        <v>11.78</v>
      </c>
      <c r="D313">
        <v>11.79</v>
      </c>
      <c r="E313" s="178">
        <v>-0.02</v>
      </c>
      <c r="F313" s="176">
        <v>-0.17</v>
      </c>
      <c r="G313" t="s">
        <v>5484</v>
      </c>
      <c r="H313">
        <v>2038</v>
      </c>
      <c r="I313">
        <v>1886</v>
      </c>
      <c r="J313" t="s">
        <v>1667</v>
      </c>
      <c r="K313">
        <v>11.79</v>
      </c>
      <c r="L313">
        <v>11.74</v>
      </c>
      <c r="M313" s="175" t="s">
        <v>1667</v>
      </c>
      <c r="N313" t="s">
        <v>1667</v>
      </c>
    </row>
    <row r="314" spans="1:14">
      <c r="A314">
        <v>9820</v>
      </c>
      <c r="B314" t="s">
        <v>5049</v>
      </c>
      <c r="C314">
        <v>9.74</v>
      </c>
      <c r="D314">
        <v>9.76</v>
      </c>
      <c r="E314" s="178">
        <v>-7.0000000000000007E-2</v>
      </c>
      <c r="F314" s="176">
        <v>-0.71</v>
      </c>
      <c r="G314" t="s">
        <v>5641</v>
      </c>
      <c r="H314">
        <v>2362</v>
      </c>
      <c r="I314">
        <v>6594</v>
      </c>
      <c r="J314" t="s">
        <v>1667</v>
      </c>
      <c r="K314">
        <v>9.76</v>
      </c>
      <c r="L314">
        <v>9.67</v>
      </c>
      <c r="M314" s="175" t="s">
        <v>1667</v>
      </c>
      <c r="N314" t="s">
        <v>1667</v>
      </c>
    </row>
    <row r="315" spans="1:14">
      <c r="A315">
        <v>9821</v>
      </c>
      <c r="B315" t="s">
        <v>5127</v>
      </c>
      <c r="C315">
        <v>15.22</v>
      </c>
      <c r="D315">
        <v>15.27</v>
      </c>
      <c r="E315" s="178">
        <v>-0.65</v>
      </c>
      <c r="F315" s="176">
        <v>-4.08</v>
      </c>
      <c r="G315" t="s">
        <v>5392</v>
      </c>
      <c r="H315">
        <v>9447</v>
      </c>
      <c r="I315">
        <v>15718</v>
      </c>
      <c r="J315" t="s">
        <v>1667</v>
      </c>
      <c r="K315">
        <v>15.35</v>
      </c>
      <c r="L315">
        <v>15.21</v>
      </c>
      <c r="M315" s="175" t="s">
        <v>1667</v>
      </c>
      <c r="N315" t="s">
        <v>1667</v>
      </c>
    </row>
    <row r="316" spans="1:14">
      <c r="A316">
        <v>9822</v>
      </c>
      <c r="B316" t="s">
        <v>5113</v>
      </c>
      <c r="C316">
        <v>9.75</v>
      </c>
      <c r="D316">
        <v>9.58</v>
      </c>
      <c r="E316" s="178">
        <v>-0.28999999999999998</v>
      </c>
      <c r="F316" s="176">
        <v>-2.94</v>
      </c>
      <c r="G316" t="s">
        <v>5489</v>
      </c>
      <c r="H316">
        <v>341</v>
      </c>
      <c r="I316">
        <v>2289</v>
      </c>
      <c r="J316" t="s">
        <v>1667</v>
      </c>
      <c r="K316">
        <v>9.75</v>
      </c>
      <c r="L316">
        <v>9.5500000000000007</v>
      </c>
      <c r="M316" s="175" t="s">
        <v>1667</v>
      </c>
      <c r="N316" t="s">
        <v>1667</v>
      </c>
    </row>
    <row r="317" spans="1:14">
      <c r="A317">
        <v>9823</v>
      </c>
      <c r="B317" t="s">
        <v>5134</v>
      </c>
      <c r="C317">
        <v>10.43</v>
      </c>
      <c r="D317">
        <v>10.44</v>
      </c>
      <c r="E317" s="178">
        <v>-0.01</v>
      </c>
      <c r="F317" s="176">
        <v>-0.1</v>
      </c>
      <c r="G317" t="s">
        <v>5933</v>
      </c>
      <c r="H317">
        <v>3384</v>
      </c>
      <c r="I317">
        <v>2009</v>
      </c>
      <c r="J317" t="s">
        <v>1667</v>
      </c>
      <c r="K317">
        <v>10.44</v>
      </c>
      <c r="L317">
        <v>10.38</v>
      </c>
      <c r="M317" s="175" t="s">
        <v>1667</v>
      </c>
      <c r="N317" t="s">
        <v>1667</v>
      </c>
    </row>
    <row r="318" spans="1:14">
      <c r="A318">
        <v>9824</v>
      </c>
      <c r="B318" t="s">
        <v>5135</v>
      </c>
      <c r="C318">
        <v>9.9700000000000006</v>
      </c>
      <c r="D318">
        <v>10</v>
      </c>
      <c r="E318" s="178">
        <v>-0.01</v>
      </c>
      <c r="F318" s="176">
        <v>-0.1</v>
      </c>
      <c r="G318" t="s">
        <v>5934</v>
      </c>
      <c r="H318">
        <v>6333</v>
      </c>
      <c r="I318">
        <v>3573</v>
      </c>
      <c r="J318" t="s">
        <v>1667</v>
      </c>
      <c r="K318">
        <v>10</v>
      </c>
      <c r="L318">
        <v>9.91</v>
      </c>
      <c r="M318" s="175" t="s">
        <v>1667</v>
      </c>
      <c r="N318" t="s">
        <v>1667</v>
      </c>
    </row>
    <row r="319" spans="1:14">
      <c r="A319">
        <v>9825</v>
      </c>
      <c r="B319" t="s">
        <v>5167</v>
      </c>
      <c r="C319">
        <v>10.15</v>
      </c>
      <c r="D319">
        <v>10.050000000000001</v>
      </c>
      <c r="E319" s="178">
        <v>-0.14000000000000001</v>
      </c>
      <c r="F319" s="176">
        <v>-1.37</v>
      </c>
      <c r="G319" t="s">
        <v>5221</v>
      </c>
      <c r="H319">
        <v>134</v>
      </c>
      <c r="I319">
        <v>1867</v>
      </c>
      <c r="J319" t="s">
        <v>1667</v>
      </c>
      <c r="K319">
        <v>10.15</v>
      </c>
      <c r="L319">
        <v>10.039999999999999</v>
      </c>
      <c r="M319" s="175" t="s">
        <v>1667</v>
      </c>
      <c r="N319" t="s">
        <v>1667</v>
      </c>
    </row>
    <row r="320" spans="1:14">
      <c r="A320">
        <v>9826</v>
      </c>
      <c r="B320" t="s">
        <v>5257</v>
      </c>
      <c r="C320">
        <v>10.09</v>
      </c>
      <c r="D320">
        <v>10.1</v>
      </c>
      <c r="E320" s="178">
        <v>-0.03</v>
      </c>
      <c r="F320" s="176">
        <v>-0.3</v>
      </c>
      <c r="G320" t="s">
        <v>5935</v>
      </c>
      <c r="H320">
        <v>25592</v>
      </c>
      <c r="I320">
        <v>15718</v>
      </c>
      <c r="J320" t="s">
        <v>1667</v>
      </c>
      <c r="K320">
        <v>10.1</v>
      </c>
      <c r="L320">
        <v>10.050000000000001</v>
      </c>
      <c r="M320" s="175" t="s">
        <v>1667</v>
      </c>
      <c r="N320" t="s">
        <v>1667</v>
      </c>
    </row>
    <row r="321" spans="1:14">
      <c r="A321">
        <v>9829</v>
      </c>
      <c r="B321" t="s">
        <v>5936</v>
      </c>
      <c r="C321">
        <v>10.18</v>
      </c>
      <c r="D321">
        <v>10.4</v>
      </c>
      <c r="E321" s="178">
        <v>-0.01</v>
      </c>
      <c r="F321" s="176">
        <v>-0.1</v>
      </c>
      <c r="G321" t="s">
        <v>5937</v>
      </c>
      <c r="H321">
        <v>36303</v>
      </c>
      <c r="I321">
        <v>45020</v>
      </c>
      <c r="J321" t="s">
        <v>1667</v>
      </c>
      <c r="K321">
        <v>10.4</v>
      </c>
      <c r="L321">
        <v>10.050000000000001</v>
      </c>
      <c r="M321" s="175" t="s">
        <v>1667</v>
      </c>
      <c r="N321" t="s">
        <v>1667</v>
      </c>
    </row>
    <row r="322" spans="1:14">
      <c r="A322" t="s">
        <v>4477</v>
      </c>
      <c r="B322" t="s">
        <v>4478</v>
      </c>
      <c r="C322">
        <v>22.23</v>
      </c>
      <c r="D322">
        <v>22.39</v>
      </c>
      <c r="E322" s="178">
        <v>-0.15</v>
      </c>
      <c r="F322" s="176">
        <v>-0.67</v>
      </c>
      <c r="G322" t="s">
        <v>5938</v>
      </c>
      <c r="H322">
        <v>16958</v>
      </c>
      <c r="I322">
        <v>21208</v>
      </c>
      <c r="J322" t="s">
        <v>1667</v>
      </c>
      <c r="K322">
        <v>22.45</v>
      </c>
      <c r="L322">
        <v>21.99</v>
      </c>
      <c r="M322" s="175" t="s">
        <v>1667</v>
      </c>
      <c r="N322" t="s">
        <v>1667</v>
      </c>
    </row>
    <row r="323" spans="1:14">
      <c r="A323" t="s">
        <v>4479</v>
      </c>
      <c r="B323" t="s">
        <v>4480</v>
      </c>
      <c r="C323">
        <v>9.4600000000000009</v>
      </c>
      <c r="D323">
        <v>9.4600000000000009</v>
      </c>
      <c r="E323" s="178">
        <v>0.01</v>
      </c>
      <c r="F323" s="176">
        <v>0.11</v>
      </c>
      <c r="G323" t="s">
        <v>5557</v>
      </c>
      <c r="H323">
        <v>50</v>
      </c>
      <c r="I323">
        <v>35</v>
      </c>
      <c r="J323" t="s">
        <v>1667</v>
      </c>
      <c r="K323">
        <v>9.4600000000000009</v>
      </c>
      <c r="L323">
        <v>9.4600000000000009</v>
      </c>
      <c r="M323" s="175" t="s">
        <v>1667</v>
      </c>
      <c r="N323" t="s">
        <v>1667</v>
      </c>
    </row>
    <row r="324" spans="1:14">
      <c r="A324" t="s">
        <v>4676</v>
      </c>
      <c r="B324" t="s">
        <v>4677</v>
      </c>
      <c r="C324">
        <v>9.73</v>
      </c>
      <c r="D324">
        <v>9.7100000000000009</v>
      </c>
      <c r="E324" s="178">
        <v>0</v>
      </c>
      <c r="F324" s="176">
        <v>0</v>
      </c>
      <c r="G324" t="s">
        <v>5405</v>
      </c>
      <c r="H324">
        <v>189</v>
      </c>
      <c r="I324">
        <v>452</v>
      </c>
      <c r="J324" t="s">
        <v>1667</v>
      </c>
      <c r="K324">
        <v>9.73</v>
      </c>
      <c r="L324">
        <v>9.69</v>
      </c>
      <c r="M324" s="175" t="s">
        <v>1667</v>
      </c>
      <c r="N324" t="s">
        <v>1667</v>
      </c>
    </row>
    <row r="325" spans="1:14">
      <c r="A325" t="s">
        <v>4785</v>
      </c>
      <c r="B325" t="s">
        <v>4786</v>
      </c>
      <c r="C325">
        <v>15.35</v>
      </c>
      <c r="D325">
        <v>15.32</v>
      </c>
      <c r="E325" s="178">
        <v>-0.2</v>
      </c>
      <c r="F325" s="176">
        <v>-1.29</v>
      </c>
      <c r="G325" t="s">
        <v>5632</v>
      </c>
      <c r="H325">
        <v>36</v>
      </c>
      <c r="I325">
        <v>51</v>
      </c>
      <c r="J325" t="s">
        <v>1667</v>
      </c>
      <c r="K325">
        <v>15.35</v>
      </c>
      <c r="L325">
        <v>15.24</v>
      </c>
      <c r="M325" s="175" t="s">
        <v>1667</v>
      </c>
      <c r="N325" t="s">
        <v>1667</v>
      </c>
    </row>
    <row r="326" spans="1:14">
      <c r="A326" t="s">
        <v>4481</v>
      </c>
      <c r="B326" t="s">
        <v>4482</v>
      </c>
      <c r="C326">
        <v>12.32</v>
      </c>
      <c r="D326">
        <v>12.36</v>
      </c>
      <c r="E326" s="178">
        <v>-0.38</v>
      </c>
      <c r="F326" s="176">
        <v>-2.98</v>
      </c>
      <c r="G326" t="s">
        <v>5258</v>
      </c>
      <c r="H326">
        <v>663</v>
      </c>
      <c r="I326">
        <v>2042</v>
      </c>
      <c r="J326" t="s">
        <v>1667</v>
      </c>
      <c r="K326">
        <v>12.36</v>
      </c>
      <c r="L326">
        <v>12.26</v>
      </c>
      <c r="M326" s="175" t="s">
        <v>1667</v>
      </c>
      <c r="N326" t="s">
        <v>1667</v>
      </c>
    </row>
    <row r="327" spans="1:14">
      <c r="A327" t="s">
        <v>4483</v>
      </c>
      <c r="B327" t="s">
        <v>4484</v>
      </c>
      <c r="C327">
        <v>15.2</v>
      </c>
      <c r="D327">
        <v>15.19</v>
      </c>
      <c r="E327" s="178">
        <v>0.02</v>
      </c>
      <c r="F327" s="176">
        <v>0.13</v>
      </c>
      <c r="G327" t="s">
        <v>5481</v>
      </c>
      <c r="H327">
        <v>447</v>
      </c>
      <c r="I327">
        <v>291</v>
      </c>
      <c r="J327" t="s">
        <v>1667</v>
      </c>
      <c r="K327">
        <v>15.21</v>
      </c>
      <c r="L327">
        <v>15.19</v>
      </c>
      <c r="M327" s="175" t="s">
        <v>1667</v>
      </c>
      <c r="N327" t="s">
        <v>1667</v>
      </c>
    </row>
    <row r="328" spans="1:14">
      <c r="A328" t="s">
        <v>4678</v>
      </c>
      <c r="B328" t="s">
        <v>4679</v>
      </c>
      <c r="C328">
        <v>9.91</v>
      </c>
      <c r="D328">
        <v>9.8800000000000008</v>
      </c>
      <c r="E328" s="178">
        <v>-0.03</v>
      </c>
      <c r="F328" s="176">
        <v>-0.3</v>
      </c>
      <c r="G328" t="s">
        <v>5753</v>
      </c>
      <c r="H328">
        <v>1353</v>
      </c>
      <c r="I328">
        <v>594</v>
      </c>
      <c r="J328" t="s">
        <v>1667</v>
      </c>
      <c r="K328">
        <v>9.91</v>
      </c>
      <c r="L328">
        <v>9.8800000000000008</v>
      </c>
      <c r="M328" s="175" t="s">
        <v>1667</v>
      </c>
      <c r="N328" t="s">
        <v>1667</v>
      </c>
    </row>
    <row r="329" spans="1:14">
      <c r="A329" t="s">
        <v>4548</v>
      </c>
      <c r="B329" t="s">
        <v>4549</v>
      </c>
      <c r="C329">
        <v>15.64</v>
      </c>
      <c r="D329">
        <v>15.68</v>
      </c>
      <c r="E329" s="178">
        <v>-7.0000000000000007E-2</v>
      </c>
      <c r="F329" s="176">
        <v>-0.44</v>
      </c>
      <c r="G329" t="s">
        <v>5939</v>
      </c>
      <c r="H329">
        <v>3011</v>
      </c>
      <c r="I329">
        <v>3553</v>
      </c>
      <c r="J329" t="s">
        <v>1667</v>
      </c>
      <c r="K329">
        <v>15.69</v>
      </c>
      <c r="L329">
        <v>15.47</v>
      </c>
      <c r="M329" s="175" t="s">
        <v>1667</v>
      </c>
      <c r="N329" t="s">
        <v>1667</v>
      </c>
    </row>
    <row r="330" spans="1:14">
      <c r="A330" t="s">
        <v>4485</v>
      </c>
      <c r="B330" t="s">
        <v>4486</v>
      </c>
      <c r="C330">
        <v>15.88</v>
      </c>
      <c r="D330">
        <v>15.89</v>
      </c>
      <c r="E330" s="178">
        <v>0.04</v>
      </c>
      <c r="F330" s="176">
        <v>0.25</v>
      </c>
      <c r="G330" t="s">
        <v>5415</v>
      </c>
      <c r="H330">
        <v>231</v>
      </c>
      <c r="I330">
        <v>473</v>
      </c>
      <c r="J330" t="s">
        <v>1667</v>
      </c>
      <c r="K330">
        <v>15.94</v>
      </c>
      <c r="L330">
        <v>15.87</v>
      </c>
      <c r="M330" s="175" t="s">
        <v>1667</v>
      </c>
      <c r="N330" t="s">
        <v>1667</v>
      </c>
    </row>
    <row r="331" spans="1:14">
      <c r="A331" t="s">
        <v>4879</v>
      </c>
      <c r="B331" t="s">
        <v>4880</v>
      </c>
      <c r="C331">
        <v>10.02</v>
      </c>
      <c r="D331">
        <v>10.01</v>
      </c>
      <c r="E331" s="178">
        <v>0</v>
      </c>
      <c r="F331" s="176">
        <v>0</v>
      </c>
      <c r="G331" t="s">
        <v>5940</v>
      </c>
      <c r="H331">
        <v>40541</v>
      </c>
      <c r="I331">
        <v>27351</v>
      </c>
      <c r="J331" t="s">
        <v>1667</v>
      </c>
      <c r="K331">
        <v>10.02</v>
      </c>
      <c r="L331">
        <v>9.99</v>
      </c>
      <c r="M331" s="175" t="s">
        <v>1667</v>
      </c>
      <c r="N331" t="s">
        <v>1667</v>
      </c>
    </row>
    <row r="332" spans="1:14">
      <c r="A332" t="s">
        <v>4555</v>
      </c>
      <c r="B332" t="s">
        <v>4556</v>
      </c>
      <c r="C332">
        <v>23.05</v>
      </c>
      <c r="D332">
        <v>22.98</v>
      </c>
      <c r="E332" s="178">
        <v>-0.31</v>
      </c>
      <c r="F332" s="176">
        <v>-1.33</v>
      </c>
      <c r="G332" t="s">
        <v>5941</v>
      </c>
      <c r="H332">
        <v>3591</v>
      </c>
      <c r="I332">
        <v>2976</v>
      </c>
      <c r="J332" t="s">
        <v>1667</v>
      </c>
      <c r="K332">
        <v>23.14</v>
      </c>
      <c r="L332">
        <v>22.7</v>
      </c>
      <c r="M332" s="175" t="s">
        <v>1667</v>
      </c>
      <c r="N332" t="s">
        <v>1667</v>
      </c>
    </row>
    <row r="333" spans="1:14">
      <c r="A333" t="s">
        <v>4612</v>
      </c>
      <c r="B333" t="s">
        <v>4613</v>
      </c>
      <c r="C333">
        <v>10.16</v>
      </c>
      <c r="D333">
        <v>10.19</v>
      </c>
      <c r="E333" s="178">
        <v>0.02</v>
      </c>
      <c r="F333" s="176">
        <v>0.2</v>
      </c>
      <c r="G333" t="s">
        <v>5580</v>
      </c>
      <c r="H333">
        <v>15096</v>
      </c>
      <c r="I333">
        <v>8151</v>
      </c>
      <c r="J333" t="s">
        <v>1667</v>
      </c>
      <c r="K333">
        <v>10.19</v>
      </c>
      <c r="L333">
        <v>10.16</v>
      </c>
      <c r="M333" s="175" t="s">
        <v>1667</v>
      </c>
      <c r="N333" t="s">
        <v>1667</v>
      </c>
    </row>
    <row r="334" spans="1:14">
      <c r="A334" t="s">
        <v>4951</v>
      </c>
      <c r="B334" t="s">
        <v>4952</v>
      </c>
      <c r="C334">
        <v>9.83</v>
      </c>
      <c r="D334">
        <v>9.85</v>
      </c>
      <c r="E334" s="178">
        <v>0.02</v>
      </c>
      <c r="F334" s="176">
        <v>0.2</v>
      </c>
      <c r="G334" t="s">
        <v>5942</v>
      </c>
      <c r="H334">
        <v>838</v>
      </c>
      <c r="I334">
        <v>566</v>
      </c>
      <c r="J334" t="s">
        <v>1667</v>
      </c>
      <c r="K334">
        <v>9.86</v>
      </c>
      <c r="L334">
        <v>9.83</v>
      </c>
      <c r="M334" s="175" t="s">
        <v>1667</v>
      </c>
      <c r="N334" t="s">
        <v>1667</v>
      </c>
    </row>
    <row r="335" spans="1:14">
      <c r="A335" t="s">
        <v>4599</v>
      </c>
      <c r="B335" t="s">
        <v>4600</v>
      </c>
      <c r="C335">
        <v>14.38</v>
      </c>
      <c r="D335">
        <v>14.24</v>
      </c>
      <c r="E335" s="178">
        <v>-0.17</v>
      </c>
      <c r="F335" s="176">
        <v>-1.18</v>
      </c>
      <c r="G335" t="s">
        <v>5943</v>
      </c>
      <c r="H335">
        <v>468</v>
      </c>
      <c r="I335">
        <v>237</v>
      </c>
      <c r="J335" t="s">
        <v>1667</v>
      </c>
      <c r="K335">
        <v>14.38</v>
      </c>
      <c r="L335">
        <v>14.13</v>
      </c>
      <c r="M335" s="175" t="s">
        <v>1667</v>
      </c>
      <c r="N335" t="s">
        <v>1667</v>
      </c>
    </row>
    <row r="336" spans="1:14">
      <c r="A336" t="s">
        <v>4708</v>
      </c>
      <c r="B336" t="s">
        <v>4709</v>
      </c>
      <c r="C336">
        <v>9.51</v>
      </c>
      <c r="D336">
        <v>9.5500000000000007</v>
      </c>
      <c r="E336" s="178">
        <v>-0.02</v>
      </c>
      <c r="F336" s="176">
        <v>-0.21</v>
      </c>
      <c r="G336" t="s">
        <v>5525</v>
      </c>
      <c r="H336">
        <v>36</v>
      </c>
      <c r="I336">
        <v>11</v>
      </c>
      <c r="J336" t="s">
        <v>1667</v>
      </c>
      <c r="K336">
        <v>9.5500000000000007</v>
      </c>
      <c r="L336">
        <v>9.51</v>
      </c>
      <c r="M336" s="175" t="s">
        <v>1667</v>
      </c>
      <c r="N336" t="s">
        <v>1667</v>
      </c>
    </row>
    <row r="337" spans="1:14">
      <c r="A337" t="s">
        <v>4976</v>
      </c>
      <c r="B337" t="s">
        <v>4977</v>
      </c>
      <c r="C337">
        <v>14.37</v>
      </c>
      <c r="D337">
        <v>14.38</v>
      </c>
      <c r="E337" s="178">
        <v>0</v>
      </c>
      <c r="F337" s="176">
        <v>0</v>
      </c>
      <c r="G337" t="s">
        <v>5944</v>
      </c>
      <c r="H337">
        <v>334</v>
      </c>
      <c r="I337">
        <v>361</v>
      </c>
      <c r="J337" t="s">
        <v>1667</v>
      </c>
      <c r="K337">
        <v>14.38</v>
      </c>
      <c r="L337">
        <v>14.35</v>
      </c>
      <c r="M337" s="175" t="s">
        <v>1667</v>
      </c>
      <c r="N337" t="s">
        <v>1667</v>
      </c>
    </row>
    <row r="338" spans="1:14">
      <c r="A338" t="s">
        <v>4787</v>
      </c>
      <c r="B338" t="s">
        <v>4788</v>
      </c>
      <c r="C338">
        <v>16.309999999999999</v>
      </c>
      <c r="D338">
        <v>16.62</v>
      </c>
      <c r="E338" s="178">
        <v>0</v>
      </c>
      <c r="F338" s="176">
        <v>0</v>
      </c>
      <c r="G338" t="s">
        <v>5945</v>
      </c>
      <c r="H338">
        <v>3402</v>
      </c>
      <c r="I338">
        <v>2563</v>
      </c>
      <c r="J338" t="s">
        <v>1667</v>
      </c>
      <c r="K338">
        <v>16.62</v>
      </c>
      <c r="L338">
        <v>16.11</v>
      </c>
      <c r="M338" s="175" t="s">
        <v>1667</v>
      </c>
      <c r="N338" t="s">
        <v>1667</v>
      </c>
    </row>
    <row r="339" spans="1:14">
      <c r="A339" t="s">
        <v>4824</v>
      </c>
      <c r="B339" t="s">
        <v>4825</v>
      </c>
      <c r="C339">
        <v>15.9</v>
      </c>
      <c r="D339">
        <v>15.88</v>
      </c>
      <c r="E339" s="178">
        <v>-0.03</v>
      </c>
      <c r="F339" s="176">
        <v>-0.19</v>
      </c>
      <c r="G339" t="s">
        <v>5183</v>
      </c>
      <c r="H339">
        <v>117</v>
      </c>
      <c r="I339">
        <v>369</v>
      </c>
      <c r="J339" t="s">
        <v>1667</v>
      </c>
      <c r="K339">
        <v>15.9</v>
      </c>
      <c r="L339">
        <v>15.87</v>
      </c>
      <c r="M339" s="175" t="s">
        <v>1667</v>
      </c>
      <c r="N339" t="s">
        <v>1667</v>
      </c>
    </row>
    <row r="340" spans="1:14">
      <c r="A340" t="s">
        <v>5946</v>
      </c>
      <c r="B340" t="s">
        <v>5947</v>
      </c>
      <c r="C340">
        <v>10.02</v>
      </c>
      <c r="D340">
        <v>10.029999999999999</v>
      </c>
      <c r="E340" s="178">
        <v>0.01</v>
      </c>
      <c r="F340" s="176">
        <v>0.1</v>
      </c>
      <c r="G340" t="s">
        <v>5948</v>
      </c>
      <c r="H340">
        <v>1667</v>
      </c>
      <c r="I340">
        <v>0</v>
      </c>
      <c r="J340" t="s">
        <v>1667</v>
      </c>
      <c r="K340">
        <v>10.039999999999999</v>
      </c>
      <c r="L340">
        <v>10.02</v>
      </c>
      <c r="M340" s="175" t="s">
        <v>1667</v>
      </c>
      <c r="N340" t="s">
        <v>1667</v>
      </c>
    </row>
    <row r="341" spans="1:14">
      <c r="A341" t="s">
        <v>4706</v>
      </c>
      <c r="B341" t="s">
        <v>4707</v>
      </c>
      <c r="C341">
        <v>15.97</v>
      </c>
      <c r="D341">
        <v>15.99</v>
      </c>
      <c r="E341" s="178">
        <v>-0.4</v>
      </c>
      <c r="F341" s="176">
        <v>-2.44</v>
      </c>
      <c r="G341" t="s">
        <v>5949</v>
      </c>
      <c r="H341">
        <v>32659</v>
      </c>
      <c r="I341">
        <v>26606</v>
      </c>
      <c r="J341" t="s">
        <v>1667</v>
      </c>
      <c r="K341">
        <v>16</v>
      </c>
      <c r="L341">
        <v>15.8</v>
      </c>
      <c r="M341" s="175" t="s">
        <v>1667</v>
      </c>
      <c r="N341" t="s">
        <v>1667</v>
      </c>
    </row>
    <row r="342" spans="1:14">
      <c r="A342" t="s">
        <v>4941</v>
      </c>
      <c r="B342" t="s">
        <v>4942</v>
      </c>
      <c r="C342">
        <v>19.489999999999998</v>
      </c>
      <c r="D342">
        <v>19.510000000000002</v>
      </c>
      <c r="E342" s="178">
        <v>0.02</v>
      </c>
      <c r="F342" s="176">
        <v>0.1</v>
      </c>
      <c r="G342" t="s">
        <v>5950</v>
      </c>
      <c r="H342">
        <v>1283</v>
      </c>
      <c r="I342">
        <v>2233</v>
      </c>
      <c r="J342" t="s">
        <v>1667</v>
      </c>
      <c r="K342">
        <v>19.53</v>
      </c>
      <c r="L342">
        <v>19.489999999999998</v>
      </c>
      <c r="M342" s="175" t="s">
        <v>1667</v>
      </c>
      <c r="N342" t="s">
        <v>1667</v>
      </c>
    </row>
    <row r="343" spans="1:14">
      <c r="A343" t="s">
        <v>4697</v>
      </c>
      <c r="B343" t="s">
        <v>4698</v>
      </c>
      <c r="C343">
        <v>16.899999999999999</v>
      </c>
      <c r="D343">
        <v>16.989999999999998</v>
      </c>
      <c r="E343" s="178">
        <v>-0.24</v>
      </c>
      <c r="F343" s="176">
        <v>-1.39</v>
      </c>
      <c r="G343" t="s">
        <v>5410</v>
      </c>
      <c r="H343">
        <v>188</v>
      </c>
      <c r="I343">
        <v>1244</v>
      </c>
      <c r="J343" t="s">
        <v>1667</v>
      </c>
      <c r="K343">
        <v>16.989999999999998</v>
      </c>
      <c r="L343">
        <v>16.850000000000001</v>
      </c>
      <c r="M343" s="175" t="s">
        <v>1667</v>
      </c>
      <c r="N343" t="s">
        <v>1667</v>
      </c>
    </row>
    <row r="344" spans="1:14">
      <c r="A344" t="s">
        <v>4953</v>
      </c>
      <c r="B344" t="s">
        <v>4954</v>
      </c>
      <c r="C344">
        <v>10.050000000000001</v>
      </c>
      <c r="D344">
        <v>10.02</v>
      </c>
      <c r="E344" s="178">
        <v>-0.01</v>
      </c>
      <c r="F344" s="176">
        <v>-0.1</v>
      </c>
      <c r="G344" t="s">
        <v>5951</v>
      </c>
      <c r="H344">
        <v>3232</v>
      </c>
      <c r="I344">
        <v>3837</v>
      </c>
      <c r="J344" t="s">
        <v>1667</v>
      </c>
      <c r="K344">
        <v>10.050000000000001</v>
      </c>
      <c r="L344">
        <v>10.02</v>
      </c>
      <c r="M344" s="175" t="s">
        <v>1667</v>
      </c>
      <c r="N344" t="s">
        <v>1667</v>
      </c>
    </row>
    <row r="345" spans="1:14">
      <c r="A345" t="s">
        <v>4765</v>
      </c>
      <c r="B345" t="s">
        <v>4766</v>
      </c>
      <c r="C345">
        <v>15</v>
      </c>
      <c r="D345">
        <v>15</v>
      </c>
      <c r="E345" s="178">
        <v>-0.37</v>
      </c>
      <c r="F345" s="176">
        <v>-2.41</v>
      </c>
      <c r="G345" t="s">
        <v>5952</v>
      </c>
      <c r="H345">
        <v>13326</v>
      </c>
      <c r="I345">
        <v>12251</v>
      </c>
      <c r="J345" t="s">
        <v>1667</v>
      </c>
      <c r="K345">
        <v>15</v>
      </c>
      <c r="L345">
        <v>14.85</v>
      </c>
      <c r="M345" s="175" t="s">
        <v>1667</v>
      </c>
      <c r="N345" t="s">
        <v>1667</v>
      </c>
    </row>
    <row r="346" spans="1:14">
      <c r="A346" t="s">
        <v>5150</v>
      </c>
      <c r="B346" t="s">
        <v>5151</v>
      </c>
      <c r="C346">
        <v>9.94</v>
      </c>
      <c r="D346">
        <v>9.9499999999999993</v>
      </c>
      <c r="E346" s="178">
        <v>0.01</v>
      </c>
      <c r="F346" s="176">
        <v>0.1</v>
      </c>
      <c r="G346" t="s">
        <v>5953</v>
      </c>
      <c r="H346">
        <v>1191</v>
      </c>
      <c r="I346">
        <v>1414</v>
      </c>
      <c r="J346" t="s">
        <v>1667</v>
      </c>
      <c r="K346">
        <v>9.9600000000000009</v>
      </c>
      <c r="L346">
        <v>9.93</v>
      </c>
      <c r="M346" s="175" t="s">
        <v>1667</v>
      </c>
      <c r="N346" t="s">
        <v>1667</v>
      </c>
    </row>
    <row r="347" spans="1:14">
      <c r="A347" t="s">
        <v>4767</v>
      </c>
      <c r="B347" t="s">
        <v>4768</v>
      </c>
      <c r="C347">
        <v>17.86</v>
      </c>
      <c r="D347">
        <v>17.95</v>
      </c>
      <c r="E347" s="178">
        <v>-0.35</v>
      </c>
      <c r="F347" s="176">
        <v>-1.91</v>
      </c>
      <c r="G347" t="s">
        <v>5954</v>
      </c>
      <c r="H347">
        <v>126887</v>
      </c>
      <c r="I347">
        <v>75930</v>
      </c>
      <c r="J347" t="s">
        <v>1667</v>
      </c>
      <c r="K347">
        <v>18.14</v>
      </c>
      <c r="L347">
        <v>17.62</v>
      </c>
      <c r="M347" s="175" t="s">
        <v>1667</v>
      </c>
      <c r="N347" t="s">
        <v>1667</v>
      </c>
    </row>
    <row r="348" spans="1:14">
      <c r="A348" t="s">
        <v>5260</v>
      </c>
      <c r="B348" t="s">
        <v>5261</v>
      </c>
      <c r="C348">
        <v>14.84</v>
      </c>
      <c r="D348">
        <v>14.84</v>
      </c>
      <c r="E348" s="178">
        <v>0.03</v>
      </c>
      <c r="F348" s="176">
        <v>0.2</v>
      </c>
      <c r="G348" t="s">
        <v>5701</v>
      </c>
      <c r="H348">
        <v>136</v>
      </c>
      <c r="I348">
        <v>2477</v>
      </c>
      <c r="J348" t="s">
        <v>1667</v>
      </c>
      <c r="K348">
        <v>14.86</v>
      </c>
      <c r="L348">
        <v>14.83</v>
      </c>
      <c r="M348" s="175" t="s">
        <v>1667</v>
      </c>
      <c r="N348" t="s">
        <v>1667</v>
      </c>
    </row>
    <row r="349" spans="1:14">
      <c r="A349" t="s">
        <v>4789</v>
      </c>
      <c r="B349" t="s">
        <v>4790</v>
      </c>
      <c r="C349">
        <v>18.27</v>
      </c>
      <c r="D349">
        <v>18.43</v>
      </c>
      <c r="E349" s="178">
        <v>-0.25</v>
      </c>
      <c r="F349" s="176">
        <v>-1.34</v>
      </c>
      <c r="G349" t="s">
        <v>5955</v>
      </c>
      <c r="H349">
        <v>55406</v>
      </c>
      <c r="I349">
        <v>41815</v>
      </c>
      <c r="J349" t="s">
        <v>1667</v>
      </c>
      <c r="K349">
        <v>18.440000000000001</v>
      </c>
      <c r="L349">
        <v>18.010000000000002</v>
      </c>
      <c r="M349" s="175" t="s">
        <v>1667</v>
      </c>
      <c r="N349" t="s">
        <v>1667</v>
      </c>
    </row>
    <row r="350" spans="1:14">
      <c r="A350" t="s">
        <v>4881</v>
      </c>
      <c r="B350" t="s">
        <v>4882</v>
      </c>
      <c r="C350">
        <v>13.28</v>
      </c>
      <c r="D350">
        <v>13.4</v>
      </c>
      <c r="E350" s="178">
        <v>-0.19</v>
      </c>
      <c r="F350" s="176">
        <v>-1.4</v>
      </c>
      <c r="G350" t="s">
        <v>5956</v>
      </c>
      <c r="H350">
        <v>4949</v>
      </c>
      <c r="I350">
        <v>4156</v>
      </c>
      <c r="J350" t="s">
        <v>1667</v>
      </c>
      <c r="K350">
        <v>13.42</v>
      </c>
      <c r="L350">
        <v>13.11</v>
      </c>
      <c r="M350" s="175" t="s">
        <v>1667</v>
      </c>
      <c r="N350" t="s">
        <v>1667</v>
      </c>
    </row>
    <row r="351" spans="1:14">
      <c r="A351" t="s">
        <v>4793</v>
      </c>
      <c r="B351" t="s">
        <v>4794</v>
      </c>
      <c r="C351">
        <v>16.91</v>
      </c>
      <c r="D351">
        <v>17</v>
      </c>
      <c r="E351" s="178">
        <v>-0.28000000000000003</v>
      </c>
      <c r="F351" s="176">
        <v>-1.62</v>
      </c>
      <c r="G351" t="s">
        <v>5957</v>
      </c>
      <c r="H351">
        <v>4527</v>
      </c>
      <c r="I351">
        <v>2300</v>
      </c>
      <c r="J351" t="s">
        <v>1667</v>
      </c>
      <c r="K351">
        <v>17.100000000000001</v>
      </c>
      <c r="L351">
        <v>16.7</v>
      </c>
      <c r="M351" s="175" t="s">
        <v>1667</v>
      </c>
      <c r="N351" t="s">
        <v>1667</v>
      </c>
    </row>
    <row r="352" spans="1:14">
      <c r="A352" t="s">
        <v>4826</v>
      </c>
      <c r="B352" t="s">
        <v>4827</v>
      </c>
      <c r="C352">
        <v>17.079999999999998</v>
      </c>
      <c r="D352">
        <v>17.13</v>
      </c>
      <c r="E352" s="178">
        <v>-0.32</v>
      </c>
      <c r="F352" s="176">
        <v>-1.83</v>
      </c>
      <c r="G352" t="s">
        <v>5958</v>
      </c>
      <c r="H352">
        <v>3118</v>
      </c>
      <c r="I352">
        <v>2609</v>
      </c>
      <c r="J352" t="s">
        <v>1667</v>
      </c>
      <c r="K352">
        <v>17.18</v>
      </c>
      <c r="L352">
        <v>16.829999999999998</v>
      </c>
      <c r="M352" s="175" t="s">
        <v>1667</v>
      </c>
      <c r="N352" t="s">
        <v>1667</v>
      </c>
    </row>
    <row r="353" spans="1:14">
      <c r="A353" t="s">
        <v>4943</v>
      </c>
      <c r="B353" t="s">
        <v>4944</v>
      </c>
      <c r="C353">
        <v>13.89</v>
      </c>
      <c r="D353">
        <v>13.98</v>
      </c>
      <c r="E353" s="178">
        <v>-0.17</v>
      </c>
      <c r="F353" s="176">
        <v>-1.2</v>
      </c>
      <c r="G353" t="s">
        <v>5959</v>
      </c>
      <c r="H353">
        <v>3198</v>
      </c>
      <c r="I353">
        <v>3237</v>
      </c>
      <c r="J353" t="s">
        <v>1667</v>
      </c>
      <c r="K353">
        <v>14.06</v>
      </c>
      <c r="L353">
        <v>13.66</v>
      </c>
      <c r="M353" s="175" t="s">
        <v>1667</v>
      </c>
      <c r="N353" t="s">
        <v>1667</v>
      </c>
    </row>
    <row r="354" spans="1:14">
      <c r="A354" t="s">
        <v>4971</v>
      </c>
      <c r="B354" t="s">
        <v>4972</v>
      </c>
      <c r="C354">
        <v>11</v>
      </c>
      <c r="D354">
        <v>11.08</v>
      </c>
      <c r="E354" s="178">
        <v>-0.2</v>
      </c>
      <c r="F354" s="176">
        <v>-1.77</v>
      </c>
      <c r="G354" t="s">
        <v>5960</v>
      </c>
      <c r="H354">
        <v>8474</v>
      </c>
      <c r="I354">
        <v>8006</v>
      </c>
      <c r="J354" t="s">
        <v>1667</v>
      </c>
      <c r="K354">
        <v>11.09</v>
      </c>
      <c r="L354">
        <v>10.96</v>
      </c>
      <c r="M354" s="175" t="s">
        <v>1667</v>
      </c>
      <c r="N354" t="s">
        <v>1667</v>
      </c>
    </row>
    <row r="355" spans="1:14">
      <c r="A355" t="s">
        <v>4978</v>
      </c>
      <c r="B355" t="s">
        <v>4979</v>
      </c>
      <c r="C355">
        <v>17.77</v>
      </c>
      <c r="D355">
        <v>17.84</v>
      </c>
      <c r="E355" s="178">
        <v>7.0000000000000007E-2</v>
      </c>
      <c r="F355" s="176">
        <v>0.39</v>
      </c>
      <c r="G355" t="s">
        <v>5729</v>
      </c>
      <c r="H355">
        <v>1034</v>
      </c>
      <c r="I355">
        <v>2843</v>
      </c>
      <c r="J355" t="s">
        <v>1667</v>
      </c>
      <c r="K355">
        <v>17.84</v>
      </c>
      <c r="L355">
        <v>17.75</v>
      </c>
      <c r="M355" s="175" t="s">
        <v>1667</v>
      </c>
      <c r="N355" t="s">
        <v>1667</v>
      </c>
    </row>
    <row r="356" spans="1:14">
      <c r="A356" t="s">
        <v>5085</v>
      </c>
      <c r="B356" t="s">
        <v>5086</v>
      </c>
      <c r="C356">
        <v>11.3</v>
      </c>
      <c r="D356">
        <v>11.42</v>
      </c>
      <c r="E356" s="178">
        <v>-0.02</v>
      </c>
      <c r="F356" s="176">
        <v>-0.17</v>
      </c>
      <c r="G356" t="s">
        <v>5961</v>
      </c>
      <c r="H356">
        <v>10988</v>
      </c>
      <c r="I356">
        <v>8027</v>
      </c>
      <c r="J356" t="s">
        <v>1667</v>
      </c>
      <c r="K356">
        <v>11.42</v>
      </c>
      <c r="L356">
        <v>11.25</v>
      </c>
      <c r="M356" s="175" t="s">
        <v>1667</v>
      </c>
      <c r="N356" t="s">
        <v>1667</v>
      </c>
    </row>
    <row r="357" spans="1:14">
      <c r="A357">
        <v>20000</v>
      </c>
      <c r="B357" t="s">
        <v>2556</v>
      </c>
      <c r="C357">
        <v>30.92</v>
      </c>
      <c r="D357">
        <v>30.92</v>
      </c>
      <c r="E357" s="178">
        <v>-1.46</v>
      </c>
      <c r="F357" s="176">
        <v>-4.51</v>
      </c>
      <c r="G357" t="s">
        <v>5962</v>
      </c>
      <c r="H357">
        <v>1</v>
      </c>
      <c r="I357">
        <v>5</v>
      </c>
      <c r="J357" t="s">
        <v>1667</v>
      </c>
      <c r="K357">
        <v>30.92</v>
      </c>
      <c r="L357">
        <v>30.92</v>
      </c>
      <c r="M357" s="175" t="s">
        <v>1667</v>
      </c>
      <c r="N357" t="s">
        <v>1667</v>
      </c>
    </row>
    <row r="358" spans="1:14">
      <c r="A358">
        <v>20001</v>
      </c>
      <c r="B358" t="s">
        <v>2557</v>
      </c>
      <c r="C358" t="s">
        <v>1667</v>
      </c>
      <c r="D358" t="s">
        <v>1667</v>
      </c>
      <c r="E358" s="178" t="s">
        <v>1667</v>
      </c>
      <c r="F358" s="176" t="s">
        <v>1667</v>
      </c>
      <c r="G358" t="s">
        <v>1667</v>
      </c>
      <c r="H358">
        <v>0</v>
      </c>
      <c r="I358">
        <v>0</v>
      </c>
      <c r="J358" t="s">
        <v>1667</v>
      </c>
      <c r="K358" t="s">
        <v>1667</v>
      </c>
      <c r="L358" t="s">
        <v>1667</v>
      </c>
      <c r="M358" s="175" t="s">
        <v>1667</v>
      </c>
      <c r="N358" t="s">
        <v>1667</v>
      </c>
    </row>
    <row r="359" spans="1:14">
      <c r="A359">
        <v>20011</v>
      </c>
      <c r="B359" t="s">
        <v>2558</v>
      </c>
      <c r="C359" t="s">
        <v>1667</v>
      </c>
      <c r="D359" t="s">
        <v>1667</v>
      </c>
      <c r="E359" s="178" t="s">
        <v>1667</v>
      </c>
      <c r="F359" s="176" t="s">
        <v>1667</v>
      </c>
      <c r="G359" t="s">
        <v>1667</v>
      </c>
      <c r="H359">
        <v>0</v>
      </c>
      <c r="I359">
        <v>0</v>
      </c>
      <c r="J359" t="s">
        <v>1667</v>
      </c>
      <c r="K359" t="s">
        <v>1667</v>
      </c>
      <c r="L359" t="s">
        <v>1667</v>
      </c>
      <c r="M359" s="175" t="s">
        <v>1667</v>
      </c>
      <c r="N359" t="s">
        <v>1667</v>
      </c>
    </row>
    <row r="360" spans="1:14">
      <c r="A360">
        <v>20012</v>
      </c>
      <c r="B360" t="s">
        <v>2559</v>
      </c>
      <c r="C360" t="s">
        <v>1667</v>
      </c>
      <c r="D360" t="s">
        <v>1667</v>
      </c>
      <c r="E360" s="178" t="s">
        <v>1667</v>
      </c>
      <c r="F360" s="176" t="s">
        <v>1667</v>
      </c>
      <c r="G360" t="s">
        <v>1667</v>
      </c>
      <c r="H360">
        <v>0</v>
      </c>
      <c r="I360">
        <v>0</v>
      </c>
      <c r="J360" t="s">
        <v>1667</v>
      </c>
      <c r="K360" t="s">
        <v>1667</v>
      </c>
      <c r="L360" t="s">
        <v>1667</v>
      </c>
      <c r="M360" s="175" t="s">
        <v>1667</v>
      </c>
      <c r="N360" t="s">
        <v>1667</v>
      </c>
    </row>
    <row r="361" spans="1:14">
      <c r="A361" t="s">
        <v>2560</v>
      </c>
      <c r="B361" t="s">
        <v>2561</v>
      </c>
      <c r="C361">
        <v>140.5</v>
      </c>
      <c r="D361">
        <v>138.9</v>
      </c>
      <c r="E361" s="178">
        <v>-11</v>
      </c>
      <c r="F361" s="176">
        <v>-7.34</v>
      </c>
      <c r="G361" t="s">
        <v>5963</v>
      </c>
      <c r="H361">
        <v>387</v>
      </c>
      <c r="I361">
        <v>115</v>
      </c>
      <c r="J361" t="s">
        <v>1667</v>
      </c>
      <c r="K361">
        <v>140.5</v>
      </c>
      <c r="L361">
        <v>135</v>
      </c>
      <c r="M361" s="175" t="s">
        <v>1667</v>
      </c>
      <c r="N361" t="s">
        <v>1667</v>
      </c>
    </row>
    <row r="362" spans="1:14">
      <c r="A362">
        <v>20020</v>
      </c>
      <c r="B362" t="s">
        <v>2562</v>
      </c>
      <c r="C362" t="s">
        <v>1667</v>
      </c>
      <c r="D362" t="s">
        <v>1667</v>
      </c>
      <c r="E362" s="178" t="s">
        <v>1667</v>
      </c>
      <c r="F362" s="176" t="s">
        <v>1667</v>
      </c>
      <c r="G362" t="s">
        <v>1667</v>
      </c>
      <c r="H362">
        <v>0</v>
      </c>
      <c r="I362">
        <v>38</v>
      </c>
      <c r="J362" t="s">
        <v>1667</v>
      </c>
      <c r="K362" t="s">
        <v>1667</v>
      </c>
      <c r="L362" t="s">
        <v>1667</v>
      </c>
      <c r="M362" s="175" t="s">
        <v>1667</v>
      </c>
      <c r="N362" t="s">
        <v>1667</v>
      </c>
    </row>
    <row r="363" spans="1:14">
      <c r="A363">
        <v>20025</v>
      </c>
      <c r="B363" t="s">
        <v>2563</v>
      </c>
      <c r="C363">
        <v>36.35</v>
      </c>
      <c r="D363">
        <v>37.21</v>
      </c>
      <c r="E363" s="178">
        <v>-0.42</v>
      </c>
      <c r="F363" s="176">
        <v>-1.1200000000000001</v>
      </c>
      <c r="G363" t="s">
        <v>5520</v>
      </c>
      <c r="H363">
        <v>7</v>
      </c>
      <c r="I363">
        <v>57</v>
      </c>
      <c r="J363" t="s">
        <v>1667</v>
      </c>
      <c r="K363">
        <v>37.21</v>
      </c>
      <c r="L363">
        <v>36.35</v>
      </c>
      <c r="M363" s="175" t="s">
        <v>1667</v>
      </c>
      <c r="N363" t="s">
        <v>1667</v>
      </c>
    </row>
    <row r="364" spans="1:14">
      <c r="A364">
        <v>20028</v>
      </c>
      <c r="B364" t="s">
        <v>2564</v>
      </c>
      <c r="C364">
        <v>20.81</v>
      </c>
      <c r="D364">
        <v>20.88</v>
      </c>
      <c r="E364" s="178">
        <v>-0.12</v>
      </c>
      <c r="F364" s="176">
        <v>-0.56999999999999995</v>
      </c>
      <c r="G364" t="s">
        <v>5964</v>
      </c>
      <c r="H364">
        <v>6</v>
      </c>
      <c r="I364">
        <v>25</v>
      </c>
      <c r="J364" t="s">
        <v>1667</v>
      </c>
      <c r="K364">
        <v>20.88</v>
      </c>
      <c r="L364">
        <v>20.81</v>
      </c>
      <c r="M364" s="175" t="s">
        <v>1667</v>
      </c>
      <c r="N364" t="s">
        <v>1667</v>
      </c>
    </row>
    <row r="365" spans="1:14">
      <c r="A365">
        <v>20029</v>
      </c>
      <c r="B365" t="s">
        <v>2565</v>
      </c>
      <c r="C365" t="s">
        <v>1667</v>
      </c>
      <c r="D365" t="s">
        <v>1667</v>
      </c>
      <c r="E365" s="178" t="s">
        <v>1667</v>
      </c>
      <c r="F365" s="176" t="s">
        <v>1667</v>
      </c>
      <c r="G365" t="s">
        <v>1667</v>
      </c>
      <c r="H365">
        <v>0</v>
      </c>
      <c r="I365">
        <v>6</v>
      </c>
      <c r="J365" t="s">
        <v>1667</v>
      </c>
      <c r="K365" t="s">
        <v>1667</v>
      </c>
      <c r="L365" t="s">
        <v>1667</v>
      </c>
      <c r="M365" s="175" t="s">
        <v>1667</v>
      </c>
      <c r="N365" t="s">
        <v>1667</v>
      </c>
    </row>
    <row r="366" spans="1:14">
      <c r="A366">
        <v>20030</v>
      </c>
      <c r="B366" t="s">
        <v>2566</v>
      </c>
      <c r="C366">
        <v>19.68</v>
      </c>
      <c r="D366">
        <v>19.68</v>
      </c>
      <c r="E366" s="178">
        <v>-0.3</v>
      </c>
      <c r="F366" s="176">
        <v>-1.5</v>
      </c>
      <c r="G366" t="s">
        <v>5965</v>
      </c>
      <c r="H366">
        <v>16</v>
      </c>
      <c r="I366">
        <v>15</v>
      </c>
      <c r="J366" t="s">
        <v>1667</v>
      </c>
      <c r="K366">
        <v>19.68</v>
      </c>
      <c r="L366">
        <v>19.68</v>
      </c>
      <c r="M366" s="175" t="s">
        <v>1667</v>
      </c>
      <c r="N366" t="s">
        <v>1667</v>
      </c>
    </row>
    <row r="367" spans="1:14">
      <c r="A367">
        <v>20031</v>
      </c>
      <c r="B367" t="s">
        <v>2567</v>
      </c>
      <c r="C367">
        <v>10.15</v>
      </c>
      <c r="D367">
        <v>10.26</v>
      </c>
      <c r="E367" s="178">
        <v>-0.1</v>
      </c>
      <c r="F367" s="176">
        <v>-0.97</v>
      </c>
      <c r="G367" t="s">
        <v>5966</v>
      </c>
      <c r="H367">
        <v>4</v>
      </c>
      <c r="I367">
        <v>17</v>
      </c>
      <c r="J367" t="s">
        <v>1667</v>
      </c>
      <c r="K367">
        <v>10.26</v>
      </c>
      <c r="L367">
        <v>10.15</v>
      </c>
      <c r="M367" s="175" t="s">
        <v>1667</v>
      </c>
      <c r="N367" t="s">
        <v>1667</v>
      </c>
    </row>
    <row r="368" spans="1:14">
      <c r="A368">
        <v>20032</v>
      </c>
      <c r="B368" t="s">
        <v>2568</v>
      </c>
      <c r="C368">
        <v>10.37</v>
      </c>
      <c r="D368">
        <v>10.37</v>
      </c>
      <c r="E368" s="178">
        <v>-0.19</v>
      </c>
      <c r="F368" s="176">
        <v>-1.8</v>
      </c>
      <c r="G368" t="s">
        <v>5661</v>
      </c>
      <c r="H368">
        <v>10</v>
      </c>
      <c r="I368">
        <v>4</v>
      </c>
      <c r="J368" t="s">
        <v>1667</v>
      </c>
      <c r="K368">
        <v>10.37</v>
      </c>
      <c r="L368">
        <v>10.37</v>
      </c>
      <c r="M368" s="175" t="s">
        <v>1667</v>
      </c>
      <c r="N368" t="s">
        <v>1667</v>
      </c>
    </row>
    <row r="369" spans="1:14">
      <c r="A369">
        <v>20033</v>
      </c>
      <c r="B369" t="s">
        <v>2569</v>
      </c>
      <c r="C369">
        <v>3.61</v>
      </c>
      <c r="D369">
        <v>3.63</v>
      </c>
      <c r="E369" s="178">
        <v>-0.05</v>
      </c>
      <c r="F369" s="176">
        <v>-1.36</v>
      </c>
      <c r="G369" t="s">
        <v>5967</v>
      </c>
      <c r="H369">
        <v>15</v>
      </c>
      <c r="I369">
        <v>22</v>
      </c>
      <c r="J369" t="s">
        <v>1667</v>
      </c>
      <c r="K369">
        <v>3.63</v>
      </c>
      <c r="L369">
        <v>3.61</v>
      </c>
      <c r="M369" s="175" t="s">
        <v>1667</v>
      </c>
      <c r="N369" t="s">
        <v>1667</v>
      </c>
    </row>
    <row r="370" spans="1:14">
      <c r="A370">
        <v>20034</v>
      </c>
      <c r="B370" t="s">
        <v>2570</v>
      </c>
      <c r="C370">
        <v>15.22</v>
      </c>
      <c r="D370">
        <v>15.4</v>
      </c>
      <c r="E370" s="178">
        <v>-0.03</v>
      </c>
      <c r="F370" s="176">
        <v>-0.19</v>
      </c>
      <c r="G370" t="s">
        <v>5968</v>
      </c>
      <c r="H370">
        <v>34</v>
      </c>
      <c r="I370">
        <v>18</v>
      </c>
      <c r="J370" t="s">
        <v>1667</v>
      </c>
      <c r="K370">
        <v>15.4</v>
      </c>
      <c r="L370">
        <v>15.09</v>
      </c>
      <c r="M370" s="175" t="s">
        <v>1667</v>
      </c>
      <c r="N370" t="s">
        <v>1667</v>
      </c>
    </row>
    <row r="371" spans="1:14">
      <c r="A371">
        <v>20035</v>
      </c>
      <c r="B371" t="s">
        <v>2571</v>
      </c>
      <c r="C371" t="s">
        <v>1667</v>
      </c>
      <c r="D371" t="s">
        <v>1667</v>
      </c>
      <c r="E371" s="178" t="s">
        <v>1667</v>
      </c>
      <c r="F371" s="176" t="s">
        <v>1667</v>
      </c>
      <c r="G371" t="s">
        <v>1667</v>
      </c>
      <c r="H371">
        <v>0</v>
      </c>
      <c r="I371">
        <v>643</v>
      </c>
      <c r="J371" t="s">
        <v>1667</v>
      </c>
      <c r="K371" t="s">
        <v>1667</v>
      </c>
      <c r="L371" t="s">
        <v>1667</v>
      </c>
      <c r="M371" s="175" t="s">
        <v>1667</v>
      </c>
      <c r="N371" t="s">
        <v>1667</v>
      </c>
    </row>
    <row r="372" spans="1:14">
      <c r="A372">
        <v>20036</v>
      </c>
      <c r="B372" t="s">
        <v>2598</v>
      </c>
      <c r="C372" t="s">
        <v>1667</v>
      </c>
      <c r="D372" t="s">
        <v>1667</v>
      </c>
      <c r="E372" s="178" t="s">
        <v>1667</v>
      </c>
      <c r="F372" s="176" t="s">
        <v>1667</v>
      </c>
      <c r="G372" t="s">
        <v>1667</v>
      </c>
      <c r="H372">
        <v>0</v>
      </c>
      <c r="I372">
        <v>0</v>
      </c>
      <c r="J372" t="s">
        <v>1667</v>
      </c>
      <c r="K372" t="s">
        <v>1667</v>
      </c>
      <c r="L372" t="s">
        <v>1667</v>
      </c>
      <c r="M372" s="175" t="s">
        <v>1667</v>
      </c>
      <c r="N372" t="s">
        <v>1667</v>
      </c>
    </row>
    <row r="373" spans="1:14">
      <c r="A373">
        <v>20037</v>
      </c>
      <c r="B373" t="s">
        <v>2599</v>
      </c>
      <c r="C373" t="s">
        <v>1667</v>
      </c>
      <c r="D373" t="s">
        <v>1667</v>
      </c>
      <c r="E373" s="178" t="s">
        <v>1667</v>
      </c>
      <c r="F373" s="176" t="s">
        <v>1667</v>
      </c>
      <c r="G373" t="s">
        <v>1667</v>
      </c>
      <c r="H373">
        <v>0</v>
      </c>
      <c r="I373">
        <v>5</v>
      </c>
      <c r="J373" t="s">
        <v>1667</v>
      </c>
      <c r="K373" t="s">
        <v>1667</v>
      </c>
      <c r="L373" t="s">
        <v>1667</v>
      </c>
      <c r="M373" s="175" t="s">
        <v>1667</v>
      </c>
      <c r="N373" t="s">
        <v>1667</v>
      </c>
    </row>
    <row r="374" spans="1:14">
      <c r="A374">
        <v>20038</v>
      </c>
      <c r="B374" t="s">
        <v>2600</v>
      </c>
      <c r="C374">
        <v>14.29</v>
      </c>
      <c r="D374">
        <v>14.32</v>
      </c>
      <c r="E374" s="178">
        <v>-0.02</v>
      </c>
      <c r="F374" s="176">
        <v>-0.14000000000000001</v>
      </c>
      <c r="G374" t="s">
        <v>5969</v>
      </c>
      <c r="H374">
        <v>2</v>
      </c>
      <c r="I374">
        <v>5</v>
      </c>
      <c r="J374" t="s">
        <v>1667</v>
      </c>
      <c r="K374">
        <v>14.32</v>
      </c>
      <c r="L374">
        <v>14.29</v>
      </c>
      <c r="M374" s="175" t="s">
        <v>1667</v>
      </c>
      <c r="N374" t="s">
        <v>1667</v>
      </c>
    </row>
    <row r="375" spans="1:14">
      <c r="A375">
        <v>20039</v>
      </c>
      <c r="B375" t="s">
        <v>3082</v>
      </c>
      <c r="C375">
        <v>14.61</v>
      </c>
      <c r="D375">
        <v>14.61</v>
      </c>
      <c r="E375" s="178">
        <v>-0.23</v>
      </c>
      <c r="F375" s="176">
        <v>-1.55</v>
      </c>
      <c r="G375" t="s">
        <v>5161</v>
      </c>
      <c r="H375">
        <v>84</v>
      </c>
      <c r="I375">
        <v>13</v>
      </c>
      <c r="J375" t="s">
        <v>1667</v>
      </c>
      <c r="K375">
        <v>14.61</v>
      </c>
      <c r="L375">
        <v>14.61</v>
      </c>
      <c r="M375" s="175" t="s">
        <v>1667</v>
      </c>
      <c r="N375" t="s">
        <v>1667</v>
      </c>
    </row>
    <row r="376" spans="1:14">
      <c r="A376">
        <v>20040</v>
      </c>
      <c r="B376" t="s">
        <v>3152</v>
      </c>
      <c r="C376" t="s">
        <v>1667</v>
      </c>
      <c r="D376" t="s">
        <v>1667</v>
      </c>
      <c r="E376" s="178" t="s">
        <v>1667</v>
      </c>
      <c r="F376" s="176" t="s">
        <v>1667</v>
      </c>
      <c r="G376" t="s">
        <v>1667</v>
      </c>
      <c r="H376">
        <v>0</v>
      </c>
      <c r="I376">
        <v>546</v>
      </c>
      <c r="J376" t="s">
        <v>1667</v>
      </c>
      <c r="K376" t="s">
        <v>1667</v>
      </c>
      <c r="L376" t="s">
        <v>1667</v>
      </c>
      <c r="M376" s="175" t="s">
        <v>1667</v>
      </c>
      <c r="N376" t="s">
        <v>1667</v>
      </c>
    </row>
    <row r="377" spans="1:14">
      <c r="A377">
        <v>20041</v>
      </c>
      <c r="B377" t="s">
        <v>3157</v>
      </c>
      <c r="C377">
        <v>19.48</v>
      </c>
      <c r="D377">
        <v>19.37</v>
      </c>
      <c r="E377" s="178">
        <v>-0.13</v>
      </c>
      <c r="F377" s="176">
        <v>-0.67</v>
      </c>
      <c r="G377" t="s">
        <v>5970</v>
      </c>
      <c r="H377">
        <v>17</v>
      </c>
      <c r="I377">
        <v>54</v>
      </c>
      <c r="J377" t="s">
        <v>1667</v>
      </c>
      <c r="K377">
        <v>19.48</v>
      </c>
      <c r="L377">
        <v>19.100000000000001</v>
      </c>
      <c r="M377" s="175" t="s">
        <v>1667</v>
      </c>
      <c r="N377" t="s">
        <v>1667</v>
      </c>
    </row>
    <row r="378" spans="1:14">
      <c r="A378">
        <v>1101</v>
      </c>
      <c r="B378" t="s">
        <v>433</v>
      </c>
      <c r="C378">
        <v>24.3</v>
      </c>
      <c r="D378">
        <v>24.4</v>
      </c>
      <c r="E378" s="178">
        <v>0.1</v>
      </c>
      <c r="F378" s="176">
        <v>0.41</v>
      </c>
      <c r="G378" t="s">
        <v>5423</v>
      </c>
      <c r="H378">
        <v>496466</v>
      </c>
      <c r="I378">
        <v>30807</v>
      </c>
      <c r="J378">
        <v>752.32</v>
      </c>
      <c r="K378">
        <v>24.45</v>
      </c>
      <c r="L378">
        <v>24.05</v>
      </c>
      <c r="M378" s="175">
        <v>6.6</v>
      </c>
      <c r="N378" t="s">
        <v>1558</v>
      </c>
    </row>
    <row r="379" spans="1:14">
      <c r="A379">
        <v>1102</v>
      </c>
      <c r="B379" t="s">
        <v>434</v>
      </c>
      <c r="C379">
        <v>34.4</v>
      </c>
      <c r="D379">
        <v>34.549999999999997</v>
      </c>
      <c r="E379" s="178">
        <v>0</v>
      </c>
      <c r="F379" s="176">
        <v>0</v>
      </c>
      <c r="G379" t="s">
        <v>5579</v>
      </c>
      <c r="H379">
        <v>7788</v>
      </c>
      <c r="I379">
        <v>8275</v>
      </c>
      <c r="J379">
        <v>354.66</v>
      </c>
      <c r="K379">
        <v>34.700000000000003</v>
      </c>
      <c r="L379">
        <v>34.299999999999997</v>
      </c>
      <c r="M379" s="175">
        <v>0.22</v>
      </c>
      <c r="N379" t="s">
        <v>2098</v>
      </c>
    </row>
    <row r="380" spans="1:14">
      <c r="A380">
        <v>1103</v>
      </c>
      <c r="B380" t="s">
        <v>435</v>
      </c>
      <c r="C380">
        <v>13.2</v>
      </c>
      <c r="D380">
        <v>13.2</v>
      </c>
      <c r="E380" s="178">
        <v>0.05</v>
      </c>
      <c r="F380" s="176">
        <v>0.38</v>
      </c>
      <c r="G380" t="s">
        <v>5971</v>
      </c>
      <c r="H380">
        <v>342</v>
      </c>
      <c r="I380">
        <v>306</v>
      </c>
      <c r="J380">
        <v>83.29</v>
      </c>
      <c r="K380">
        <v>13.2</v>
      </c>
      <c r="L380">
        <v>13.1</v>
      </c>
      <c r="M380" s="175">
        <v>0.04</v>
      </c>
      <c r="N380" t="s">
        <v>3128</v>
      </c>
    </row>
    <row r="381" spans="1:14">
      <c r="A381">
        <v>1104</v>
      </c>
      <c r="B381" t="s">
        <v>436</v>
      </c>
      <c r="C381">
        <v>26.45</v>
      </c>
      <c r="D381">
        <v>26.65</v>
      </c>
      <c r="E381" s="178">
        <v>0.2</v>
      </c>
      <c r="F381" s="176">
        <v>0.76</v>
      </c>
      <c r="G381" t="s">
        <v>5593</v>
      </c>
      <c r="H381">
        <v>8816</v>
      </c>
      <c r="I381">
        <v>697</v>
      </c>
      <c r="J381">
        <v>68.67</v>
      </c>
      <c r="K381">
        <v>26.8</v>
      </c>
      <c r="L381">
        <v>26.45</v>
      </c>
      <c r="M381" s="175">
        <v>1.28</v>
      </c>
      <c r="N381" t="s">
        <v>3191</v>
      </c>
    </row>
    <row r="382" spans="1:14">
      <c r="A382">
        <v>1108</v>
      </c>
      <c r="B382" t="s">
        <v>437</v>
      </c>
      <c r="C382">
        <v>11.75</v>
      </c>
      <c r="D382">
        <v>11.7</v>
      </c>
      <c r="E382" s="178">
        <v>-0.05</v>
      </c>
      <c r="F382" s="176">
        <v>-0.43</v>
      </c>
      <c r="G382" t="s">
        <v>5972</v>
      </c>
      <c r="H382">
        <v>135</v>
      </c>
      <c r="I382">
        <v>140</v>
      </c>
      <c r="J382">
        <v>40.47</v>
      </c>
      <c r="K382">
        <v>11.75</v>
      </c>
      <c r="L382">
        <v>11.65</v>
      </c>
      <c r="M382" s="175">
        <v>0.03</v>
      </c>
      <c r="N382" t="s">
        <v>3833</v>
      </c>
    </row>
    <row r="383" spans="1:14">
      <c r="A383">
        <v>1109</v>
      </c>
      <c r="B383" t="s">
        <v>438</v>
      </c>
      <c r="C383">
        <v>13.5</v>
      </c>
      <c r="D383">
        <v>13.45</v>
      </c>
      <c r="E383" s="178">
        <v>-0.05</v>
      </c>
      <c r="F383" s="176">
        <v>-0.37</v>
      </c>
      <c r="G383" t="s">
        <v>5286</v>
      </c>
      <c r="H383">
        <v>106</v>
      </c>
      <c r="I383">
        <v>81</v>
      </c>
      <c r="J383">
        <v>34.119999999999997</v>
      </c>
      <c r="K383">
        <v>13.6</v>
      </c>
      <c r="L383">
        <v>13.4</v>
      </c>
      <c r="M383" s="175">
        <v>0.03</v>
      </c>
      <c r="N383" t="s">
        <v>3834</v>
      </c>
    </row>
    <row r="384" spans="1:14">
      <c r="A384">
        <v>1110</v>
      </c>
      <c r="B384" t="s">
        <v>439</v>
      </c>
      <c r="C384">
        <v>15.85</v>
      </c>
      <c r="D384">
        <v>15.95</v>
      </c>
      <c r="E384" s="178">
        <v>0</v>
      </c>
      <c r="F384" s="176">
        <v>0</v>
      </c>
      <c r="G384" t="s">
        <v>5973</v>
      </c>
      <c r="H384">
        <v>304</v>
      </c>
      <c r="I384">
        <v>105</v>
      </c>
      <c r="J384">
        <v>57.2</v>
      </c>
      <c r="K384">
        <v>15.95</v>
      </c>
      <c r="L384">
        <v>15.8</v>
      </c>
      <c r="M384" s="175">
        <v>0.05</v>
      </c>
      <c r="N384" t="s">
        <v>1559</v>
      </c>
    </row>
    <row r="385" spans="1:14">
      <c r="A385">
        <v>1201</v>
      </c>
      <c r="B385" t="s">
        <v>440</v>
      </c>
      <c r="C385">
        <v>12.25</v>
      </c>
      <c r="D385">
        <v>12.25</v>
      </c>
      <c r="E385" s="178">
        <v>0</v>
      </c>
      <c r="F385" s="176">
        <v>0</v>
      </c>
      <c r="G385" t="s">
        <v>5408</v>
      </c>
      <c r="H385">
        <v>367</v>
      </c>
      <c r="I385">
        <v>399</v>
      </c>
      <c r="J385">
        <v>50.61</v>
      </c>
      <c r="K385">
        <v>12.3</v>
      </c>
      <c r="L385">
        <v>12.15</v>
      </c>
      <c r="M385" s="175">
        <v>7.0000000000000007E-2</v>
      </c>
      <c r="N385" t="s">
        <v>1560</v>
      </c>
    </row>
    <row r="386" spans="1:14">
      <c r="A386">
        <v>1203</v>
      </c>
      <c r="B386" t="s">
        <v>441</v>
      </c>
      <c r="C386">
        <v>44.65</v>
      </c>
      <c r="D386">
        <v>44.1</v>
      </c>
      <c r="E386" s="178">
        <v>-1.1000000000000001</v>
      </c>
      <c r="F386" s="176">
        <v>-2.4300000000000002</v>
      </c>
      <c r="G386" t="s">
        <v>5974</v>
      </c>
      <c r="H386">
        <v>20</v>
      </c>
      <c r="I386">
        <v>15</v>
      </c>
      <c r="J386">
        <v>24</v>
      </c>
      <c r="K386">
        <v>44.65</v>
      </c>
      <c r="L386">
        <v>44.1</v>
      </c>
      <c r="M386" s="175">
        <v>0.01</v>
      </c>
      <c r="N386" t="s">
        <v>4438</v>
      </c>
    </row>
    <row r="387" spans="1:14">
      <c r="A387">
        <v>1210</v>
      </c>
      <c r="B387" t="s">
        <v>442</v>
      </c>
      <c r="C387">
        <v>52.1</v>
      </c>
      <c r="D387">
        <v>51.4</v>
      </c>
      <c r="E387" s="178">
        <v>-0.6</v>
      </c>
      <c r="F387" s="176">
        <v>-1.1499999999999999</v>
      </c>
      <c r="G387" t="s">
        <v>5198</v>
      </c>
      <c r="H387">
        <v>2176</v>
      </c>
      <c r="I387">
        <v>1110</v>
      </c>
      <c r="J387">
        <v>89.48</v>
      </c>
      <c r="K387">
        <v>52.2</v>
      </c>
      <c r="L387">
        <v>51.4</v>
      </c>
      <c r="M387" s="175">
        <v>0.24</v>
      </c>
      <c r="N387" t="s">
        <v>4896</v>
      </c>
    </row>
    <row r="388" spans="1:14">
      <c r="A388">
        <v>1213</v>
      </c>
      <c r="B388" t="s">
        <v>443</v>
      </c>
      <c r="C388">
        <v>7.7</v>
      </c>
      <c r="D388">
        <v>7.31</v>
      </c>
      <c r="E388" s="178">
        <v>-0.39</v>
      </c>
      <c r="F388" s="176">
        <v>-5.0599999999999996</v>
      </c>
      <c r="G388" t="s">
        <v>5573</v>
      </c>
      <c r="H388">
        <v>4</v>
      </c>
      <c r="I388">
        <v>38</v>
      </c>
      <c r="J388">
        <v>5.66</v>
      </c>
      <c r="K388">
        <v>7.7</v>
      </c>
      <c r="L388">
        <v>7.31</v>
      </c>
      <c r="M388" s="175">
        <v>0.01</v>
      </c>
      <c r="N388" t="s">
        <v>3425</v>
      </c>
    </row>
    <row r="389" spans="1:14">
      <c r="A389">
        <v>1215</v>
      </c>
      <c r="B389" t="s">
        <v>444</v>
      </c>
      <c r="C389">
        <v>109</v>
      </c>
      <c r="D389">
        <v>107.5</v>
      </c>
      <c r="E389" s="178">
        <v>-1</v>
      </c>
      <c r="F389" s="176">
        <v>-0.92</v>
      </c>
      <c r="G389" t="s">
        <v>5185</v>
      </c>
      <c r="H389">
        <v>1078</v>
      </c>
      <c r="I389">
        <v>648</v>
      </c>
      <c r="J389">
        <v>29.48</v>
      </c>
      <c r="K389">
        <v>109.5</v>
      </c>
      <c r="L389">
        <v>107</v>
      </c>
      <c r="M389" s="175">
        <v>0.37</v>
      </c>
      <c r="N389" t="s">
        <v>4439</v>
      </c>
    </row>
    <row r="390" spans="1:14">
      <c r="A390">
        <v>1216</v>
      </c>
      <c r="B390" t="s">
        <v>445</v>
      </c>
      <c r="C390">
        <v>75.7</v>
      </c>
      <c r="D390">
        <v>76.2</v>
      </c>
      <c r="E390" s="178">
        <v>0.5</v>
      </c>
      <c r="F390" s="176">
        <v>0.66</v>
      </c>
      <c r="G390" t="s">
        <v>5397</v>
      </c>
      <c r="H390">
        <v>14393</v>
      </c>
      <c r="I390">
        <v>10840</v>
      </c>
      <c r="J390">
        <v>568.20000000000005</v>
      </c>
      <c r="K390">
        <v>76.2</v>
      </c>
      <c r="L390">
        <v>75.099999999999994</v>
      </c>
      <c r="M390" s="175">
        <v>0.25</v>
      </c>
      <c r="N390" t="s">
        <v>3016</v>
      </c>
    </row>
    <row r="391" spans="1:14">
      <c r="A391">
        <v>1217</v>
      </c>
      <c r="B391" t="s">
        <v>446</v>
      </c>
      <c r="C391">
        <v>10.050000000000001</v>
      </c>
      <c r="D391">
        <v>9.99</v>
      </c>
      <c r="E391" s="178">
        <v>0.02</v>
      </c>
      <c r="F391" s="176">
        <v>0.2</v>
      </c>
      <c r="G391" t="s">
        <v>5975</v>
      </c>
      <c r="H391">
        <v>311</v>
      </c>
      <c r="I391">
        <v>433</v>
      </c>
      <c r="J391">
        <v>49.45</v>
      </c>
      <c r="K391">
        <v>10.050000000000001</v>
      </c>
      <c r="L391">
        <v>9.93</v>
      </c>
      <c r="M391" s="175">
        <v>0.06</v>
      </c>
      <c r="N391" t="s">
        <v>1561</v>
      </c>
    </row>
    <row r="392" spans="1:14">
      <c r="A392">
        <v>1218</v>
      </c>
      <c r="B392" t="s">
        <v>447</v>
      </c>
      <c r="C392">
        <v>14.5</v>
      </c>
      <c r="D392">
        <v>14.5</v>
      </c>
      <c r="E392" s="178">
        <v>-0.05</v>
      </c>
      <c r="F392" s="176">
        <v>-0.34</v>
      </c>
      <c r="G392" t="s">
        <v>5563</v>
      </c>
      <c r="H392">
        <v>1085</v>
      </c>
      <c r="I392">
        <v>1794</v>
      </c>
      <c r="J392">
        <v>50</v>
      </c>
      <c r="K392">
        <v>14.65</v>
      </c>
      <c r="L392">
        <v>14.45</v>
      </c>
      <c r="M392" s="175">
        <v>0.22</v>
      </c>
      <c r="N392" t="s">
        <v>4390</v>
      </c>
    </row>
    <row r="393" spans="1:14">
      <c r="A393">
        <v>1219</v>
      </c>
      <c r="B393" t="s">
        <v>448</v>
      </c>
      <c r="C393">
        <v>11.35</v>
      </c>
      <c r="D393">
        <v>11.45</v>
      </c>
      <c r="E393" s="178">
        <v>-0.05</v>
      </c>
      <c r="F393" s="176">
        <v>-0.43</v>
      </c>
      <c r="G393" t="s">
        <v>5976</v>
      </c>
      <c r="H393">
        <v>172</v>
      </c>
      <c r="I393">
        <v>659</v>
      </c>
      <c r="J393">
        <v>34.119999999999997</v>
      </c>
      <c r="K393">
        <v>11.55</v>
      </c>
      <c r="L393">
        <v>11.35</v>
      </c>
      <c r="M393" s="175">
        <v>0.05</v>
      </c>
      <c r="N393" t="s">
        <v>4897</v>
      </c>
    </row>
    <row r="394" spans="1:14">
      <c r="A394">
        <v>1220</v>
      </c>
      <c r="B394" t="s">
        <v>449</v>
      </c>
      <c r="C394">
        <v>10.9</v>
      </c>
      <c r="D394">
        <v>10.75</v>
      </c>
      <c r="E394" s="178">
        <v>-0.15</v>
      </c>
      <c r="F394" s="176">
        <v>-1.38</v>
      </c>
      <c r="G394" t="s">
        <v>5664</v>
      </c>
      <c r="H394">
        <v>201</v>
      </c>
      <c r="I394">
        <v>74</v>
      </c>
      <c r="J394">
        <v>17.71</v>
      </c>
      <c r="K394">
        <v>10.9</v>
      </c>
      <c r="L394">
        <v>10.75</v>
      </c>
      <c r="M394" s="175">
        <v>0.11</v>
      </c>
      <c r="N394" t="s">
        <v>1562</v>
      </c>
    </row>
    <row r="395" spans="1:14">
      <c r="A395">
        <v>1225</v>
      </c>
      <c r="B395" t="s">
        <v>4487</v>
      </c>
      <c r="C395">
        <v>25.25</v>
      </c>
      <c r="D395">
        <v>25.7</v>
      </c>
      <c r="E395" s="178">
        <v>0.25</v>
      </c>
      <c r="F395" s="176">
        <v>0.98</v>
      </c>
      <c r="G395" t="s">
        <v>5232</v>
      </c>
      <c r="H395">
        <v>54</v>
      </c>
      <c r="I395">
        <v>163</v>
      </c>
      <c r="J395">
        <v>24.23</v>
      </c>
      <c r="K395">
        <v>25.75</v>
      </c>
      <c r="L395">
        <v>25.25</v>
      </c>
      <c r="M395" s="175">
        <v>0.02</v>
      </c>
      <c r="N395" t="s">
        <v>4488</v>
      </c>
    </row>
    <row r="396" spans="1:14">
      <c r="A396">
        <v>1227</v>
      </c>
      <c r="B396" t="s">
        <v>450</v>
      </c>
      <c r="C396">
        <v>28.65</v>
      </c>
      <c r="D396">
        <v>28.85</v>
      </c>
      <c r="E396" s="178">
        <v>0.2</v>
      </c>
      <c r="F396" s="176">
        <v>0.7</v>
      </c>
      <c r="G396" t="s">
        <v>5977</v>
      </c>
      <c r="H396">
        <v>1498</v>
      </c>
      <c r="I396">
        <v>540</v>
      </c>
      <c r="J396">
        <v>91.51</v>
      </c>
      <c r="K396">
        <v>28.85</v>
      </c>
      <c r="L396">
        <v>28.4</v>
      </c>
      <c r="M396" s="175">
        <v>0.16</v>
      </c>
      <c r="N396" t="s">
        <v>3502</v>
      </c>
    </row>
    <row r="397" spans="1:14">
      <c r="A397">
        <v>1229</v>
      </c>
      <c r="B397" t="s">
        <v>451</v>
      </c>
      <c r="C397">
        <v>42</v>
      </c>
      <c r="D397">
        <v>41.8</v>
      </c>
      <c r="E397" s="178">
        <v>-0.35</v>
      </c>
      <c r="F397" s="176">
        <v>-0.83</v>
      </c>
      <c r="G397" t="s">
        <v>5978</v>
      </c>
      <c r="H397">
        <v>1486</v>
      </c>
      <c r="I397">
        <v>1262</v>
      </c>
      <c r="J397">
        <v>183.19</v>
      </c>
      <c r="K397">
        <v>42.25</v>
      </c>
      <c r="L397">
        <v>41.8</v>
      </c>
      <c r="M397" s="175">
        <v>0.08</v>
      </c>
      <c r="N397" t="s">
        <v>4167</v>
      </c>
    </row>
    <row r="398" spans="1:14">
      <c r="A398">
        <v>1231</v>
      </c>
      <c r="B398" t="s">
        <v>452</v>
      </c>
      <c r="C398">
        <v>80.599999999999994</v>
      </c>
      <c r="D398">
        <v>80.5</v>
      </c>
      <c r="E398" s="178">
        <v>-0.1</v>
      </c>
      <c r="F398" s="176">
        <v>-0.12</v>
      </c>
      <c r="G398" t="s">
        <v>5979</v>
      </c>
      <c r="H398">
        <v>191</v>
      </c>
      <c r="I398">
        <v>223</v>
      </c>
      <c r="J398">
        <v>32.83</v>
      </c>
      <c r="K398">
        <v>80.900000000000006</v>
      </c>
      <c r="L398">
        <v>80.400000000000006</v>
      </c>
      <c r="M398" s="175">
        <v>0.06</v>
      </c>
      <c r="N398" t="s">
        <v>1563</v>
      </c>
    </row>
    <row r="399" spans="1:14">
      <c r="A399">
        <v>1232</v>
      </c>
      <c r="B399" t="s">
        <v>453</v>
      </c>
      <c r="C399">
        <v>156.5</v>
      </c>
      <c r="D399">
        <v>157</v>
      </c>
      <c r="E399" s="178">
        <v>0.5</v>
      </c>
      <c r="F399" s="176">
        <v>0.32</v>
      </c>
      <c r="G399" t="s">
        <v>5980</v>
      </c>
      <c r="H399">
        <v>99</v>
      </c>
      <c r="I399">
        <v>84</v>
      </c>
      <c r="J399">
        <v>16</v>
      </c>
      <c r="K399">
        <v>157.5</v>
      </c>
      <c r="L399">
        <v>156.5</v>
      </c>
      <c r="M399" s="175">
        <v>0.06</v>
      </c>
      <c r="N399" t="s">
        <v>4489</v>
      </c>
    </row>
    <row r="400" spans="1:14">
      <c r="A400">
        <v>1233</v>
      </c>
      <c r="B400" t="s">
        <v>454</v>
      </c>
      <c r="C400">
        <v>29</v>
      </c>
      <c r="D400">
        <v>28.35</v>
      </c>
      <c r="E400" s="178">
        <v>-0.55000000000000004</v>
      </c>
      <c r="F400" s="176">
        <v>-1.9</v>
      </c>
      <c r="G400" t="s">
        <v>5184</v>
      </c>
      <c r="H400">
        <v>37</v>
      </c>
      <c r="I400">
        <v>13</v>
      </c>
      <c r="J400">
        <v>9.06</v>
      </c>
      <c r="K400">
        <v>29</v>
      </c>
      <c r="L400">
        <v>28.25</v>
      </c>
      <c r="M400" s="175">
        <v>0.04</v>
      </c>
      <c r="N400" t="s">
        <v>4981</v>
      </c>
    </row>
    <row r="401" spans="1:14">
      <c r="A401">
        <v>1234</v>
      </c>
      <c r="B401" t="s">
        <v>455</v>
      </c>
      <c r="C401">
        <v>33.200000000000003</v>
      </c>
      <c r="D401">
        <v>33.200000000000003</v>
      </c>
      <c r="E401" s="178">
        <v>-0.05</v>
      </c>
      <c r="F401" s="176">
        <v>-0.15</v>
      </c>
      <c r="G401" t="s">
        <v>5690</v>
      </c>
      <c r="H401">
        <v>95</v>
      </c>
      <c r="I401">
        <v>60</v>
      </c>
      <c r="J401">
        <v>40.19</v>
      </c>
      <c r="K401">
        <v>33.25</v>
      </c>
      <c r="L401">
        <v>33.1</v>
      </c>
      <c r="M401" s="175">
        <v>0.02</v>
      </c>
      <c r="N401" t="s">
        <v>3835</v>
      </c>
    </row>
    <row r="402" spans="1:14">
      <c r="A402">
        <v>1235</v>
      </c>
      <c r="B402" t="s">
        <v>456</v>
      </c>
      <c r="C402">
        <v>36.450000000000003</v>
      </c>
      <c r="D402">
        <v>36.85</v>
      </c>
      <c r="E402" s="178">
        <v>-0.15</v>
      </c>
      <c r="F402" s="176">
        <v>-0.41</v>
      </c>
      <c r="G402" t="s">
        <v>5382</v>
      </c>
      <c r="H402">
        <v>10</v>
      </c>
      <c r="I402">
        <v>25</v>
      </c>
      <c r="J402">
        <v>18.86</v>
      </c>
      <c r="K402">
        <v>37</v>
      </c>
      <c r="L402">
        <v>36.1</v>
      </c>
      <c r="M402" s="175">
        <v>0.01</v>
      </c>
      <c r="N402" t="s">
        <v>1564</v>
      </c>
    </row>
    <row r="403" spans="1:14">
      <c r="A403">
        <v>1236</v>
      </c>
      <c r="B403" t="s">
        <v>457</v>
      </c>
      <c r="C403">
        <v>25.55</v>
      </c>
      <c r="D403">
        <v>25.7</v>
      </c>
      <c r="E403" s="178">
        <v>0.15</v>
      </c>
      <c r="F403" s="176">
        <v>0.59</v>
      </c>
      <c r="G403" t="s">
        <v>5875</v>
      </c>
      <c r="H403">
        <v>64</v>
      </c>
      <c r="I403">
        <v>66</v>
      </c>
      <c r="J403">
        <v>8.67</v>
      </c>
      <c r="K403">
        <v>25.7</v>
      </c>
      <c r="L403">
        <v>25.4</v>
      </c>
      <c r="M403" s="175">
        <v>7.0000000000000007E-2</v>
      </c>
      <c r="N403" t="s">
        <v>3158</v>
      </c>
    </row>
    <row r="404" spans="1:14">
      <c r="A404">
        <v>1240</v>
      </c>
      <c r="B404" t="s">
        <v>358</v>
      </c>
      <c r="C404">
        <v>57.1</v>
      </c>
      <c r="D404">
        <v>57.1</v>
      </c>
      <c r="E404" s="178">
        <v>-0.1</v>
      </c>
      <c r="F404" s="176">
        <v>-0.17</v>
      </c>
      <c r="G404" t="s">
        <v>5644</v>
      </c>
      <c r="H404">
        <v>12</v>
      </c>
      <c r="I404">
        <v>9</v>
      </c>
      <c r="J404">
        <v>4.42</v>
      </c>
      <c r="K404">
        <v>57.4</v>
      </c>
      <c r="L404">
        <v>57.1</v>
      </c>
      <c r="M404" s="175">
        <v>0.03</v>
      </c>
      <c r="N404" t="s">
        <v>1565</v>
      </c>
    </row>
    <row r="405" spans="1:14">
      <c r="A405">
        <v>1256</v>
      </c>
      <c r="B405" t="s">
        <v>458</v>
      </c>
      <c r="C405">
        <v>193.5</v>
      </c>
      <c r="D405">
        <v>181.5</v>
      </c>
      <c r="E405" s="178">
        <v>-6.5</v>
      </c>
      <c r="F405" s="176">
        <v>-3.46</v>
      </c>
      <c r="G405" t="s">
        <v>5981</v>
      </c>
      <c r="H405">
        <v>280</v>
      </c>
      <c r="I405">
        <v>68</v>
      </c>
      <c r="J405">
        <v>3.58</v>
      </c>
      <c r="K405">
        <v>195.5</v>
      </c>
      <c r="L405">
        <v>181</v>
      </c>
      <c r="M405" s="175">
        <v>0.78</v>
      </c>
      <c r="N405" t="s">
        <v>4440</v>
      </c>
    </row>
    <row r="406" spans="1:14">
      <c r="A406">
        <v>1259</v>
      </c>
      <c r="B406" t="s">
        <v>459</v>
      </c>
      <c r="C406">
        <v>62.7</v>
      </c>
      <c r="D406">
        <v>63.4</v>
      </c>
      <c r="E406" s="178">
        <v>0.7</v>
      </c>
      <c r="F406" s="176">
        <v>1.1200000000000001</v>
      </c>
      <c r="G406" t="s">
        <v>5550</v>
      </c>
      <c r="H406">
        <v>14</v>
      </c>
      <c r="I406">
        <v>5</v>
      </c>
      <c r="J406">
        <v>3.24</v>
      </c>
      <c r="K406">
        <v>63.4</v>
      </c>
      <c r="L406">
        <v>61.3</v>
      </c>
      <c r="M406" s="175">
        <v>0.04</v>
      </c>
      <c r="N406" t="s">
        <v>2124</v>
      </c>
    </row>
    <row r="407" spans="1:14">
      <c r="A407">
        <v>1264</v>
      </c>
      <c r="B407" t="s">
        <v>460</v>
      </c>
      <c r="C407">
        <v>251</v>
      </c>
      <c r="D407">
        <v>251.5</v>
      </c>
      <c r="E407" s="178">
        <v>-0.5</v>
      </c>
      <c r="F407" s="176">
        <v>-0.2</v>
      </c>
      <c r="G407" t="s">
        <v>5490</v>
      </c>
      <c r="H407">
        <v>17</v>
      </c>
      <c r="I407">
        <v>35</v>
      </c>
      <c r="J407">
        <v>3.71</v>
      </c>
      <c r="K407">
        <v>252</v>
      </c>
      <c r="L407">
        <v>251</v>
      </c>
      <c r="M407" s="175">
        <v>0.05</v>
      </c>
      <c r="N407" t="s">
        <v>3310</v>
      </c>
    </row>
    <row r="408" spans="1:14">
      <c r="A408">
        <v>1268</v>
      </c>
      <c r="B408" t="s">
        <v>378</v>
      </c>
      <c r="C408">
        <v>181.5</v>
      </c>
      <c r="D408">
        <v>181.5</v>
      </c>
      <c r="E408" s="178">
        <v>0.5</v>
      </c>
      <c r="F408" s="176">
        <v>0.28000000000000003</v>
      </c>
      <c r="G408" t="s">
        <v>5489</v>
      </c>
      <c r="H408">
        <v>18</v>
      </c>
      <c r="I408">
        <v>13</v>
      </c>
      <c r="J408">
        <v>4.22</v>
      </c>
      <c r="K408">
        <v>182</v>
      </c>
      <c r="L408">
        <v>181</v>
      </c>
      <c r="M408" s="175">
        <v>0.04</v>
      </c>
      <c r="N408" t="s">
        <v>4898</v>
      </c>
    </row>
    <row r="409" spans="1:14">
      <c r="A409">
        <v>1294</v>
      </c>
      <c r="B409" t="s">
        <v>4048</v>
      </c>
      <c r="C409">
        <v>54.4</v>
      </c>
      <c r="D409">
        <v>53.7</v>
      </c>
      <c r="E409" s="178">
        <v>-0.7</v>
      </c>
      <c r="F409" s="176">
        <v>-1.29</v>
      </c>
      <c r="G409" t="s">
        <v>5571</v>
      </c>
      <c r="H409">
        <v>56</v>
      </c>
      <c r="I409">
        <v>29</v>
      </c>
      <c r="J409">
        <v>3.66</v>
      </c>
      <c r="K409">
        <v>54.4</v>
      </c>
      <c r="L409">
        <v>53.4</v>
      </c>
      <c r="M409" s="175">
        <v>0.15</v>
      </c>
      <c r="N409" t="s">
        <v>4049</v>
      </c>
    </row>
    <row r="410" spans="1:14">
      <c r="A410">
        <v>1295</v>
      </c>
      <c r="B410" t="s">
        <v>4490</v>
      </c>
      <c r="C410">
        <v>46.3</v>
      </c>
      <c r="D410">
        <v>45.65</v>
      </c>
      <c r="E410" s="178">
        <v>-0.65</v>
      </c>
      <c r="F410" s="176">
        <v>-1.4</v>
      </c>
      <c r="G410" t="s">
        <v>5223</v>
      </c>
      <c r="H410">
        <v>24</v>
      </c>
      <c r="I410">
        <v>55</v>
      </c>
      <c r="J410">
        <v>3.76</v>
      </c>
      <c r="K410">
        <v>46.35</v>
      </c>
      <c r="L410">
        <v>45.6</v>
      </c>
      <c r="M410" s="175">
        <v>0.06</v>
      </c>
      <c r="N410" t="s">
        <v>4491</v>
      </c>
    </row>
    <row r="411" spans="1:14">
      <c r="A411">
        <v>1301</v>
      </c>
      <c r="B411" t="s">
        <v>461</v>
      </c>
      <c r="C411">
        <v>61.9</v>
      </c>
      <c r="D411">
        <v>66.2</v>
      </c>
      <c r="E411" s="178">
        <v>3.5</v>
      </c>
      <c r="F411" s="176">
        <v>5.58</v>
      </c>
      <c r="G411" t="s">
        <v>5982</v>
      </c>
      <c r="H411">
        <v>62850</v>
      </c>
      <c r="I411">
        <v>36113</v>
      </c>
      <c r="J411">
        <v>636.57000000000005</v>
      </c>
      <c r="K411">
        <v>66.2</v>
      </c>
      <c r="L411">
        <v>61.9</v>
      </c>
      <c r="M411" s="175">
        <v>0.99</v>
      </c>
      <c r="N411" t="s">
        <v>3017</v>
      </c>
    </row>
    <row r="412" spans="1:14">
      <c r="A412">
        <v>1303</v>
      </c>
      <c r="B412" t="s">
        <v>462</v>
      </c>
      <c r="C412">
        <v>224</v>
      </c>
      <c r="D412">
        <v>242.5</v>
      </c>
      <c r="E412" s="178">
        <v>22</v>
      </c>
      <c r="F412" s="176">
        <v>9.98</v>
      </c>
      <c r="G412" t="s">
        <v>5983</v>
      </c>
      <c r="H412">
        <v>167434</v>
      </c>
      <c r="I412">
        <v>116299</v>
      </c>
      <c r="J412">
        <v>793.08</v>
      </c>
      <c r="K412">
        <v>242.5</v>
      </c>
      <c r="L412">
        <v>223.5</v>
      </c>
      <c r="M412" s="175">
        <v>2.11</v>
      </c>
      <c r="N412" t="s">
        <v>2125</v>
      </c>
    </row>
    <row r="413" spans="1:14">
      <c r="A413">
        <v>1304</v>
      </c>
      <c r="B413" t="s">
        <v>242</v>
      </c>
      <c r="C413">
        <v>12.05</v>
      </c>
      <c r="D413">
        <v>12.65</v>
      </c>
      <c r="E413" s="178">
        <v>0.6</v>
      </c>
      <c r="F413" s="176">
        <v>4.9800000000000004</v>
      </c>
      <c r="G413" t="s">
        <v>5984</v>
      </c>
      <c r="H413">
        <v>5141</v>
      </c>
      <c r="I413">
        <v>3073</v>
      </c>
      <c r="J413">
        <v>118.88</v>
      </c>
      <c r="K413">
        <v>12.65</v>
      </c>
      <c r="L413">
        <v>12</v>
      </c>
      <c r="M413" s="175">
        <v>0.43</v>
      </c>
      <c r="N413" t="s">
        <v>2176</v>
      </c>
    </row>
    <row r="414" spans="1:14">
      <c r="A414">
        <v>1305</v>
      </c>
      <c r="B414" t="s">
        <v>463</v>
      </c>
      <c r="C414">
        <v>12.1</v>
      </c>
      <c r="D414">
        <v>12.55</v>
      </c>
      <c r="E414" s="178">
        <v>0.45</v>
      </c>
      <c r="F414" s="176">
        <v>3.72</v>
      </c>
      <c r="G414" t="s">
        <v>5985</v>
      </c>
      <c r="H414">
        <v>2577</v>
      </c>
      <c r="I414">
        <v>2141</v>
      </c>
      <c r="J414">
        <v>58.11</v>
      </c>
      <c r="K414">
        <v>12.55</v>
      </c>
      <c r="L414">
        <v>12</v>
      </c>
      <c r="M414" s="175">
        <v>0.44</v>
      </c>
      <c r="N414" t="s">
        <v>2126</v>
      </c>
    </row>
    <row r="415" spans="1:14">
      <c r="A415">
        <v>1307</v>
      </c>
      <c r="B415" t="s">
        <v>464</v>
      </c>
      <c r="C415">
        <v>30.6</v>
      </c>
      <c r="D415">
        <v>30.55</v>
      </c>
      <c r="E415" s="178">
        <v>-0.15</v>
      </c>
      <c r="F415" s="176">
        <v>-0.49</v>
      </c>
      <c r="G415" t="s">
        <v>5716</v>
      </c>
      <c r="H415">
        <v>481</v>
      </c>
      <c r="I415">
        <v>518</v>
      </c>
      <c r="J415">
        <v>39.78</v>
      </c>
      <c r="K415">
        <v>31</v>
      </c>
      <c r="L415">
        <v>30.55</v>
      </c>
      <c r="M415" s="175">
        <v>0.12</v>
      </c>
      <c r="N415" t="s">
        <v>3370</v>
      </c>
    </row>
    <row r="416" spans="1:14">
      <c r="A416">
        <v>1308</v>
      </c>
      <c r="B416" t="s">
        <v>465</v>
      </c>
      <c r="C416">
        <v>14</v>
      </c>
      <c r="D416">
        <v>14.4</v>
      </c>
      <c r="E416" s="178">
        <v>0.55000000000000004</v>
      </c>
      <c r="F416" s="176">
        <v>3.97</v>
      </c>
      <c r="G416" t="s">
        <v>5986</v>
      </c>
      <c r="H416">
        <v>3005</v>
      </c>
      <c r="I416">
        <v>1703</v>
      </c>
      <c r="J416">
        <v>59.37</v>
      </c>
      <c r="K416">
        <v>14.5</v>
      </c>
      <c r="L416">
        <v>13.95</v>
      </c>
      <c r="M416" s="175">
        <v>0.51</v>
      </c>
      <c r="N416" t="s">
        <v>3836</v>
      </c>
    </row>
    <row r="417" spans="1:14">
      <c r="A417">
        <v>1309</v>
      </c>
      <c r="B417" t="s">
        <v>1566</v>
      </c>
      <c r="C417">
        <v>13</v>
      </c>
      <c r="D417">
        <v>13.45</v>
      </c>
      <c r="E417" s="178">
        <v>0.35</v>
      </c>
      <c r="F417" s="176">
        <v>2.67</v>
      </c>
      <c r="G417" t="s">
        <v>5987</v>
      </c>
      <c r="H417">
        <v>3104</v>
      </c>
      <c r="I417">
        <v>2035</v>
      </c>
      <c r="J417">
        <v>39.76</v>
      </c>
      <c r="K417">
        <v>13.65</v>
      </c>
      <c r="L417">
        <v>13</v>
      </c>
      <c r="M417" s="175">
        <v>0.78</v>
      </c>
      <c r="N417" t="s">
        <v>3503</v>
      </c>
    </row>
    <row r="418" spans="1:14">
      <c r="A418">
        <v>1310</v>
      </c>
      <c r="B418" t="s">
        <v>466</v>
      </c>
      <c r="C418">
        <v>8.43</v>
      </c>
      <c r="D418">
        <v>8.75</v>
      </c>
      <c r="E418" s="178">
        <v>0.32</v>
      </c>
      <c r="F418" s="176">
        <v>3.8</v>
      </c>
      <c r="G418" t="s">
        <v>5988</v>
      </c>
      <c r="H418">
        <v>3859</v>
      </c>
      <c r="I418">
        <v>4858</v>
      </c>
      <c r="J418">
        <v>52.79</v>
      </c>
      <c r="K418">
        <v>8.75</v>
      </c>
      <c r="L418">
        <v>8.3699999999999992</v>
      </c>
      <c r="M418" s="175">
        <v>0.73</v>
      </c>
      <c r="N418" t="s">
        <v>2127</v>
      </c>
    </row>
    <row r="419" spans="1:14">
      <c r="A419">
        <v>1312</v>
      </c>
      <c r="B419" t="s">
        <v>467</v>
      </c>
      <c r="C419">
        <v>14.2</v>
      </c>
      <c r="D419">
        <v>15.55</v>
      </c>
      <c r="E419" s="178">
        <v>1.4</v>
      </c>
      <c r="F419" s="176">
        <v>9.89</v>
      </c>
      <c r="G419" t="s">
        <v>5989</v>
      </c>
      <c r="H419">
        <v>108063</v>
      </c>
      <c r="I419">
        <v>46555</v>
      </c>
      <c r="J419">
        <v>150.66</v>
      </c>
      <c r="K419">
        <v>15.55</v>
      </c>
      <c r="L419">
        <v>14.15</v>
      </c>
      <c r="M419" s="175">
        <v>7.17</v>
      </c>
      <c r="N419" t="s">
        <v>2128</v>
      </c>
    </row>
    <row r="420" spans="1:14">
      <c r="A420">
        <v>1313</v>
      </c>
      <c r="B420" t="s">
        <v>468</v>
      </c>
      <c r="C420">
        <v>11.85</v>
      </c>
      <c r="D420">
        <v>12.15</v>
      </c>
      <c r="E420" s="178">
        <v>0.3</v>
      </c>
      <c r="F420" s="176">
        <v>2.5299999999999998</v>
      </c>
      <c r="G420" t="s">
        <v>5990</v>
      </c>
      <c r="H420">
        <v>3710</v>
      </c>
      <c r="I420">
        <v>3400</v>
      </c>
      <c r="J420">
        <v>133.08000000000001</v>
      </c>
      <c r="K420">
        <v>12.25</v>
      </c>
      <c r="L420">
        <v>11.85</v>
      </c>
      <c r="M420" s="175">
        <v>0.28000000000000003</v>
      </c>
      <c r="N420" t="s">
        <v>2177</v>
      </c>
    </row>
    <row r="421" spans="1:14">
      <c r="A421">
        <v>1314</v>
      </c>
      <c r="B421" t="s">
        <v>469</v>
      </c>
      <c r="C421">
        <v>8.02</v>
      </c>
      <c r="D421">
        <v>8.18</v>
      </c>
      <c r="E421" s="178">
        <v>0.13</v>
      </c>
      <c r="F421" s="176">
        <v>1.61</v>
      </c>
      <c r="G421" t="s">
        <v>5991</v>
      </c>
      <c r="H421">
        <v>23191</v>
      </c>
      <c r="I421">
        <v>22613</v>
      </c>
      <c r="J421">
        <v>378.49</v>
      </c>
      <c r="K421">
        <v>8.2899999999999991</v>
      </c>
      <c r="L421">
        <v>8</v>
      </c>
      <c r="M421" s="175">
        <v>0.61</v>
      </c>
      <c r="N421" t="s">
        <v>3603</v>
      </c>
    </row>
    <row r="422" spans="1:14">
      <c r="A422">
        <v>1315</v>
      </c>
      <c r="B422" t="s">
        <v>2051</v>
      </c>
      <c r="C422">
        <v>65.400000000000006</v>
      </c>
      <c r="D422">
        <v>66</v>
      </c>
      <c r="E422" s="178">
        <v>0.5</v>
      </c>
      <c r="F422" s="176">
        <v>0.76</v>
      </c>
      <c r="G422" t="s">
        <v>5690</v>
      </c>
      <c r="H422">
        <v>48</v>
      </c>
      <c r="I422">
        <v>50</v>
      </c>
      <c r="J422">
        <v>9.91</v>
      </c>
      <c r="K422">
        <v>66.5</v>
      </c>
      <c r="L422">
        <v>65.2</v>
      </c>
      <c r="M422" s="175">
        <v>0.05</v>
      </c>
      <c r="N422" t="s">
        <v>3392</v>
      </c>
    </row>
    <row r="423" spans="1:14">
      <c r="A423">
        <v>1316</v>
      </c>
      <c r="B423" t="s">
        <v>470</v>
      </c>
      <c r="C423">
        <v>10.95</v>
      </c>
      <c r="D423">
        <v>10.95</v>
      </c>
      <c r="E423" s="178">
        <v>-0.2</v>
      </c>
      <c r="F423" s="176">
        <v>-1.79</v>
      </c>
      <c r="G423" t="s">
        <v>5985</v>
      </c>
      <c r="H423">
        <v>2937</v>
      </c>
      <c r="I423">
        <v>9360</v>
      </c>
      <c r="J423">
        <v>40.159999999999997</v>
      </c>
      <c r="K423">
        <v>11.05</v>
      </c>
      <c r="L423">
        <v>10.75</v>
      </c>
      <c r="M423" s="175">
        <v>0.78</v>
      </c>
      <c r="N423" t="s">
        <v>4120</v>
      </c>
    </row>
    <row r="424" spans="1:14">
      <c r="A424">
        <v>1319</v>
      </c>
      <c r="B424" t="s">
        <v>113</v>
      </c>
      <c r="C424">
        <v>82</v>
      </c>
      <c r="D424">
        <v>82.6</v>
      </c>
      <c r="E424" s="178">
        <v>0.5</v>
      </c>
      <c r="F424" s="176">
        <v>0.61</v>
      </c>
      <c r="G424" t="s">
        <v>5136</v>
      </c>
      <c r="H424">
        <v>1258</v>
      </c>
      <c r="I424">
        <v>1727</v>
      </c>
      <c r="J424">
        <v>59.15</v>
      </c>
      <c r="K424">
        <v>82.9</v>
      </c>
      <c r="L424">
        <v>81.7</v>
      </c>
      <c r="M424" s="175">
        <v>0.21</v>
      </c>
      <c r="N424" t="s">
        <v>3018</v>
      </c>
    </row>
    <row r="425" spans="1:14">
      <c r="A425">
        <v>1321</v>
      </c>
      <c r="B425" t="s">
        <v>471</v>
      </c>
      <c r="C425">
        <v>33.049999999999997</v>
      </c>
      <c r="D425">
        <v>32.25</v>
      </c>
      <c r="E425" s="178">
        <v>-0.9</v>
      </c>
      <c r="F425" s="176">
        <v>-2.71</v>
      </c>
      <c r="G425" t="s">
        <v>5509</v>
      </c>
      <c r="H425">
        <v>224</v>
      </c>
      <c r="I425">
        <v>232</v>
      </c>
      <c r="J425">
        <v>22.72</v>
      </c>
      <c r="K425">
        <v>33.200000000000003</v>
      </c>
      <c r="L425">
        <v>32.1</v>
      </c>
      <c r="M425" s="175">
        <v>0.1</v>
      </c>
      <c r="N425" t="s">
        <v>2129</v>
      </c>
    </row>
    <row r="426" spans="1:14">
      <c r="A426">
        <v>1323</v>
      </c>
      <c r="B426" t="s">
        <v>472</v>
      </c>
      <c r="C426">
        <v>21.5</v>
      </c>
      <c r="D426">
        <v>21.35</v>
      </c>
      <c r="E426" s="178">
        <v>-0.15</v>
      </c>
      <c r="F426" s="176">
        <v>-0.7</v>
      </c>
      <c r="G426" t="s">
        <v>5992</v>
      </c>
      <c r="H426">
        <v>23</v>
      </c>
      <c r="I426">
        <v>23</v>
      </c>
      <c r="J426">
        <v>9.1300000000000008</v>
      </c>
      <c r="K426">
        <v>21.5</v>
      </c>
      <c r="L426">
        <v>21.2</v>
      </c>
      <c r="M426" s="175">
        <v>0.03</v>
      </c>
      <c r="N426" t="s">
        <v>3393</v>
      </c>
    </row>
    <row r="427" spans="1:14">
      <c r="A427">
        <v>1324</v>
      </c>
      <c r="B427" t="s">
        <v>473</v>
      </c>
      <c r="C427">
        <v>10.25</v>
      </c>
      <c r="D427">
        <v>10.1</v>
      </c>
      <c r="E427" s="178">
        <v>-0.15</v>
      </c>
      <c r="F427" s="176">
        <v>-1.46</v>
      </c>
      <c r="G427" t="s">
        <v>5993</v>
      </c>
      <c r="H427">
        <v>13</v>
      </c>
      <c r="I427">
        <v>20</v>
      </c>
      <c r="J427">
        <v>7.51</v>
      </c>
      <c r="K427">
        <v>10.25</v>
      </c>
      <c r="L427">
        <v>10.1</v>
      </c>
      <c r="M427" s="175">
        <v>0.02</v>
      </c>
      <c r="N427" t="s">
        <v>2130</v>
      </c>
    </row>
    <row r="428" spans="1:14">
      <c r="A428">
        <v>1325</v>
      </c>
      <c r="B428" t="s">
        <v>474</v>
      </c>
      <c r="C428">
        <v>26.05</v>
      </c>
      <c r="D428">
        <v>26.05</v>
      </c>
      <c r="E428" s="178">
        <v>-0.25</v>
      </c>
      <c r="F428" s="176">
        <v>-0.95</v>
      </c>
      <c r="G428" t="s">
        <v>5994</v>
      </c>
      <c r="H428">
        <v>101</v>
      </c>
      <c r="I428">
        <v>132</v>
      </c>
      <c r="J428">
        <v>8.5299999999999994</v>
      </c>
      <c r="K428">
        <v>26.25</v>
      </c>
      <c r="L428">
        <v>25.95</v>
      </c>
      <c r="M428" s="175">
        <v>0.12</v>
      </c>
      <c r="N428" t="s">
        <v>3837</v>
      </c>
    </row>
    <row r="429" spans="1:14">
      <c r="A429">
        <v>1326</v>
      </c>
      <c r="B429" t="s">
        <v>475</v>
      </c>
      <c r="C429">
        <v>62</v>
      </c>
      <c r="D429">
        <v>68.3</v>
      </c>
      <c r="E429" s="178">
        <v>6.2</v>
      </c>
      <c r="F429" s="176">
        <v>9.98</v>
      </c>
      <c r="G429" t="s">
        <v>5995</v>
      </c>
      <c r="H429">
        <v>70574</v>
      </c>
      <c r="I429">
        <v>26815</v>
      </c>
      <c r="J429">
        <v>586.12</v>
      </c>
      <c r="K429">
        <v>68.3</v>
      </c>
      <c r="L429">
        <v>61.9</v>
      </c>
      <c r="M429" s="175">
        <v>1.2</v>
      </c>
      <c r="N429" t="s">
        <v>3838</v>
      </c>
    </row>
    <row r="430" spans="1:14">
      <c r="A430">
        <v>1336</v>
      </c>
      <c r="B430" t="s">
        <v>476</v>
      </c>
      <c r="C430">
        <v>16.600000000000001</v>
      </c>
      <c r="D430">
        <v>16.8</v>
      </c>
      <c r="E430" s="178">
        <v>0.1</v>
      </c>
      <c r="F430" s="176">
        <v>0.6</v>
      </c>
      <c r="G430" t="s">
        <v>5996</v>
      </c>
      <c r="H430">
        <v>379</v>
      </c>
      <c r="I430">
        <v>344</v>
      </c>
      <c r="J430">
        <v>7.76</v>
      </c>
      <c r="K430">
        <v>17</v>
      </c>
      <c r="L430">
        <v>16.399999999999999</v>
      </c>
      <c r="M430" s="175">
        <v>0.49</v>
      </c>
      <c r="N430" t="s">
        <v>2178</v>
      </c>
    </row>
    <row r="431" spans="1:14">
      <c r="A431">
        <v>1337</v>
      </c>
      <c r="B431" t="s">
        <v>477</v>
      </c>
      <c r="C431">
        <v>4.67</v>
      </c>
      <c r="D431">
        <v>4.63</v>
      </c>
      <c r="E431" s="178">
        <v>-0.04</v>
      </c>
      <c r="F431" s="176">
        <v>-0.86</v>
      </c>
      <c r="G431" t="s">
        <v>5216</v>
      </c>
      <c r="H431">
        <v>305</v>
      </c>
      <c r="I431">
        <v>337</v>
      </c>
      <c r="J431">
        <v>26.9</v>
      </c>
      <c r="K431">
        <v>4.68</v>
      </c>
      <c r="L431">
        <v>4.59</v>
      </c>
      <c r="M431" s="175">
        <v>0.11</v>
      </c>
      <c r="N431" t="s">
        <v>3159</v>
      </c>
    </row>
    <row r="432" spans="1:14">
      <c r="A432">
        <v>1338</v>
      </c>
      <c r="B432" t="s">
        <v>478</v>
      </c>
      <c r="C432">
        <v>14.1</v>
      </c>
      <c r="D432">
        <v>14.5</v>
      </c>
      <c r="E432" s="178">
        <v>0.3</v>
      </c>
      <c r="F432" s="176">
        <v>2.11</v>
      </c>
      <c r="G432" t="s">
        <v>5206</v>
      </c>
      <c r="H432">
        <v>80</v>
      </c>
      <c r="I432">
        <v>63</v>
      </c>
      <c r="J432">
        <v>8.3800000000000008</v>
      </c>
      <c r="K432">
        <v>14.5</v>
      </c>
      <c r="L432">
        <v>14.1</v>
      </c>
      <c r="M432" s="175">
        <v>0.1</v>
      </c>
      <c r="N432" t="s">
        <v>1567</v>
      </c>
    </row>
    <row r="433" spans="1:14">
      <c r="A433">
        <v>1339</v>
      </c>
      <c r="B433" t="s">
        <v>479</v>
      </c>
      <c r="C433">
        <v>43.5</v>
      </c>
      <c r="D433">
        <v>42.8</v>
      </c>
      <c r="E433" s="178">
        <v>-0.5</v>
      </c>
      <c r="F433" s="176">
        <v>-1.1499999999999999</v>
      </c>
      <c r="G433" t="s">
        <v>5317</v>
      </c>
      <c r="H433">
        <v>60</v>
      </c>
      <c r="I433">
        <v>201</v>
      </c>
      <c r="J433">
        <v>7.41</v>
      </c>
      <c r="K433">
        <v>43.5</v>
      </c>
      <c r="L433">
        <v>42.8</v>
      </c>
      <c r="M433" s="175">
        <v>0.08</v>
      </c>
      <c r="N433" t="s">
        <v>3192</v>
      </c>
    </row>
    <row r="434" spans="1:14">
      <c r="A434">
        <v>1340</v>
      </c>
      <c r="B434" t="s">
        <v>480</v>
      </c>
      <c r="C434">
        <v>5.21</v>
      </c>
      <c r="D434">
        <v>5.25</v>
      </c>
      <c r="E434" s="178">
        <v>0.02</v>
      </c>
      <c r="F434" s="176">
        <v>0.38</v>
      </c>
      <c r="G434" t="s">
        <v>5604</v>
      </c>
      <c r="H434">
        <v>69</v>
      </c>
      <c r="I434">
        <v>166</v>
      </c>
      <c r="J434">
        <v>15.29</v>
      </c>
      <c r="K434">
        <v>5.26</v>
      </c>
      <c r="L434">
        <v>5.18</v>
      </c>
      <c r="M434" s="175">
        <v>0.05</v>
      </c>
      <c r="N434" t="s">
        <v>5104</v>
      </c>
    </row>
    <row r="435" spans="1:14">
      <c r="A435">
        <v>1341</v>
      </c>
      <c r="B435" t="s">
        <v>353</v>
      </c>
      <c r="C435">
        <v>58.9</v>
      </c>
      <c r="D435">
        <v>59.8</v>
      </c>
      <c r="E435" s="178">
        <v>-0.3</v>
      </c>
      <c r="F435" s="176">
        <v>-0.5</v>
      </c>
      <c r="G435" t="s">
        <v>5997</v>
      </c>
      <c r="H435">
        <v>9</v>
      </c>
      <c r="I435">
        <v>5</v>
      </c>
      <c r="J435">
        <v>5.29</v>
      </c>
      <c r="K435">
        <v>59.8</v>
      </c>
      <c r="L435">
        <v>58.2</v>
      </c>
      <c r="M435" s="175">
        <v>0.02</v>
      </c>
      <c r="N435" t="s">
        <v>3604</v>
      </c>
    </row>
    <row r="436" spans="1:14">
      <c r="A436">
        <v>1342</v>
      </c>
      <c r="B436" t="s">
        <v>481</v>
      </c>
      <c r="C436">
        <v>103</v>
      </c>
      <c r="D436">
        <v>103.5</v>
      </c>
      <c r="E436" s="178">
        <v>-0.5</v>
      </c>
      <c r="F436" s="176">
        <v>-0.48</v>
      </c>
      <c r="G436" t="s">
        <v>5998</v>
      </c>
      <c r="H436">
        <v>97</v>
      </c>
      <c r="I436">
        <v>134</v>
      </c>
      <c r="J436">
        <v>7.85</v>
      </c>
      <c r="K436">
        <v>104</v>
      </c>
      <c r="L436">
        <v>103</v>
      </c>
      <c r="M436" s="175">
        <v>0.12</v>
      </c>
      <c r="N436" t="s">
        <v>3394</v>
      </c>
    </row>
    <row r="437" spans="1:14">
      <c r="A437">
        <v>1402</v>
      </c>
      <c r="B437" t="s">
        <v>482</v>
      </c>
      <c r="C437">
        <v>28.1</v>
      </c>
      <c r="D437">
        <v>28.35</v>
      </c>
      <c r="E437" s="178">
        <v>0.25</v>
      </c>
      <c r="F437" s="176">
        <v>0.89</v>
      </c>
      <c r="G437" t="s">
        <v>5999</v>
      </c>
      <c r="H437">
        <v>14778</v>
      </c>
      <c r="I437">
        <v>15157</v>
      </c>
      <c r="J437">
        <v>535.29</v>
      </c>
      <c r="K437">
        <v>28.6</v>
      </c>
      <c r="L437">
        <v>27.9</v>
      </c>
      <c r="M437" s="175">
        <v>0.28000000000000003</v>
      </c>
      <c r="N437" t="s">
        <v>3019</v>
      </c>
    </row>
    <row r="438" spans="1:14">
      <c r="A438">
        <v>1409</v>
      </c>
      <c r="B438" t="s">
        <v>483</v>
      </c>
      <c r="C438">
        <v>24.05</v>
      </c>
      <c r="D438">
        <v>24.6</v>
      </c>
      <c r="E438" s="178">
        <v>0.3</v>
      </c>
      <c r="F438" s="176">
        <v>1.23</v>
      </c>
      <c r="G438" t="s">
        <v>6000</v>
      </c>
      <c r="H438">
        <v>11560</v>
      </c>
      <c r="I438">
        <v>12382</v>
      </c>
      <c r="J438">
        <v>161.84</v>
      </c>
      <c r="K438">
        <v>24.65</v>
      </c>
      <c r="L438">
        <v>23.7</v>
      </c>
      <c r="M438" s="175">
        <v>0.71</v>
      </c>
      <c r="N438" t="s">
        <v>4168</v>
      </c>
    </row>
    <row r="439" spans="1:14">
      <c r="A439">
        <v>1410</v>
      </c>
      <c r="B439" t="s">
        <v>484</v>
      </c>
      <c r="C439">
        <v>24.5</v>
      </c>
      <c r="D439">
        <v>24.3</v>
      </c>
      <c r="E439" s="178">
        <v>-0.1</v>
      </c>
      <c r="F439" s="176">
        <v>-0.41</v>
      </c>
      <c r="G439" t="s">
        <v>6001</v>
      </c>
      <c r="H439">
        <v>140</v>
      </c>
      <c r="I439">
        <v>85</v>
      </c>
      <c r="J439">
        <v>6.2</v>
      </c>
      <c r="K439">
        <v>24.55</v>
      </c>
      <c r="L439">
        <v>24.15</v>
      </c>
      <c r="M439" s="175">
        <v>0.23</v>
      </c>
      <c r="N439" t="s">
        <v>3418</v>
      </c>
    </row>
    <row r="440" spans="1:14">
      <c r="A440">
        <v>1413</v>
      </c>
      <c r="B440" t="s">
        <v>485</v>
      </c>
      <c r="C440">
        <v>9.1</v>
      </c>
      <c r="D440">
        <v>9.3000000000000007</v>
      </c>
      <c r="E440" s="178">
        <v>-0.01</v>
      </c>
      <c r="F440" s="176">
        <v>-0.11</v>
      </c>
      <c r="G440" t="s">
        <v>6002</v>
      </c>
      <c r="H440">
        <v>13</v>
      </c>
      <c r="I440">
        <v>15</v>
      </c>
      <c r="J440">
        <v>13.21</v>
      </c>
      <c r="K440">
        <v>9.3000000000000007</v>
      </c>
      <c r="L440">
        <v>9.1</v>
      </c>
      <c r="M440" s="175">
        <v>0.01</v>
      </c>
      <c r="N440" t="s">
        <v>3980</v>
      </c>
    </row>
    <row r="441" spans="1:14">
      <c r="A441">
        <v>1414</v>
      </c>
      <c r="B441" t="s">
        <v>4797</v>
      </c>
      <c r="C441">
        <v>19.399999999999999</v>
      </c>
      <c r="D441">
        <v>19.399999999999999</v>
      </c>
      <c r="E441" s="178">
        <v>0.1</v>
      </c>
      <c r="F441" s="176">
        <v>0.52</v>
      </c>
      <c r="G441" t="s">
        <v>5408</v>
      </c>
      <c r="H441">
        <v>233</v>
      </c>
      <c r="I441">
        <v>474</v>
      </c>
      <c r="J441">
        <v>19.8</v>
      </c>
      <c r="K441">
        <v>19.399999999999999</v>
      </c>
      <c r="L441">
        <v>19.05</v>
      </c>
      <c r="M441" s="175">
        <v>0.12</v>
      </c>
      <c r="N441" t="s">
        <v>4798</v>
      </c>
    </row>
    <row r="442" spans="1:14">
      <c r="A442">
        <v>1416</v>
      </c>
      <c r="B442" t="s">
        <v>486</v>
      </c>
      <c r="C442">
        <v>11.75</v>
      </c>
      <c r="D442">
        <v>11.8</v>
      </c>
      <c r="E442" s="178">
        <v>0</v>
      </c>
      <c r="F442" s="176">
        <v>0</v>
      </c>
      <c r="G442" t="s">
        <v>5187</v>
      </c>
      <c r="H442">
        <v>87</v>
      </c>
      <c r="I442">
        <v>420</v>
      </c>
      <c r="J442">
        <v>18.53</v>
      </c>
      <c r="K442">
        <v>11.9</v>
      </c>
      <c r="L442">
        <v>11.7</v>
      </c>
      <c r="M442" s="175">
        <v>0.05</v>
      </c>
      <c r="N442" t="s">
        <v>4011</v>
      </c>
    </row>
    <row r="443" spans="1:14">
      <c r="A443">
        <v>1417</v>
      </c>
      <c r="B443" t="s">
        <v>487</v>
      </c>
      <c r="C443">
        <v>8.31</v>
      </c>
      <c r="D443">
        <v>8.32</v>
      </c>
      <c r="E443" s="178">
        <v>0.03</v>
      </c>
      <c r="F443" s="176">
        <v>0.36</v>
      </c>
      <c r="G443" t="s">
        <v>6003</v>
      </c>
      <c r="H443">
        <v>179</v>
      </c>
      <c r="I443">
        <v>98</v>
      </c>
      <c r="J443">
        <v>18.989999999999998</v>
      </c>
      <c r="K443">
        <v>8.35</v>
      </c>
      <c r="L443">
        <v>8.23</v>
      </c>
      <c r="M443" s="175">
        <v>0.09</v>
      </c>
      <c r="N443" t="s">
        <v>4169</v>
      </c>
    </row>
    <row r="444" spans="1:14">
      <c r="A444">
        <v>1418</v>
      </c>
      <c r="B444" t="s">
        <v>488</v>
      </c>
      <c r="C444">
        <v>17.600000000000001</v>
      </c>
      <c r="D444">
        <v>17.75</v>
      </c>
      <c r="E444" s="178">
        <v>0</v>
      </c>
      <c r="F444" s="176">
        <v>0</v>
      </c>
      <c r="G444" t="s">
        <v>5359</v>
      </c>
      <c r="H444">
        <v>14</v>
      </c>
      <c r="I444">
        <v>10</v>
      </c>
      <c r="J444">
        <v>5.68</v>
      </c>
      <c r="K444">
        <v>17.8</v>
      </c>
      <c r="L444">
        <v>17.600000000000001</v>
      </c>
      <c r="M444" s="175">
        <v>0.03</v>
      </c>
      <c r="N444" t="s">
        <v>3605</v>
      </c>
    </row>
    <row r="445" spans="1:14">
      <c r="A445">
        <v>1419</v>
      </c>
      <c r="B445" t="s">
        <v>489</v>
      </c>
      <c r="C445">
        <v>66.400000000000006</v>
      </c>
      <c r="D445">
        <v>65.7</v>
      </c>
      <c r="E445" s="178">
        <v>-1.2</v>
      </c>
      <c r="F445" s="176">
        <v>-1.79</v>
      </c>
      <c r="G445" t="s">
        <v>6004</v>
      </c>
      <c r="H445">
        <v>54</v>
      </c>
      <c r="I445">
        <v>73</v>
      </c>
      <c r="J445">
        <v>30</v>
      </c>
      <c r="K445">
        <v>66.400000000000006</v>
      </c>
      <c r="L445">
        <v>65.7</v>
      </c>
      <c r="M445" s="175">
        <v>0.02</v>
      </c>
      <c r="N445" t="s">
        <v>4170</v>
      </c>
    </row>
    <row r="446" spans="1:14">
      <c r="A446">
        <v>1423</v>
      </c>
      <c r="B446" t="s">
        <v>490</v>
      </c>
      <c r="C446">
        <v>34.1</v>
      </c>
      <c r="D446">
        <v>35.4</v>
      </c>
      <c r="E446" s="178">
        <v>0.45</v>
      </c>
      <c r="F446" s="176">
        <v>1.29</v>
      </c>
      <c r="G446" t="s">
        <v>5422</v>
      </c>
      <c r="H446">
        <v>7</v>
      </c>
      <c r="I446">
        <v>13</v>
      </c>
      <c r="J446">
        <v>9.9600000000000009</v>
      </c>
      <c r="K446">
        <v>35.4</v>
      </c>
      <c r="L446">
        <v>34.1</v>
      </c>
      <c r="M446" s="175">
        <v>0.01</v>
      </c>
      <c r="N446" t="s">
        <v>3193</v>
      </c>
    </row>
    <row r="447" spans="1:14">
      <c r="A447">
        <v>1432</v>
      </c>
      <c r="B447" t="s">
        <v>491</v>
      </c>
      <c r="C447">
        <v>15.05</v>
      </c>
      <c r="D447">
        <v>15</v>
      </c>
      <c r="E447" s="178">
        <v>-0.05</v>
      </c>
      <c r="F447" s="176">
        <v>-0.33</v>
      </c>
      <c r="G447" t="s">
        <v>6005</v>
      </c>
      <c r="H447">
        <v>67</v>
      </c>
      <c r="I447">
        <v>62</v>
      </c>
      <c r="J447">
        <v>10.8</v>
      </c>
      <c r="K447">
        <v>15.15</v>
      </c>
      <c r="L447">
        <v>15</v>
      </c>
      <c r="M447" s="175">
        <v>7.0000000000000007E-2</v>
      </c>
      <c r="N447" t="s">
        <v>3839</v>
      </c>
    </row>
    <row r="448" spans="1:14">
      <c r="A448">
        <v>1434</v>
      </c>
      <c r="B448" t="s">
        <v>492</v>
      </c>
      <c r="C448">
        <v>17.8</v>
      </c>
      <c r="D448">
        <v>18.149999999999999</v>
      </c>
      <c r="E448" s="178">
        <v>0.3</v>
      </c>
      <c r="F448" s="176">
        <v>1.68</v>
      </c>
      <c r="G448" t="s">
        <v>6006</v>
      </c>
      <c r="H448">
        <v>1810</v>
      </c>
      <c r="I448">
        <v>2942</v>
      </c>
      <c r="J448">
        <v>168.47</v>
      </c>
      <c r="K448">
        <v>18.149999999999999</v>
      </c>
      <c r="L448">
        <v>17.7</v>
      </c>
      <c r="M448" s="175">
        <v>0.11</v>
      </c>
      <c r="N448" t="s">
        <v>4171</v>
      </c>
    </row>
    <row r="449" spans="1:14">
      <c r="A449">
        <v>1435</v>
      </c>
      <c r="B449" t="s">
        <v>5130</v>
      </c>
      <c r="C449">
        <v>21.3</v>
      </c>
      <c r="D449">
        <v>21.6</v>
      </c>
      <c r="E449" s="178">
        <v>-0.4</v>
      </c>
      <c r="F449" s="176">
        <v>-1.82</v>
      </c>
      <c r="G449" t="s">
        <v>5548</v>
      </c>
      <c r="H449">
        <v>13</v>
      </c>
      <c r="I449">
        <v>14</v>
      </c>
      <c r="J449">
        <v>13.98</v>
      </c>
      <c r="K449">
        <v>21.9</v>
      </c>
      <c r="L449">
        <v>21.15</v>
      </c>
      <c r="M449" s="175">
        <v>0.01</v>
      </c>
      <c r="N449" t="s">
        <v>5131</v>
      </c>
    </row>
    <row r="450" spans="1:14">
      <c r="A450">
        <v>1436</v>
      </c>
      <c r="B450" t="s">
        <v>493</v>
      </c>
      <c r="C450">
        <v>38.549999999999997</v>
      </c>
      <c r="D450">
        <v>38.450000000000003</v>
      </c>
      <c r="E450" s="178">
        <v>-0.1</v>
      </c>
      <c r="F450" s="176">
        <v>-0.26</v>
      </c>
      <c r="G450" t="s">
        <v>5385</v>
      </c>
      <c r="H450">
        <v>82</v>
      </c>
      <c r="I450">
        <v>113</v>
      </c>
      <c r="J450">
        <v>19.420000000000002</v>
      </c>
      <c r="K450">
        <v>38.6</v>
      </c>
      <c r="L450">
        <v>38</v>
      </c>
      <c r="M450" s="175">
        <v>0.04</v>
      </c>
      <c r="N450" t="s">
        <v>4982</v>
      </c>
    </row>
    <row r="451" spans="1:14">
      <c r="A451">
        <v>1437</v>
      </c>
      <c r="B451" t="s">
        <v>494</v>
      </c>
      <c r="C451">
        <v>31.65</v>
      </c>
      <c r="D451">
        <v>32</v>
      </c>
      <c r="E451" s="178">
        <v>0.05</v>
      </c>
      <c r="F451" s="176">
        <v>0.16</v>
      </c>
      <c r="G451" t="s">
        <v>6007</v>
      </c>
      <c r="H451">
        <v>180</v>
      </c>
      <c r="I451">
        <v>59</v>
      </c>
      <c r="J451">
        <v>20.190000000000001</v>
      </c>
      <c r="K451">
        <v>32.15</v>
      </c>
      <c r="L451">
        <v>31.4</v>
      </c>
      <c r="M451" s="175">
        <v>0.09</v>
      </c>
      <c r="N451" t="s">
        <v>3840</v>
      </c>
    </row>
    <row r="452" spans="1:14">
      <c r="A452">
        <v>1438</v>
      </c>
      <c r="B452" t="s">
        <v>495</v>
      </c>
      <c r="C452">
        <v>22.15</v>
      </c>
      <c r="D452">
        <v>22.4</v>
      </c>
      <c r="E452" s="178">
        <v>0.05</v>
      </c>
      <c r="F452" s="176">
        <v>0.22</v>
      </c>
      <c r="G452" t="s">
        <v>6008</v>
      </c>
      <c r="H452">
        <v>29</v>
      </c>
      <c r="I452">
        <v>40</v>
      </c>
      <c r="J452">
        <v>11.12</v>
      </c>
      <c r="K452">
        <v>22.4</v>
      </c>
      <c r="L452">
        <v>22.1</v>
      </c>
      <c r="M452" s="175">
        <v>0.03</v>
      </c>
      <c r="N452" t="s">
        <v>3504</v>
      </c>
    </row>
    <row r="453" spans="1:14">
      <c r="A453">
        <v>1439</v>
      </c>
      <c r="B453" t="s">
        <v>2168</v>
      </c>
      <c r="C453">
        <v>28.55</v>
      </c>
      <c r="D453">
        <v>29.2</v>
      </c>
      <c r="E453" s="178">
        <v>-0.2</v>
      </c>
      <c r="F453" s="176">
        <v>-0.68</v>
      </c>
      <c r="G453" t="s">
        <v>6009</v>
      </c>
      <c r="H453">
        <v>17</v>
      </c>
      <c r="I453">
        <v>48</v>
      </c>
      <c r="J453">
        <v>9.1999999999999993</v>
      </c>
      <c r="K453">
        <v>29.4</v>
      </c>
      <c r="L453">
        <v>28.55</v>
      </c>
      <c r="M453" s="175">
        <v>0.02</v>
      </c>
      <c r="N453" t="s">
        <v>4538</v>
      </c>
    </row>
    <row r="454" spans="1:14">
      <c r="A454">
        <v>1440</v>
      </c>
      <c r="B454" t="s">
        <v>1568</v>
      </c>
      <c r="C454">
        <v>13.8</v>
      </c>
      <c r="D454">
        <v>13.9</v>
      </c>
      <c r="E454" s="178">
        <v>0.2</v>
      </c>
      <c r="F454" s="176">
        <v>1.46</v>
      </c>
      <c r="G454" t="s">
        <v>6010</v>
      </c>
      <c r="H454">
        <v>3042</v>
      </c>
      <c r="I454">
        <v>1292</v>
      </c>
      <c r="J454">
        <v>165.68</v>
      </c>
      <c r="K454">
        <v>14</v>
      </c>
      <c r="L454">
        <v>13.55</v>
      </c>
      <c r="M454" s="175">
        <v>0.18</v>
      </c>
      <c r="N454" t="s">
        <v>3505</v>
      </c>
    </row>
    <row r="455" spans="1:14">
      <c r="A455">
        <v>1441</v>
      </c>
      <c r="B455" t="s">
        <v>3058</v>
      </c>
      <c r="C455">
        <v>8.9600000000000009</v>
      </c>
      <c r="D455">
        <v>8.82</v>
      </c>
      <c r="E455" s="178">
        <v>-0.27</v>
      </c>
      <c r="F455" s="176">
        <v>-2.97</v>
      </c>
      <c r="G455" t="s">
        <v>6011</v>
      </c>
      <c r="H455">
        <v>8</v>
      </c>
      <c r="I455">
        <v>11</v>
      </c>
      <c r="J455">
        <v>7.17</v>
      </c>
      <c r="K455">
        <v>9.02</v>
      </c>
      <c r="L455">
        <v>8.82</v>
      </c>
      <c r="M455" s="175">
        <v>0.01</v>
      </c>
      <c r="N455" t="s">
        <v>3059</v>
      </c>
    </row>
    <row r="456" spans="1:14">
      <c r="A456">
        <v>1442</v>
      </c>
      <c r="B456" t="s">
        <v>496</v>
      </c>
      <c r="C456">
        <v>29.8</v>
      </c>
      <c r="D456">
        <v>29.3</v>
      </c>
      <c r="E456" s="178">
        <v>-0.55000000000000004</v>
      </c>
      <c r="F456" s="176">
        <v>-1.84</v>
      </c>
      <c r="G456" t="s">
        <v>5419</v>
      </c>
      <c r="H456">
        <v>216</v>
      </c>
      <c r="I456">
        <v>100</v>
      </c>
      <c r="J456">
        <v>36.619999999999997</v>
      </c>
      <c r="K456">
        <v>29.8</v>
      </c>
      <c r="L456">
        <v>29.25</v>
      </c>
      <c r="M456" s="175">
        <v>0.06</v>
      </c>
      <c r="N456" t="s">
        <v>4172</v>
      </c>
    </row>
    <row r="457" spans="1:14">
      <c r="A457">
        <v>1443</v>
      </c>
      <c r="B457" t="s">
        <v>2153</v>
      </c>
      <c r="C457">
        <v>24.5</v>
      </c>
      <c r="D457">
        <v>24.35</v>
      </c>
      <c r="E457" s="178">
        <v>-0.55000000000000004</v>
      </c>
      <c r="F457" s="176">
        <v>-2.21</v>
      </c>
      <c r="G457" t="s">
        <v>5332</v>
      </c>
      <c r="H457">
        <v>11</v>
      </c>
      <c r="I457">
        <v>8</v>
      </c>
      <c r="J457">
        <v>13.53</v>
      </c>
      <c r="K457">
        <v>24.5</v>
      </c>
      <c r="L457">
        <v>24.3</v>
      </c>
      <c r="M457" s="175">
        <v>0.01</v>
      </c>
      <c r="N457" t="s">
        <v>3129</v>
      </c>
    </row>
    <row r="458" spans="1:14">
      <c r="A458">
        <v>1444</v>
      </c>
      <c r="B458" t="s">
        <v>497</v>
      </c>
      <c r="C458">
        <v>7.17</v>
      </c>
      <c r="D458">
        <v>7.09</v>
      </c>
      <c r="E458" s="178">
        <v>-0.08</v>
      </c>
      <c r="F458" s="176">
        <v>-1.1200000000000001</v>
      </c>
      <c r="G458" t="s">
        <v>5786</v>
      </c>
      <c r="H458">
        <v>1115</v>
      </c>
      <c r="I458">
        <v>1405</v>
      </c>
      <c r="J458">
        <v>99.56</v>
      </c>
      <c r="K458">
        <v>7.17</v>
      </c>
      <c r="L458">
        <v>7.08</v>
      </c>
      <c r="M458" s="175">
        <v>0.11</v>
      </c>
      <c r="N458" t="s">
        <v>3546</v>
      </c>
    </row>
    <row r="459" spans="1:14">
      <c r="A459">
        <v>1445</v>
      </c>
      <c r="B459" t="s">
        <v>498</v>
      </c>
      <c r="C459">
        <v>10.35</v>
      </c>
      <c r="D459">
        <v>10.15</v>
      </c>
      <c r="E459" s="178">
        <v>-0.35</v>
      </c>
      <c r="F459" s="176">
        <v>-3.33</v>
      </c>
      <c r="G459" t="s">
        <v>6012</v>
      </c>
      <c r="H459">
        <v>32</v>
      </c>
      <c r="I459">
        <v>60</v>
      </c>
      <c r="J459">
        <v>13.07</v>
      </c>
      <c r="K459">
        <v>10.45</v>
      </c>
      <c r="L459">
        <v>10.15</v>
      </c>
      <c r="M459" s="175">
        <v>0.02</v>
      </c>
      <c r="N459" t="s">
        <v>3547</v>
      </c>
    </row>
    <row r="460" spans="1:14">
      <c r="A460">
        <v>1446</v>
      </c>
      <c r="B460" t="s">
        <v>499</v>
      </c>
      <c r="C460">
        <v>13.65</v>
      </c>
      <c r="D460">
        <v>13.6</v>
      </c>
      <c r="E460" s="178">
        <v>-0.05</v>
      </c>
      <c r="F460" s="176">
        <v>-0.37</v>
      </c>
      <c r="G460" t="s">
        <v>6013</v>
      </c>
      <c r="H460">
        <v>94</v>
      </c>
      <c r="I460">
        <v>105</v>
      </c>
      <c r="J460">
        <v>13.77</v>
      </c>
      <c r="K460">
        <v>13.7</v>
      </c>
      <c r="L460">
        <v>13.55</v>
      </c>
      <c r="M460" s="175">
        <v>7.0000000000000007E-2</v>
      </c>
      <c r="N460" t="s">
        <v>3908</v>
      </c>
    </row>
    <row r="461" spans="1:14">
      <c r="A461">
        <v>1447</v>
      </c>
      <c r="B461" t="s">
        <v>500</v>
      </c>
      <c r="C461">
        <v>6.88</v>
      </c>
      <c r="D461">
        <v>6.84</v>
      </c>
      <c r="E461" s="178">
        <v>-0.04</v>
      </c>
      <c r="F461" s="176">
        <v>-0.57999999999999996</v>
      </c>
      <c r="G461" t="s">
        <v>5346</v>
      </c>
      <c r="H461">
        <v>779</v>
      </c>
      <c r="I461">
        <v>1137</v>
      </c>
      <c r="J461">
        <v>91.01</v>
      </c>
      <c r="K461">
        <v>6.88</v>
      </c>
      <c r="L461">
        <v>6.77</v>
      </c>
      <c r="M461" s="175">
        <v>0.09</v>
      </c>
      <c r="N461" t="s">
        <v>4173</v>
      </c>
    </row>
    <row r="462" spans="1:14">
      <c r="A462">
        <v>1449</v>
      </c>
      <c r="B462" t="s">
        <v>2228</v>
      </c>
      <c r="C462">
        <v>12.35</v>
      </c>
      <c r="D462">
        <v>12.45</v>
      </c>
      <c r="E462" s="178">
        <v>0</v>
      </c>
      <c r="F462" s="176">
        <v>0</v>
      </c>
      <c r="G462" t="s">
        <v>6014</v>
      </c>
      <c r="H462">
        <v>214</v>
      </c>
      <c r="I462">
        <v>322</v>
      </c>
      <c r="J462">
        <v>12.71</v>
      </c>
      <c r="K462">
        <v>12.45</v>
      </c>
      <c r="L462">
        <v>12.25</v>
      </c>
      <c r="M462" s="175">
        <v>0.17</v>
      </c>
      <c r="N462" t="s">
        <v>4174</v>
      </c>
    </row>
    <row r="463" spans="1:14">
      <c r="A463">
        <v>1451</v>
      </c>
      <c r="B463" t="s">
        <v>501</v>
      </c>
      <c r="C463">
        <v>17.25</v>
      </c>
      <c r="D463">
        <v>17.350000000000001</v>
      </c>
      <c r="E463" s="178">
        <v>-0.05</v>
      </c>
      <c r="F463" s="176">
        <v>-0.28999999999999998</v>
      </c>
      <c r="G463" t="s">
        <v>6015</v>
      </c>
      <c r="H463">
        <v>126</v>
      </c>
      <c r="I463">
        <v>91</v>
      </c>
      <c r="J463">
        <v>19.8</v>
      </c>
      <c r="K463">
        <v>17.350000000000001</v>
      </c>
      <c r="L463">
        <v>17.2</v>
      </c>
      <c r="M463" s="175">
        <v>0.06</v>
      </c>
      <c r="N463" t="s">
        <v>3841</v>
      </c>
    </row>
    <row r="464" spans="1:14">
      <c r="A464">
        <v>1452</v>
      </c>
      <c r="B464" t="s">
        <v>502</v>
      </c>
      <c r="C464">
        <v>11.35</v>
      </c>
      <c r="D464">
        <v>11.45</v>
      </c>
      <c r="E464" s="178">
        <v>0.05</v>
      </c>
      <c r="F464" s="176">
        <v>0.44</v>
      </c>
      <c r="G464" t="s">
        <v>5627</v>
      </c>
      <c r="H464">
        <v>68</v>
      </c>
      <c r="I464">
        <v>71</v>
      </c>
      <c r="J464">
        <v>13.26</v>
      </c>
      <c r="K464">
        <v>11.45</v>
      </c>
      <c r="L464">
        <v>11.2</v>
      </c>
      <c r="M464" s="175">
        <v>0.05</v>
      </c>
      <c r="N464" t="s">
        <v>1569</v>
      </c>
    </row>
    <row r="465" spans="1:14">
      <c r="A465">
        <v>1453</v>
      </c>
      <c r="B465" t="s">
        <v>503</v>
      </c>
      <c r="C465">
        <v>11.05</v>
      </c>
      <c r="D465">
        <v>11.2</v>
      </c>
      <c r="E465" s="178">
        <v>-0.05</v>
      </c>
      <c r="F465" s="176">
        <v>-0.44</v>
      </c>
      <c r="G465" t="s">
        <v>6016</v>
      </c>
      <c r="H465">
        <v>49</v>
      </c>
      <c r="I465">
        <v>39</v>
      </c>
      <c r="J465">
        <v>11.66</v>
      </c>
      <c r="K465">
        <v>11.3</v>
      </c>
      <c r="L465">
        <v>11</v>
      </c>
      <c r="M465" s="175">
        <v>0.04</v>
      </c>
      <c r="N465" t="s">
        <v>3693</v>
      </c>
    </row>
    <row r="466" spans="1:14">
      <c r="A466">
        <v>1454</v>
      </c>
      <c r="B466" t="s">
        <v>504</v>
      </c>
      <c r="C466">
        <v>12.5</v>
      </c>
      <c r="D466">
        <v>12.25</v>
      </c>
      <c r="E466" s="178">
        <v>-0.2</v>
      </c>
      <c r="F466" s="176">
        <v>-1.61</v>
      </c>
      <c r="G466" t="s">
        <v>5464</v>
      </c>
      <c r="H466">
        <v>26</v>
      </c>
      <c r="I466">
        <v>17</v>
      </c>
      <c r="J466">
        <v>12.98</v>
      </c>
      <c r="K466">
        <v>12.5</v>
      </c>
      <c r="L466">
        <v>12.2</v>
      </c>
      <c r="M466" s="175">
        <v>0.02</v>
      </c>
      <c r="N466" t="s">
        <v>3160</v>
      </c>
    </row>
    <row r="467" spans="1:14">
      <c r="A467">
        <v>1455</v>
      </c>
      <c r="B467" t="s">
        <v>505</v>
      </c>
      <c r="C467">
        <v>10</v>
      </c>
      <c r="D467">
        <v>10</v>
      </c>
      <c r="E467" s="178">
        <v>0.03</v>
      </c>
      <c r="F467" s="176">
        <v>0.3</v>
      </c>
      <c r="G467" t="s">
        <v>6017</v>
      </c>
      <c r="H467">
        <v>840</v>
      </c>
      <c r="I467">
        <v>924</v>
      </c>
      <c r="J467">
        <v>53.17</v>
      </c>
      <c r="K467">
        <v>10.1</v>
      </c>
      <c r="L467">
        <v>9.9499999999999993</v>
      </c>
      <c r="M467" s="175">
        <v>0.16</v>
      </c>
      <c r="N467" t="s">
        <v>4391</v>
      </c>
    </row>
    <row r="468" spans="1:14">
      <c r="A468">
        <v>1456</v>
      </c>
      <c r="B468" t="s">
        <v>506</v>
      </c>
      <c r="C468">
        <v>13.6</v>
      </c>
      <c r="D468">
        <v>13.9</v>
      </c>
      <c r="E468" s="178">
        <v>0.25</v>
      </c>
      <c r="F468" s="176">
        <v>1.83</v>
      </c>
      <c r="G468" t="s">
        <v>5463</v>
      </c>
      <c r="H468">
        <v>146</v>
      </c>
      <c r="I468">
        <v>50</v>
      </c>
      <c r="J468">
        <v>9.3699999999999992</v>
      </c>
      <c r="K468">
        <v>14.4</v>
      </c>
      <c r="L468">
        <v>13.45</v>
      </c>
      <c r="M468" s="175">
        <v>0.16</v>
      </c>
      <c r="N468" t="s">
        <v>1570</v>
      </c>
    </row>
    <row r="469" spans="1:14">
      <c r="A469">
        <v>1457</v>
      </c>
      <c r="B469" t="s">
        <v>507</v>
      </c>
      <c r="C469">
        <v>14.35</v>
      </c>
      <c r="D469">
        <v>14.35</v>
      </c>
      <c r="E469" s="178">
        <v>-0.1</v>
      </c>
      <c r="F469" s="176">
        <v>-0.69</v>
      </c>
      <c r="G469" t="s">
        <v>6018</v>
      </c>
      <c r="H469">
        <v>61</v>
      </c>
      <c r="I469">
        <v>73</v>
      </c>
      <c r="J469">
        <v>31.67</v>
      </c>
      <c r="K469">
        <v>14.35</v>
      </c>
      <c r="L469">
        <v>14.25</v>
      </c>
      <c r="M469" s="175">
        <v>0.02</v>
      </c>
      <c r="N469" t="s">
        <v>1571</v>
      </c>
    </row>
    <row r="470" spans="1:14">
      <c r="A470">
        <v>1459</v>
      </c>
      <c r="B470" t="s">
        <v>5263</v>
      </c>
      <c r="C470">
        <v>15.2</v>
      </c>
      <c r="D470">
        <v>15.5</v>
      </c>
      <c r="E470" s="178">
        <v>-0.05</v>
      </c>
      <c r="F470" s="176">
        <v>-0.32</v>
      </c>
      <c r="G470" t="s">
        <v>5249</v>
      </c>
      <c r="H470">
        <v>133</v>
      </c>
      <c r="I470">
        <v>531</v>
      </c>
      <c r="J470">
        <v>26.9</v>
      </c>
      <c r="K470">
        <v>15.85</v>
      </c>
      <c r="L470">
        <v>15.2</v>
      </c>
      <c r="M470" s="175">
        <v>0.05</v>
      </c>
      <c r="N470" t="s">
        <v>5264</v>
      </c>
    </row>
    <row r="471" spans="1:14">
      <c r="A471">
        <v>1460</v>
      </c>
      <c r="B471" t="s">
        <v>508</v>
      </c>
      <c r="C471">
        <v>6.62</v>
      </c>
      <c r="D471">
        <v>6.6</v>
      </c>
      <c r="E471" s="178">
        <v>-0.02</v>
      </c>
      <c r="F471" s="176">
        <v>-0.3</v>
      </c>
      <c r="G471" t="s">
        <v>5221</v>
      </c>
      <c r="H471">
        <v>206</v>
      </c>
      <c r="I471">
        <v>169</v>
      </c>
      <c r="J471">
        <v>69.459999999999994</v>
      </c>
      <c r="K471">
        <v>6.62</v>
      </c>
      <c r="L471">
        <v>6.56</v>
      </c>
      <c r="M471" s="175">
        <v>0.03</v>
      </c>
      <c r="N471" t="s">
        <v>3842</v>
      </c>
    </row>
    <row r="472" spans="1:14">
      <c r="A472">
        <v>1463</v>
      </c>
      <c r="B472" t="s">
        <v>4041</v>
      </c>
      <c r="C472">
        <v>17.5</v>
      </c>
      <c r="D472">
        <v>17.3</v>
      </c>
      <c r="E472" s="178">
        <v>-0.1</v>
      </c>
      <c r="F472" s="176">
        <v>-0.56999999999999995</v>
      </c>
      <c r="G472" t="s">
        <v>5720</v>
      </c>
      <c r="H472">
        <v>41</v>
      </c>
      <c r="I472">
        <v>21</v>
      </c>
      <c r="J472">
        <v>17.329999999999998</v>
      </c>
      <c r="K472">
        <v>17.55</v>
      </c>
      <c r="L472">
        <v>17.25</v>
      </c>
      <c r="M472" s="175">
        <v>0.02</v>
      </c>
      <c r="N472" t="s">
        <v>1572</v>
      </c>
    </row>
    <row r="473" spans="1:14">
      <c r="A473">
        <v>1464</v>
      </c>
      <c r="B473" t="s">
        <v>509</v>
      </c>
      <c r="C473">
        <v>10.15</v>
      </c>
      <c r="D473">
        <v>10.15</v>
      </c>
      <c r="E473" s="178">
        <v>0</v>
      </c>
      <c r="F473" s="176">
        <v>0</v>
      </c>
      <c r="G473" t="s">
        <v>6019</v>
      </c>
      <c r="H473">
        <v>258</v>
      </c>
      <c r="I473">
        <v>176</v>
      </c>
      <c r="J473">
        <v>42.56</v>
      </c>
      <c r="K473">
        <v>10.199999999999999</v>
      </c>
      <c r="L473">
        <v>10.050000000000001</v>
      </c>
      <c r="M473" s="175">
        <v>0.06</v>
      </c>
      <c r="N473" t="s">
        <v>3843</v>
      </c>
    </row>
    <row r="474" spans="1:14">
      <c r="A474">
        <v>1465</v>
      </c>
      <c r="B474" t="s">
        <v>510</v>
      </c>
      <c r="C474">
        <v>11.95</v>
      </c>
      <c r="D474">
        <v>12.05</v>
      </c>
      <c r="E474" s="178">
        <v>0.05</v>
      </c>
      <c r="F474" s="176">
        <v>0.42</v>
      </c>
      <c r="G474" t="s">
        <v>6019</v>
      </c>
      <c r="H474">
        <v>218</v>
      </c>
      <c r="I474">
        <v>208</v>
      </c>
      <c r="J474">
        <v>10.36</v>
      </c>
      <c r="K474">
        <v>12.1</v>
      </c>
      <c r="L474">
        <v>11.85</v>
      </c>
      <c r="M474" s="175">
        <v>0.21</v>
      </c>
      <c r="N474" t="s">
        <v>3506</v>
      </c>
    </row>
    <row r="475" spans="1:14">
      <c r="A475">
        <v>1466</v>
      </c>
      <c r="B475" t="s">
        <v>511</v>
      </c>
      <c r="C475">
        <v>16.05</v>
      </c>
      <c r="D475">
        <v>15.95</v>
      </c>
      <c r="E475" s="178">
        <v>0.05</v>
      </c>
      <c r="F475" s="176">
        <v>0.31</v>
      </c>
      <c r="G475" t="s">
        <v>5196</v>
      </c>
      <c r="H475">
        <v>215</v>
      </c>
      <c r="I475">
        <v>269</v>
      </c>
      <c r="J475">
        <v>11.12</v>
      </c>
      <c r="K475">
        <v>16.05</v>
      </c>
      <c r="L475">
        <v>15.65</v>
      </c>
      <c r="M475" s="175">
        <v>0.19</v>
      </c>
      <c r="N475" t="s">
        <v>4392</v>
      </c>
    </row>
    <row r="476" spans="1:14">
      <c r="A476">
        <v>1467</v>
      </c>
      <c r="B476" t="s">
        <v>512</v>
      </c>
      <c r="C476">
        <v>8.33</v>
      </c>
      <c r="D476">
        <v>8.3800000000000008</v>
      </c>
      <c r="E476" s="178">
        <v>0.1</v>
      </c>
      <c r="F476" s="176">
        <v>1.21</v>
      </c>
      <c r="G476" t="s">
        <v>6020</v>
      </c>
      <c r="H476">
        <v>254</v>
      </c>
      <c r="I476">
        <v>231</v>
      </c>
      <c r="J476">
        <v>23.36</v>
      </c>
      <c r="K476">
        <v>8.6300000000000008</v>
      </c>
      <c r="L476">
        <v>8.26</v>
      </c>
      <c r="M476" s="175">
        <v>0.15</v>
      </c>
      <c r="N476" t="s">
        <v>1573</v>
      </c>
    </row>
    <row r="477" spans="1:14">
      <c r="A477">
        <v>1468</v>
      </c>
      <c r="B477" t="s">
        <v>513</v>
      </c>
      <c r="C477">
        <v>13.1</v>
      </c>
      <c r="D477">
        <v>13.15</v>
      </c>
      <c r="E477" s="178">
        <v>-0.15</v>
      </c>
      <c r="F477" s="176">
        <v>-1.1299999999999999</v>
      </c>
      <c r="G477" t="s">
        <v>6021</v>
      </c>
      <c r="H477">
        <v>70</v>
      </c>
      <c r="I477">
        <v>64</v>
      </c>
      <c r="J477">
        <v>16.04</v>
      </c>
      <c r="K477">
        <v>13.2</v>
      </c>
      <c r="L477">
        <v>12.8</v>
      </c>
      <c r="M477" s="175">
        <v>0.04</v>
      </c>
      <c r="N477" t="s">
        <v>1574</v>
      </c>
    </row>
    <row r="478" spans="1:14">
      <c r="A478">
        <v>1470</v>
      </c>
      <c r="B478" t="s">
        <v>514</v>
      </c>
      <c r="C478">
        <v>23.75</v>
      </c>
      <c r="D478">
        <v>24.05</v>
      </c>
      <c r="E478" s="178">
        <v>0.5</v>
      </c>
      <c r="F478" s="176">
        <v>2.12</v>
      </c>
      <c r="G478" t="s">
        <v>5449</v>
      </c>
      <c r="H478">
        <v>7</v>
      </c>
      <c r="I478">
        <v>14</v>
      </c>
      <c r="J478">
        <v>8.58</v>
      </c>
      <c r="K478">
        <v>24.05</v>
      </c>
      <c r="L478">
        <v>23.45</v>
      </c>
      <c r="M478" s="175">
        <v>0.01</v>
      </c>
      <c r="N478" t="s">
        <v>3844</v>
      </c>
    </row>
    <row r="479" spans="1:14">
      <c r="A479">
        <v>1471</v>
      </c>
      <c r="B479" t="s">
        <v>515</v>
      </c>
      <c r="C479">
        <v>9.9600000000000009</v>
      </c>
      <c r="D479">
        <v>9.83</v>
      </c>
      <c r="E479" s="178">
        <v>-0.17</v>
      </c>
      <c r="F479" s="176">
        <v>-1.7</v>
      </c>
      <c r="G479" t="s">
        <v>5503</v>
      </c>
      <c r="H479">
        <v>224</v>
      </c>
      <c r="I479">
        <v>789</v>
      </c>
      <c r="J479">
        <v>15.04</v>
      </c>
      <c r="K479">
        <v>9.9600000000000009</v>
      </c>
      <c r="L479">
        <v>9.8000000000000007</v>
      </c>
      <c r="M479" s="175">
        <v>0.15</v>
      </c>
      <c r="N479" t="s">
        <v>4006</v>
      </c>
    </row>
    <row r="480" spans="1:14">
      <c r="A480">
        <v>1472</v>
      </c>
      <c r="B480" t="s">
        <v>2008</v>
      </c>
      <c r="C480">
        <v>88.5</v>
      </c>
      <c r="D480">
        <v>90</v>
      </c>
      <c r="E480" s="178">
        <v>1.5</v>
      </c>
      <c r="F480" s="176">
        <v>1.69</v>
      </c>
      <c r="G480" t="s">
        <v>5376</v>
      </c>
      <c r="H480">
        <v>49</v>
      </c>
      <c r="I480">
        <v>46</v>
      </c>
      <c r="J480">
        <v>5.25</v>
      </c>
      <c r="K480">
        <v>90</v>
      </c>
      <c r="L480">
        <v>87.5</v>
      </c>
      <c r="M480" s="175">
        <v>0.09</v>
      </c>
      <c r="N480" t="s">
        <v>3194</v>
      </c>
    </row>
    <row r="481" spans="1:14">
      <c r="A481">
        <v>1473</v>
      </c>
      <c r="B481" t="s">
        <v>516</v>
      </c>
      <c r="C481">
        <v>20.05</v>
      </c>
      <c r="D481">
        <v>20</v>
      </c>
      <c r="E481" s="178">
        <v>0</v>
      </c>
      <c r="F481" s="176">
        <v>0</v>
      </c>
      <c r="G481" t="s">
        <v>5436</v>
      </c>
      <c r="H481">
        <v>35</v>
      </c>
      <c r="I481">
        <v>37</v>
      </c>
      <c r="J481">
        <v>14.62</v>
      </c>
      <c r="K481">
        <v>20.05</v>
      </c>
      <c r="L481">
        <v>19.8</v>
      </c>
      <c r="M481" s="175">
        <v>0.02</v>
      </c>
      <c r="N481" t="s">
        <v>3548</v>
      </c>
    </row>
    <row r="482" spans="1:14">
      <c r="A482">
        <v>1474</v>
      </c>
      <c r="B482" t="s">
        <v>517</v>
      </c>
      <c r="C482">
        <v>10</v>
      </c>
      <c r="D482">
        <v>10</v>
      </c>
      <c r="E482" s="178">
        <v>0</v>
      </c>
      <c r="F482" s="176">
        <v>0</v>
      </c>
      <c r="G482" t="s">
        <v>5711</v>
      </c>
      <c r="H482">
        <v>93</v>
      </c>
      <c r="I482">
        <v>50</v>
      </c>
      <c r="J482">
        <v>12.99</v>
      </c>
      <c r="K482">
        <v>10.1</v>
      </c>
      <c r="L482">
        <v>9.92</v>
      </c>
      <c r="M482" s="175">
        <v>7.0000000000000007E-2</v>
      </c>
      <c r="N482" t="s">
        <v>3195</v>
      </c>
    </row>
    <row r="483" spans="1:14">
      <c r="A483">
        <v>1475</v>
      </c>
      <c r="B483" t="s">
        <v>518</v>
      </c>
      <c r="C483">
        <v>26.25</v>
      </c>
      <c r="D483">
        <v>26.2</v>
      </c>
      <c r="E483" s="178">
        <v>-0.4</v>
      </c>
      <c r="F483" s="176">
        <v>-1.5</v>
      </c>
      <c r="G483" t="s">
        <v>5616</v>
      </c>
      <c r="H483">
        <v>29</v>
      </c>
      <c r="I483">
        <v>9</v>
      </c>
      <c r="J483">
        <v>6.6</v>
      </c>
      <c r="K483">
        <v>26.45</v>
      </c>
      <c r="L483">
        <v>25.7</v>
      </c>
      <c r="M483" s="175">
        <v>0.04</v>
      </c>
      <c r="N483" t="s">
        <v>3507</v>
      </c>
    </row>
    <row r="484" spans="1:14">
      <c r="A484">
        <v>1476</v>
      </c>
      <c r="B484" t="s">
        <v>519</v>
      </c>
      <c r="C484">
        <v>310</v>
      </c>
      <c r="D484">
        <v>309</v>
      </c>
      <c r="E484" s="178">
        <v>-2.5</v>
      </c>
      <c r="F484" s="176">
        <v>-0.8</v>
      </c>
      <c r="G484" t="s">
        <v>5482</v>
      </c>
      <c r="H484">
        <v>962</v>
      </c>
      <c r="I484">
        <v>775</v>
      </c>
      <c r="J484">
        <v>27.44</v>
      </c>
      <c r="K484">
        <v>311.5</v>
      </c>
      <c r="L484">
        <v>307</v>
      </c>
      <c r="M484" s="175">
        <v>0.35</v>
      </c>
      <c r="N484" t="s">
        <v>4393</v>
      </c>
    </row>
    <row r="485" spans="1:14">
      <c r="A485">
        <v>1477</v>
      </c>
      <c r="B485" t="s">
        <v>520</v>
      </c>
      <c r="C485">
        <v>195.5</v>
      </c>
      <c r="D485">
        <v>194.5</v>
      </c>
      <c r="E485" s="178">
        <v>-1</v>
      </c>
      <c r="F485" s="176">
        <v>-0.51</v>
      </c>
      <c r="G485" t="s">
        <v>5734</v>
      </c>
      <c r="H485">
        <v>1675</v>
      </c>
      <c r="I485">
        <v>1362</v>
      </c>
      <c r="J485">
        <v>24.67</v>
      </c>
      <c r="K485">
        <v>197</v>
      </c>
      <c r="L485">
        <v>192.5</v>
      </c>
      <c r="M485" s="175">
        <v>0.68</v>
      </c>
      <c r="N485" t="s">
        <v>4394</v>
      </c>
    </row>
    <row r="486" spans="1:14">
      <c r="A486">
        <v>1503</v>
      </c>
      <c r="B486" t="s">
        <v>521</v>
      </c>
      <c r="C486">
        <v>203.5</v>
      </c>
      <c r="D486">
        <v>200</v>
      </c>
      <c r="E486" s="178">
        <v>-5.5</v>
      </c>
      <c r="F486" s="176">
        <v>-2.68</v>
      </c>
      <c r="G486" t="s">
        <v>5387</v>
      </c>
      <c r="H486">
        <v>1904</v>
      </c>
      <c r="I486">
        <v>2134</v>
      </c>
      <c r="J486">
        <v>52.1</v>
      </c>
      <c r="K486">
        <v>203.5</v>
      </c>
      <c r="L486">
        <v>198</v>
      </c>
      <c r="M486" s="175">
        <v>0.37</v>
      </c>
      <c r="N486" t="s">
        <v>3549</v>
      </c>
    </row>
    <row r="487" spans="1:14">
      <c r="A487">
        <v>1504</v>
      </c>
      <c r="B487" t="s">
        <v>522</v>
      </c>
      <c r="C487">
        <v>72.400000000000006</v>
      </c>
      <c r="D487">
        <v>72.5</v>
      </c>
      <c r="E487" s="178">
        <v>-0.1</v>
      </c>
      <c r="F487" s="176">
        <v>-0.14000000000000001</v>
      </c>
      <c r="G487" t="s">
        <v>5588</v>
      </c>
      <c r="H487">
        <v>4639</v>
      </c>
      <c r="I487">
        <v>11141</v>
      </c>
      <c r="J487">
        <v>237.64</v>
      </c>
      <c r="K487">
        <v>72.599999999999994</v>
      </c>
      <c r="L487">
        <v>71.3</v>
      </c>
      <c r="M487" s="175">
        <v>0.2</v>
      </c>
      <c r="N487" t="s">
        <v>3845</v>
      </c>
    </row>
    <row r="488" spans="1:14">
      <c r="A488">
        <v>1506</v>
      </c>
      <c r="B488" t="s">
        <v>523</v>
      </c>
      <c r="C488">
        <v>10.15</v>
      </c>
      <c r="D488">
        <v>10.1</v>
      </c>
      <c r="E488" s="178">
        <v>-0.05</v>
      </c>
      <c r="F488" s="176">
        <v>-0.49</v>
      </c>
      <c r="G488" t="s">
        <v>5739</v>
      </c>
      <c r="H488">
        <v>64</v>
      </c>
      <c r="I488">
        <v>138</v>
      </c>
      <c r="J488">
        <v>30.04</v>
      </c>
      <c r="K488">
        <v>10.15</v>
      </c>
      <c r="L488">
        <v>10.050000000000001</v>
      </c>
      <c r="M488" s="175">
        <v>0.04</v>
      </c>
      <c r="N488" t="s">
        <v>3351</v>
      </c>
    </row>
    <row r="489" spans="1:14">
      <c r="A489">
        <v>1512</v>
      </c>
      <c r="B489" t="s">
        <v>524</v>
      </c>
      <c r="C489">
        <v>6.27</v>
      </c>
      <c r="D489">
        <v>6.37</v>
      </c>
      <c r="E489" s="178">
        <v>-0.04</v>
      </c>
      <c r="F489" s="176">
        <v>-0.62</v>
      </c>
      <c r="G489" t="s">
        <v>5672</v>
      </c>
      <c r="H489">
        <v>49</v>
      </c>
      <c r="I489">
        <v>78</v>
      </c>
      <c r="J489">
        <v>9.82</v>
      </c>
      <c r="K489">
        <v>6.58</v>
      </c>
      <c r="L489">
        <v>6.27</v>
      </c>
      <c r="M489" s="175">
        <v>0.05</v>
      </c>
      <c r="N489" t="s">
        <v>4589</v>
      </c>
    </row>
    <row r="490" spans="1:14">
      <c r="A490">
        <v>1513</v>
      </c>
      <c r="B490" t="s">
        <v>409</v>
      </c>
      <c r="C490">
        <v>167.5</v>
      </c>
      <c r="D490">
        <v>164</v>
      </c>
      <c r="E490" s="178">
        <v>-4</v>
      </c>
      <c r="F490" s="176">
        <v>-2.38</v>
      </c>
      <c r="G490" t="s">
        <v>6022</v>
      </c>
      <c r="H490">
        <v>3381</v>
      </c>
      <c r="I490">
        <v>2733</v>
      </c>
      <c r="J490">
        <v>50.31</v>
      </c>
      <c r="K490">
        <v>168</v>
      </c>
      <c r="L490">
        <v>163</v>
      </c>
      <c r="M490" s="175">
        <v>0.67</v>
      </c>
      <c r="N490" t="s">
        <v>3846</v>
      </c>
    </row>
    <row r="491" spans="1:14">
      <c r="A491">
        <v>1514</v>
      </c>
      <c r="B491" t="s">
        <v>525</v>
      </c>
      <c r="C491">
        <v>104</v>
      </c>
      <c r="D491">
        <v>102</v>
      </c>
      <c r="E491" s="178">
        <v>-3</v>
      </c>
      <c r="F491" s="176">
        <v>-2.86</v>
      </c>
      <c r="G491" t="s">
        <v>5692</v>
      </c>
      <c r="H491">
        <v>1591</v>
      </c>
      <c r="I491">
        <v>2345</v>
      </c>
      <c r="J491">
        <v>27.86</v>
      </c>
      <c r="K491">
        <v>104.5</v>
      </c>
      <c r="L491">
        <v>101</v>
      </c>
      <c r="M491" s="175">
        <v>0.56999999999999995</v>
      </c>
      <c r="N491" t="s">
        <v>3847</v>
      </c>
    </row>
    <row r="492" spans="1:14">
      <c r="A492">
        <v>1515</v>
      </c>
      <c r="B492" t="s">
        <v>407</v>
      </c>
      <c r="C492">
        <v>34.25</v>
      </c>
      <c r="D492">
        <v>33.4</v>
      </c>
      <c r="E492" s="178">
        <v>-1.3</v>
      </c>
      <c r="F492" s="176">
        <v>-3.75</v>
      </c>
      <c r="G492" t="s">
        <v>6023</v>
      </c>
      <c r="H492">
        <v>1826</v>
      </c>
      <c r="I492">
        <v>4297</v>
      </c>
      <c r="J492">
        <v>18.149999999999999</v>
      </c>
      <c r="K492">
        <v>34.35</v>
      </c>
      <c r="L492">
        <v>33.1</v>
      </c>
      <c r="M492" s="175">
        <v>1.01</v>
      </c>
      <c r="N492" t="s">
        <v>3371</v>
      </c>
    </row>
    <row r="493" spans="1:14">
      <c r="A493">
        <v>1516</v>
      </c>
      <c r="B493" t="s">
        <v>526</v>
      </c>
      <c r="C493">
        <v>14.5</v>
      </c>
      <c r="D493">
        <v>14.6</v>
      </c>
      <c r="E493" s="178">
        <v>-0.15</v>
      </c>
      <c r="F493" s="176">
        <v>-1.02</v>
      </c>
      <c r="G493" t="s">
        <v>5559</v>
      </c>
      <c r="H493">
        <v>9</v>
      </c>
      <c r="I493">
        <v>25</v>
      </c>
      <c r="J493">
        <v>4</v>
      </c>
      <c r="K493">
        <v>14.6</v>
      </c>
      <c r="L493">
        <v>14.5</v>
      </c>
      <c r="M493" s="175">
        <v>0.02</v>
      </c>
      <c r="N493" t="s">
        <v>4492</v>
      </c>
    </row>
    <row r="494" spans="1:14">
      <c r="A494">
        <v>1517</v>
      </c>
      <c r="B494" t="s">
        <v>527</v>
      </c>
      <c r="C494">
        <v>11.15</v>
      </c>
      <c r="D494">
        <v>11.25</v>
      </c>
      <c r="E494" s="178">
        <v>0</v>
      </c>
      <c r="F494" s="176">
        <v>0</v>
      </c>
      <c r="G494" t="s">
        <v>5228</v>
      </c>
      <c r="H494">
        <v>115</v>
      </c>
      <c r="I494">
        <v>277</v>
      </c>
      <c r="J494">
        <v>22</v>
      </c>
      <c r="K494">
        <v>11.25</v>
      </c>
      <c r="L494">
        <v>11.15</v>
      </c>
      <c r="M494" s="175">
        <v>0.05</v>
      </c>
      <c r="N494" t="s">
        <v>2145</v>
      </c>
    </row>
    <row r="495" spans="1:14">
      <c r="A495">
        <v>1519</v>
      </c>
      <c r="B495" t="s">
        <v>528</v>
      </c>
      <c r="C495">
        <v>755</v>
      </c>
      <c r="D495">
        <v>729</v>
      </c>
      <c r="E495" s="178">
        <v>-26</v>
      </c>
      <c r="F495" s="176">
        <v>-3.44</v>
      </c>
      <c r="G495" t="s">
        <v>6024</v>
      </c>
      <c r="H495">
        <v>2277</v>
      </c>
      <c r="I495">
        <v>2751</v>
      </c>
      <c r="J495">
        <v>34.75</v>
      </c>
      <c r="K495">
        <v>755</v>
      </c>
      <c r="L495">
        <v>725</v>
      </c>
      <c r="M495" s="175">
        <v>0.66</v>
      </c>
      <c r="N495" t="s">
        <v>3311</v>
      </c>
    </row>
    <row r="496" spans="1:14">
      <c r="A496">
        <v>1521</v>
      </c>
      <c r="B496" t="s">
        <v>529</v>
      </c>
      <c r="C496">
        <v>25.75</v>
      </c>
      <c r="D496">
        <v>25.95</v>
      </c>
      <c r="E496" s="178">
        <v>0.05</v>
      </c>
      <c r="F496" s="176">
        <v>0.19</v>
      </c>
      <c r="G496" t="s">
        <v>5609</v>
      </c>
      <c r="H496">
        <v>12</v>
      </c>
      <c r="I496">
        <v>15</v>
      </c>
      <c r="J496">
        <v>7.62</v>
      </c>
      <c r="K496">
        <v>25.95</v>
      </c>
      <c r="L496">
        <v>25.7</v>
      </c>
      <c r="M496" s="175">
        <v>0.02</v>
      </c>
      <c r="N496" t="s">
        <v>3694</v>
      </c>
    </row>
    <row r="497" spans="1:14">
      <c r="A497">
        <v>1522</v>
      </c>
      <c r="B497" t="s">
        <v>530</v>
      </c>
      <c r="C497">
        <v>28</v>
      </c>
      <c r="D497">
        <v>28</v>
      </c>
      <c r="E497" s="178">
        <v>0</v>
      </c>
      <c r="F497" s="176">
        <v>0</v>
      </c>
      <c r="G497" t="s">
        <v>5338</v>
      </c>
      <c r="H497">
        <v>234</v>
      </c>
      <c r="I497">
        <v>288</v>
      </c>
      <c r="J497">
        <v>31.29</v>
      </c>
      <c r="K497">
        <v>28.05</v>
      </c>
      <c r="L497">
        <v>27.75</v>
      </c>
      <c r="M497" s="175">
        <v>7.0000000000000007E-2</v>
      </c>
      <c r="N497" t="s">
        <v>4420</v>
      </c>
    </row>
    <row r="498" spans="1:14">
      <c r="A498">
        <v>1524</v>
      </c>
      <c r="B498" t="s">
        <v>531</v>
      </c>
      <c r="C498">
        <v>27.5</v>
      </c>
      <c r="D498">
        <v>27.35</v>
      </c>
      <c r="E498" s="178">
        <v>-0.15</v>
      </c>
      <c r="F498" s="176">
        <v>-0.55000000000000004</v>
      </c>
      <c r="G498" t="s">
        <v>6025</v>
      </c>
      <c r="H498">
        <v>182</v>
      </c>
      <c r="I498">
        <v>279</v>
      </c>
      <c r="J498">
        <v>16.53</v>
      </c>
      <c r="K498">
        <v>27.6</v>
      </c>
      <c r="L498">
        <v>27.25</v>
      </c>
      <c r="M498" s="175">
        <v>0.11</v>
      </c>
      <c r="N498" t="s">
        <v>3848</v>
      </c>
    </row>
    <row r="499" spans="1:14">
      <c r="A499">
        <v>1525</v>
      </c>
      <c r="B499" t="s">
        <v>532</v>
      </c>
      <c r="C499">
        <v>66</v>
      </c>
      <c r="D499">
        <v>67.7</v>
      </c>
      <c r="E499" s="178">
        <v>1.2</v>
      </c>
      <c r="F499" s="176">
        <v>1.8</v>
      </c>
      <c r="G499" t="s">
        <v>5273</v>
      </c>
      <c r="H499">
        <v>21</v>
      </c>
      <c r="I499">
        <v>18</v>
      </c>
      <c r="J499">
        <v>7.34</v>
      </c>
      <c r="K499">
        <v>67.8</v>
      </c>
      <c r="L499">
        <v>65.5</v>
      </c>
      <c r="M499" s="175">
        <v>0.03</v>
      </c>
      <c r="N499" t="s">
        <v>4421</v>
      </c>
    </row>
    <row r="500" spans="1:14">
      <c r="A500">
        <v>1526</v>
      </c>
      <c r="B500" t="s">
        <v>533</v>
      </c>
      <c r="C500">
        <v>16.5</v>
      </c>
      <c r="D500">
        <v>16.3</v>
      </c>
      <c r="E500" s="178">
        <v>-0.15</v>
      </c>
      <c r="F500" s="176">
        <v>-0.91</v>
      </c>
      <c r="G500" t="s">
        <v>6026</v>
      </c>
      <c r="H500">
        <v>237</v>
      </c>
      <c r="I500">
        <v>215</v>
      </c>
      <c r="J500">
        <v>6</v>
      </c>
      <c r="K500">
        <v>16.5</v>
      </c>
      <c r="L500">
        <v>16.05</v>
      </c>
      <c r="M500" s="175">
        <v>0.4</v>
      </c>
      <c r="N500" t="s">
        <v>3048</v>
      </c>
    </row>
    <row r="501" spans="1:14">
      <c r="A501">
        <v>1527</v>
      </c>
      <c r="B501" t="s">
        <v>534</v>
      </c>
      <c r="C501">
        <v>32.5</v>
      </c>
      <c r="D501">
        <v>32.700000000000003</v>
      </c>
      <c r="E501" s="178">
        <v>0</v>
      </c>
      <c r="F501" s="176">
        <v>0</v>
      </c>
      <c r="G501" t="s">
        <v>5285</v>
      </c>
      <c r="H501">
        <v>68</v>
      </c>
      <c r="I501">
        <v>100</v>
      </c>
      <c r="J501">
        <v>13.86</v>
      </c>
      <c r="K501">
        <v>32.700000000000003</v>
      </c>
      <c r="L501">
        <v>32.5</v>
      </c>
      <c r="M501" s="175">
        <v>0.05</v>
      </c>
      <c r="N501" t="s">
        <v>3941</v>
      </c>
    </row>
    <row r="502" spans="1:14">
      <c r="A502">
        <v>1528</v>
      </c>
      <c r="B502" t="s">
        <v>535</v>
      </c>
      <c r="C502">
        <v>19.649999999999999</v>
      </c>
      <c r="D502">
        <v>19.3</v>
      </c>
      <c r="E502" s="178">
        <v>-0.25</v>
      </c>
      <c r="F502" s="176">
        <v>-1.28</v>
      </c>
      <c r="G502" t="s">
        <v>6027</v>
      </c>
      <c r="H502">
        <v>617</v>
      </c>
      <c r="I502">
        <v>693</v>
      </c>
      <c r="J502">
        <v>19.13</v>
      </c>
      <c r="K502">
        <v>19.75</v>
      </c>
      <c r="L502">
        <v>19.149999999999999</v>
      </c>
      <c r="M502" s="175">
        <v>0.32</v>
      </c>
      <c r="N502" t="s">
        <v>3695</v>
      </c>
    </row>
    <row r="503" spans="1:14">
      <c r="A503">
        <v>1529</v>
      </c>
      <c r="B503" t="s">
        <v>2162</v>
      </c>
      <c r="C503">
        <v>17.600000000000001</v>
      </c>
      <c r="D503">
        <v>17.100000000000001</v>
      </c>
      <c r="E503" s="178">
        <v>-0.5</v>
      </c>
      <c r="F503" s="176">
        <v>-2.84</v>
      </c>
      <c r="G503" t="s">
        <v>6028</v>
      </c>
      <c r="H503">
        <v>419</v>
      </c>
      <c r="I503">
        <v>398</v>
      </c>
      <c r="J503">
        <v>20.28</v>
      </c>
      <c r="K503">
        <v>17.8</v>
      </c>
      <c r="L503">
        <v>16.95</v>
      </c>
      <c r="M503" s="175">
        <v>0.21</v>
      </c>
      <c r="N503" t="s">
        <v>3508</v>
      </c>
    </row>
    <row r="504" spans="1:14">
      <c r="A504">
        <v>1530</v>
      </c>
      <c r="B504" t="s">
        <v>537</v>
      </c>
      <c r="C504">
        <v>29.3</v>
      </c>
      <c r="D504">
        <v>28.7</v>
      </c>
      <c r="E504" s="178">
        <v>-0.3</v>
      </c>
      <c r="F504" s="176">
        <v>-1.03</v>
      </c>
      <c r="G504" t="s">
        <v>6029</v>
      </c>
      <c r="H504">
        <v>22</v>
      </c>
      <c r="I504">
        <v>18</v>
      </c>
      <c r="J504">
        <v>10.31</v>
      </c>
      <c r="K504">
        <v>29.5</v>
      </c>
      <c r="L504">
        <v>28.65</v>
      </c>
      <c r="M504" s="175">
        <v>0.02</v>
      </c>
      <c r="N504" t="s">
        <v>3550</v>
      </c>
    </row>
    <row r="505" spans="1:14">
      <c r="A505">
        <v>1531</v>
      </c>
      <c r="B505" t="s">
        <v>538</v>
      </c>
      <c r="C505">
        <v>12.7</v>
      </c>
      <c r="D505">
        <v>12.1</v>
      </c>
      <c r="E505" s="178">
        <v>-0.6</v>
      </c>
      <c r="F505" s="176">
        <v>-4.72</v>
      </c>
      <c r="G505" t="s">
        <v>6030</v>
      </c>
      <c r="H505">
        <v>905</v>
      </c>
      <c r="I505">
        <v>454</v>
      </c>
      <c r="J505">
        <v>18.21</v>
      </c>
      <c r="K505">
        <v>12.8</v>
      </c>
      <c r="L505">
        <v>11.95</v>
      </c>
      <c r="M505" s="175">
        <v>0.5</v>
      </c>
      <c r="N505" t="s">
        <v>4115</v>
      </c>
    </row>
    <row r="506" spans="1:14">
      <c r="A506">
        <v>1532</v>
      </c>
      <c r="B506" t="s">
        <v>539</v>
      </c>
      <c r="C506">
        <v>22.8</v>
      </c>
      <c r="D506">
        <v>23</v>
      </c>
      <c r="E506" s="178">
        <v>0.1</v>
      </c>
      <c r="F506" s="176">
        <v>0.44</v>
      </c>
      <c r="G506" t="s">
        <v>5583</v>
      </c>
      <c r="H506">
        <v>180</v>
      </c>
      <c r="I506">
        <v>258</v>
      </c>
      <c r="J506">
        <v>42.26</v>
      </c>
      <c r="K506">
        <v>23</v>
      </c>
      <c r="L506">
        <v>22.75</v>
      </c>
      <c r="M506" s="175">
        <v>0.04</v>
      </c>
      <c r="N506" t="s">
        <v>4422</v>
      </c>
    </row>
    <row r="507" spans="1:14">
      <c r="A507">
        <v>1533</v>
      </c>
      <c r="B507" t="s">
        <v>540</v>
      </c>
      <c r="C507">
        <v>32</v>
      </c>
      <c r="D507">
        <v>31.2</v>
      </c>
      <c r="E507" s="178">
        <v>-1</v>
      </c>
      <c r="F507" s="176">
        <v>-3.11</v>
      </c>
      <c r="G507" t="s">
        <v>5303</v>
      </c>
      <c r="H507">
        <v>191</v>
      </c>
      <c r="I507">
        <v>81</v>
      </c>
      <c r="J507">
        <v>9.85</v>
      </c>
      <c r="K507">
        <v>32.1</v>
      </c>
      <c r="L507">
        <v>31.15</v>
      </c>
      <c r="M507" s="175">
        <v>0.19</v>
      </c>
      <c r="N507" t="s">
        <v>3196</v>
      </c>
    </row>
    <row r="508" spans="1:14">
      <c r="A508">
        <v>1535</v>
      </c>
      <c r="B508" t="s">
        <v>541</v>
      </c>
      <c r="C508">
        <v>45.95</v>
      </c>
      <c r="D508">
        <v>45.8</v>
      </c>
      <c r="E508" s="178">
        <v>-0.15</v>
      </c>
      <c r="F508" s="176">
        <v>-0.33</v>
      </c>
      <c r="G508" t="s">
        <v>5792</v>
      </c>
      <c r="H508">
        <v>54</v>
      </c>
      <c r="I508">
        <v>30</v>
      </c>
      <c r="J508">
        <v>12.37</v>
      </c>
      <c r="K508">
        <v>46</v>
      </c>
      <c r="L508">
        <v>45.5</v>
      </c>
      <c r="M508" s="175">
        <v>0.04</v>
      </c>
      <c r="N508" t="s">
        <v>4175</v>
      </c>
    </row>
    <row r="509" spans="1:14">
      <c r="A509">
        <v>1536</v>
      </c>
      <c r="B509" t="s">
        <v>399</v>
      </c>
      <c r="C509">
        <v>50</v>
      </c>
      <c r="D509">
        <v>49.6</v>
      </c>
      <c r="E509" s="178">
        <v>-0.7</v>
      </c>
      <c r="F509" s="176">
        <v>-1.39</v>
      </c>
      <c r="G509" t="s">
        <v>6031</v>
      </c>
      <c r="H509">
        <v>850</v>
      </c>
      <c r="I509">
        <v>844</v>
      </c>
      <c r="J509">
        <v>27.9</v>
      </c>
      <c r="K509">
        <v>50.1</v>
      </c>
      <c r="L509">
        <v>49.4</v>
      </c>
      <c r="M509" s="175">
        <v>0.3</v>
      </c>
      <c r="N509" t="s">
        <v>3909</v>
      </c>
    </row>
    <row r="510" spans="1:14">
      <c r="A510">
        <v>1537</v>
      </c>
      <c r="B510" t="s">
        <v>542</v>
      </c>
      <c r="C510">
        <v>118.5</v>
      </c>
      <c r="D510">
        <v>118.5</v>
      </c>
      <c r="E510" s="178">
        <v>-0.5</v>
      </c>
      <c r="F510" s="176">
        <v>-0.42</v>
      </c>
      <c r="G510" t="s">
        <v>6032</v>
      </c>
      <c r="H510">
        <v>117</v>
      </c>
      <c r="I510">
        <v>140</v>
      </c>
      <c r="J510">
        <v>8.2100000000000009</v>
      </c>
      <c r="K510">
        <v>119</v>
      </c>
      <c r="L510">
        <v>118.5</v>
      </c>
      <c r="M510" s="175">
        <v>0.14000000000000001</v>
      </c>
      <c r="N510" t="s">
        <v>1575</v>
      </c>
    </row>
    <row r="511" spans="1:14">
      <c r="A511">
        <v>1538</v>
      </c>
      <c r="B511" t="s">
        <v>4238</v>
      </c>
      <c r="C511" t="s">
        <v>1667</v>
      </c>
      <c r="D511" t="s">
        <v>1667</v>
      </c>
      <c r="E511" s="178" t="s">
        <v>1667</v>
      </c>
      <c r="F511" s="176" t="s">
        <v>1667</v>
      </c>
      <c r="G511" t="s">
        <v>1667</v>
      </c>
      <c r="H511">
        <v>0</v>
      </c>
      <c r="I511">
        <v>1</v>
      </c>
      <c r="J511">
        <v>3.23</v>
      </c>
      <c r="K511" t="s">
        <v>1667</v>
      </c>
      <c r="L511" t="s">
        <v>1667</v>
      </c>
      <c r="M511" s="175">
        <v>0</v>
      </c>
      <c r="N511" t="s">
        <v>4239</v>
      </c>
    </row>
    <row r="512" spans="1:14">
      <c r="A512">
        <v>1539</v>
      </c>
      <c r="B512" t="s">
        <v>543</v>
      </c>
      <c r="C512">
        <v>15.8</v>
      </c>
      <c r="D512">
        <v>15.6</v>
      </c>
      <c r="E512" s="178">
        <v>-0.05</v>
      </c>
      <c r="F512" s="176">
        <v>-0.32</v>
      </c>
      <c r="G512" t="s">
        <v>5570</v>
      </c>
      <c r="H512">
        <v>23</v>
      </c>
      <c r="I512">
        <v>32</v>
      </c>
      <c r="J512">
        <v>6.54</v>
      </c>
      <c r="K512">
        <v>15.8</v>
      </c>
      <c r="L512">
        <v>15.55</v>
      </c>
      <c r="M512" s="175">
        <v>0.04</v>
      </c>
      <c r="N512" t="s">
        <v>3933</v>
      </c>
    </row>
    <row r="513" spans="1:14">
      <c r="A513">
        <v>1540</v>
      </c>
      <c r="B513" t="s">
        <v>544</v>
      </c>
      <c r="C513">
        <v>19.5</v>
      </c>
      <c r="D513">
        <v>19.5</v>
      </c>
      <c r="E513" s="178">
        <v>0.15</v>
      </c>
      <c r="F513" s="176">
        <v>0.78</v>
      </c>
      <c r="G513" t="s">
        <v>5343</v>
      </c>
      <c r="H513">
        <v>80</v>
      </c>
      <c r="I513">
        <v>86</v>
      </c>
      <c r="J513">
        <v>8.5500000000000007</v>
      </c>
      <c r="K513">
        <v>19.5</v>
      </c>
      <c r="L513">
        <v>19.350000000000001</v>
      </c>
      <c r="M513" s="175">
        <v>0.09</v>
      </c>
      <c r="N513" t="s">
        <v>3849</v>
      </c>
    </row>
    <row r="514" spans="1:14">
      <c r="A514">
        <v>1541</v>
      </c>
      <c r="B514" t="s">
        <v>545</v>
      </c>
      <c r="C514">
        <v>22.25</v>
      </c>
      <c r="D514">
        <v>21.7</v>
      </c>
      <c r="E514" s="178">
        <v>0</v>
      </c>
      <c r="F514" s="176">
        <v>0</v>
      </c>
      <c r="G514" t="s">
        <v>5706</v>
      </c>
      <c r="H514">
        <v>17</v>
      </c>
      <c r="I514">
        <v>11</v>
      </c>
      <c r="J514">
        <v>7.88</v>
      </c>
      <c r="K514">
        <v>22.25</v>
      </c>
      <c r="L514">
        <v>21.4</v>
      </c>
      <c r="M514" s="175">
        <v>0.02</v>
      </c>
      <c r="N514" t="s">
        <v>4493</v>
      </c>
    </row>
    <row r="515" spans="1:14">
      <c r="A515">
        <v>1558</v>
      </c>
      <c r="B515" t="s">
        <v>546</v>
      </c>
      <c r="C515">
        <v>102</v>
      </c>
      <c r="D515">
        <v>103.5</v>
      </c>
      <c r="E515" s="178">
        <v>1.5</v>
      </c>
      <c r="F515" s="176">
        <v>1.47</v>
      </c>
      <c r="G515" t="s">
        <v>6033</v>
      </c>
      <c r="H515">
        <v>87</v>
      </c>
      <c r="I515">
        <v>95</v>
      </c>
      <c r="J515">
        <v>6.45</v>
      </c>
      <c r="K515">
        <v>103.5</v>
      </c>
      <c r="L515">
        <v>102</v>
      </c>
      <c r="M515" s="175">
        <v>0.13</v>
      </c>
      <c r="N515" t="s">
        <v>3049</v>
      </c>
    </row>
    <row r="516" spans="1:14">
      <c r="A516">
        <v>1560</v>
      </c>
      <c r="B516" t="s">
        <v>547</v>
      </c>
      <c r="C516">
        <v>685</v>
      </c>
      <c r="D516">
        <v>683</v>
      </c>
      <c r="E516" s="178">
        <v>-12</v>
      </c>
      <c r="F516" s="176">
        <v>-1.73</v>
      </c>
      <c r="G516" t="s">
        <v>5598</v>
      </c>
      <c r="H516">
        <v>895</v>
      </c>
      <c r="I516">
        <v>601</v>
      </c>
      <c r="J516">
        <v>15.08</v>
      </c>
      <c r="K516">
        <v>687</v>
      </c>
      <c r="L516">
        <v>663</v>
      </c>
      <c r="M516" s="175">
        <v>0.6</v>
      </c>
      <c r="N516" t="s">
        <v>3606</v>
      </c>
    </row>
    <row r="517" spans="1:14">
      <c r="A517">
        <v>1565</v>
      </c>
      <c r="B517" t="s">
        <v>548</v>
      </c>
      <c r="C517">
        <v>96.7</v>
      </c>
      <c r="D517">
        <v>98.4</v>
      </c>
      <c r="E517" s="178">
        <v>0.6</v>
      </c>
      <c r="F517" s="176">
        <v>0.61</v>
      </c>
      <c r="G517" t="s">
        <v>6034</v>
      </c>
      <c r="H517">
        <v>97</v>
      </c>
      <c r="I517">
        <v>177</v>
      </c>
      <c r="J517">
        <v>5.04</v>
      </c>
      <c r="K517">
        <v>98.8</v>
      </c>
      <c r="L517">
        <v>96.7</v>
      </c>
      <c r="M517" s="175">
        <v>0.19</v>
      </c>
      <c r="N517" t="s">
        <v>4983</v>
      </c>
    </row>
    <row r="518" spans="1:14">
      <c r="A518">
        <v>1568</v>
      </c>
      <c r="B518" t="s">
        <v>549</v>
      </c>
      <c r="C518">
        <v>29.1</v>
      </c>
      <c r="D518">
        <v>28.7</v>
      </c>
      <c r="E518" s="178">
        <v>-0.4</v>
      </c>
      <c r="F518" s="176">
        <v>-1.37</v>
      </c>
      <c r="G518" t="s">
        <v>5279</v>
      </c>
      <c r="H518">
        <v>152</v>
      </c>
      <c r="I518">
        <v>160</v>
      </c>
      <c r="J518">
        <v>10.31</v>
      </c>
      <c r="K518">
        <v>29.1</v>
      </c>
      <c r="L518">
        <v>28.4</v>
      </c>
      <c r="M518" s="175">
        <v>0.15</v>
      </c>
      <c r="N518" t="s">
        <v>2009</v>
      </c>
    </row>
    <row r="519" spans="1:14">
      <c r="A519">
        <v>1569</v>
      </c>
      <c r="B519" t="s">
        <v>550</v>
      </c>
      <c r="C519">
        <v>46.3</v>
      </c>
      <c r="D519">
        <v>45.8</v>
      </c>
      <c r="E519" s="178">
        <v>-0.5</v>
      </c>
      <c r="F519" s="176">
        <v>-1.08</v>
      </c>
      <c r="G519" t="s">
        <v>5696</v>
      </c>
      <c r="H519">
        <v>430</v>
      </c>
      <c r="I519">
        <v>419</v>
      </c>
      <c r="J519">
        <v>14.42</v>
      </c>
      <c r="K519">
        <v>46.95</v>
      </c>
      <c r="L519">
        <v>45.4</v>
      </c>
      <c r="M519" s="175">
        <v>0.3</v>
      </c>
      <c r="N519" t="s">
        <v>4909</v>
      </c>
    </row>
    <row r="520" spans="1:14">
      <c r="A520">
        <v>1570</v>
      </c>
      <c r="B520" t="s">
        <v>4624</v>
      </c>
      <c r="C520">
        <v>33.1</v>
      </c>
      <c r="D520">
        <v>33.200000000000003</v>
      </c>
      <c r="E520" s="178">
        <v>-0.45</v>
      </c>
      <c r="F520" s="176">
        <v>-1.34</v>
      </c>
      <c r="G520" t="s">
        <v>6035</v>
      </c>
      <c r="H520">
        <v>27</v>
      </c>
      <c r="I520">
        <v>48</v>
      </c>
      <c r="J520">
        <v>5.15</v>
      </c>
      <c r="K520">
        <v>33.200000000000003</v>
      </c>
      <c r="L520">
        <v>33</v>
      </c>
      <c r="M520" s="175">
        <v>0.05</v>
      </c>
      <c r="N520" t="s">
        <v>4625</v>
      </c>
    </row>
    <row r="521" spans="1:14">
      <c r="A521">
        <v>1580</v>
      </c>
      <c r="B521" t="s">
        <v>4626</v>
      </c>
      <c r="C521">
        <v>106.5</v>
      </c>
      <c r="D521">
        <v>106</v>
      </c>
      <c r="E521" s="178">
        <v>-0.5</v>
      </c>
      <c r="F521" s="176">
        <v>-0.47</v>
      </c>
      <c r="G521" t="s">
        <v>5265</v>
      </c>
      <c r="H521">
        <v>44</v>
      </c>
      <c r="I521">
        <v>51</v>
      </c>
      <c r="J521">
        <v>4.93</v>
      </c>
      <c r="K521">
        <v>106.5</v>
      </c>
      <c r="L521">
        <v>105.5</v>
      </c>
      <c r="M521" s="175">
        <v>0.09</v>
      </c>
      <c r="N521" t="s">
        <v>4627</v>
      </c>
    </row>
    <row r="522" spans="1:14">
      <c r="A522">
        <v>1582</v>
      </c>
      <c r="B522" t="s">
        <v>551</v>
      </c>
      <c r="C522">
        <v>76.7</v>
      </c>
      <c r="D522">
        <v>76.5</v>
      </c>
      <c r="E522" s="178">
        <v>-0.3</v>
      </c>
      <c r="F522" s="176">
        <v>-0.39</v>
      </c>
      <c r="G522" t="s">
        <v>6036</v>
      </c>
      <c r="H522">
        <v>653</v>
      </c>
      <c r="I522">
        <v>690</v>
      </c>
      <c r="J522">
        <v>14.43</v>
      </c>
      <c r="K522">
        <v>77.2</v>
      </c>
      <c r="L522">
        <v>76.099999999999994</v>
      </c>
      <c r="M522" s="175">
        <v>0.45</v>
      </c>
      <c r="N522" t="s">
        <v>4910</v>
      </c>
    </row>
    <row r="523" spans="1:14">
      <c r="A523">
        <v>1583</v>
      </c>
      <c r="B523" t="s">
        <v>552</v>
      </c>
      <c r="C523">
        <v>48.35</v>
      </c>
      <c r="D523">
        <v>48.05</v>
      </c>
      <c r="E523" s="178">
        <v>-0.85</v>
      </c>
      <c r="F523" s="176">
        <v>-1.74</v>
      </c>
      <c r="G523" t="s">
        <v>6003</v>
      </c>
      <c r="H523">
        <v>31</v>
      </c>
      <c r="I523">
        <v>41</v>
      </c>
      <c r="J523">
        <v>11.92</v>
      </c>
      <c r="K523">
        <v>48.35</v>
      </c>
      <c r="L523">
        <v>48</v>
      </c>
      <c r="M523" s="175">
        <v>0.03</v>
      </c>
      <c r="N523" t="s">
        <v>3197</v>
      </c>
    </row>
    <row r="524" spans="1:14">
      <c r="A524">
        <v>1584</v>
      </c>
      <c r="B524" t="s">
        <v>553</v>
      </c>
      <c r="C524">
        <v>18.3</v>
      </c>
      <c r="D524">
        <v>18</v>
      </c>
      <c r="E524" s="178">
        <v>-0.2</v>
      </c>
      <c r="F524" s="176">
        <v>-1.1000000000000001</v>
      </c>
      <c r="G524" t="s">
        <v>5971</v>
      </c>
      <c r="H524">
        <v>249</v>
      </c>
      <c r="I524">
        <v>426</v>
      </c>
      <c r="J524">
        <v>23.25</v>
      </c>
      <c r="K524">
        <v>18.3</v>
      </c>
      <c r="L524">
        <v>17.95</v>
      </c>
      <c r="M524" s="175">
        <v>0.11</v>
      </c>
      <c r="N524" t="s">
        <v>4176</v>
      </c>
    </row>
    <row r="525" spans="1:14">
      <c r="A525">
        <v>1586</v>
      </c>
      <c r="B525" t="s">
        <v>554</v>
      </c>
      <c r="C525">
        <v>18.05</v>
      </c>
      <c r="D525">
        <v>18.100000000000001</v>
      </c>
      <c r="E525" s="178">
        <v>0.05</v>
      </c>
      <c r="F525" s="176">
        <v>0.28000000000000003</v>
      </c>
      <c r="G525" t="s">
        <v>5564</v>
      </c>
      <c r="H525">
        <v>132</v>
      </c>
      <c r="I525">
        <v>355</v>
      </c>
      <c r="J525">
        <v>12.95</v>
      </c>
      <c r="K525">
        <v>18.149999999999999</v>
      </c>
      <c r="L525">
        <v>18.05</v>
      </c>
      <c r="M525" s="175">
        <v>0.1</v>
      </c>
      <c r="N525" t="s">
        <v>1576</v>
      </c>
    </row>
    <row r="526" spans="1:14">
      <c r="A526">
        <v>1587</v>
      </c>
      <c r="B526" t="s">
        <v>319</v>
      </c>
      <c r="C526">
        <v>24.3</v>
      </c>
      <c r="D526">
        <v>24.25</v>
      </c>
      <c r="E526" s="178">
        <v>-0.05</v>
      </c>
      <c r="F526" s="176">
        <v>-0.21</v>
      </c>
      <c r="G526" t="s">
        <v>5690</v>
      </c>
      <c r="H526">
        <v>130</v>
      </c>
      <c r="I526">
        <v>114</v>
      </c>
      <c r="J526">
        <v>8.01</v>
      </c>
      <c r="K526">
        <v>24.6</v>
      </c>
      <c r="L526">
        <v>24</v>
      </c>
      <c r="M526" s="175">
        <v>0.16</v>
      </c>
      <c r="N526" t="s">
        <v>1577</v>
      </c>
    </row>
    <row r="527" spans="1:14">
      <c r="A527">
        <v>1590</v>
      </c>
      <c r="B527" t="s">
        <v>555</v>
      </c>
      <c r="C527">
        <v>1385</v>
      </c>
      <c r="D527">
        <v>1425</v>
      </c>
      <c r="E527" s="178">
        <v>10</v>
      </c>
      <c r="F527" s="176">
        <v>0.71</v>
      </c>
      <c r="G527" t="s">
        <v>6037</v>
      </c>
      <c r="H527">
        <v>607</v>
      </c>
      <c r="I527">
        <v>576</v>
      </c>
      <c r="J527">
        <v>20</v>
      </c>
      <c r="K527">
        <v>1430</v>
      </c>
      <c r="L527">
        <v>1365</v>
      </c>
      <c r="M527" s="175">
        <v>0.3</v>
      </c>
      <c r="N527" t="s">
        <v>3850</v>
      </c>
    </row>
    <row r="528" spans="1:14">
      <c r="A528">
        <v>1591</v>
      </c>
      <c r="B528" t="s">
        <v>5181</v>
      </c>
      <c r="C528">
        <v>36.5</v>
      </c>
      <c r="D528">
        <v>36.75</v>
      </c>
      <c r="E528" s="178">
        <v>0.7</v>
      </c>
      <c r="F528" s="176">
        <v>1.94</v>
      </c>
      <c r="G528" t="s">
        <v>6038</v>
      </c>
      <c r="H528">
        <v>239</v>
      </c>
      <c r="I528">
        <v>191</v>
      </c>
      <c r="J528">
        <v>3.8</v>
      </c>
      <c r="K528">
        <v>37.65</v>
      </c>
      <c r="L528">
        <v>36.1</v>
      </c>
      <c r="M528" s="175">
        <v>0.63</v>
      </c>
      <c r="N528" t="s">
        <v>5182</v>
      </c>
    </row>
    <row r="529" spans="1:14">
      <c r="A529">
        <v>1593</v>
      </c>
      <c r="B529" t="s">
        <v>195</v>
      </c>
      <c r="C529">
        <v>31.65</v>
      </c>
      <c r="D529">
        <v>31.6</v>
      </c>
      <c r="E529" s="178">
        <v>-0.05</v>
      </c>
      <c r="F529" s="176">
        <v>-0.16</v>
      </c>
      <c r="G529" t="s">
        <v>5537</v>
      </c>
      <c r="H529">
        <v>7</v>
      </c>
      <c r="I529">
        <v>20</v>
      </c>
      <c r="J529">
        <v>3.98</v>
      </c>
      <c r="K529">
        <v>31.65</v>
      </c>
      <c r="L529">
        <v>31.6</v>
      </c>
      <c r="M529" s="175">
        <v>0.02</v>
      </c>
      <c r="N529" t="s">
        <v>4023</v>
      </c>
    </row>
    <row r="530" spans="1:14">
      <c r="A530">
        <v>1595</v>
      </c>
      <c r="B530" t="s">
        <v>556</v>
      </c>
      <c r="C530">
        <v>66</v>
      </c>
      <c r="D530">
        <v>64</v>
      </c>
      <c r="E530" s="178">
        <v>-2</v>
      </c>
      <c r="F530" s="176">
        <v>-3.03</v>
      </c>
      <c r="G530" t="s">
        <v>6039</v>
      </c>
      <c r="H530">
        <v>274</v>
      </c>
      <c r="I530">
        <v>163</v>
      </c>
      <c r="J530">
        <v>5.77</v>
      </c>
      <c r="K530">
        <v>67.3</v>
      </c>
      <c r="L530">
        <v>63.4</v>
      </c>
      <c r="M530" s="175">
        <v>0.49</v>
      </c>
      <c r="N530" t="s">
        <v>1578</v>
      </c>
    </row>
    <row r="531" spans="1:14">
      <c r="A531">
        <v>1597</v>
      </c>
      <c r="B531" t="s">
        <v>557</v>
      </c>
      <c r="C531">
        <v>148.5</v>
      </c>
      <c r="D531">
        <v>138.5</v>
      </c>
      <c r="E531" s="178">
        <v>-13.5</v>
      </c>
      <c r="F531" s="176">
        <v>-8.8800000000000008</v>
      </c>
      <c r="G531" t="s">
        <v>6040</v>
      </c>
      <c r="H531">
        <v>4201</v>
      </c>
      <c r="I531">
        <v>2247</v>
      </c>
      <c r="J531">
        <v>8.93</v>
      </c>
      <c r="K531">
        <v>153</v>
      </c>
      <c r="L531">
        <v>137</v>
      </c>
      <c r="M531" s="175">
        <v>4.71</v>
      </c>
      <c r="N531" t="s">
        <v>2240</v>
      </c>
    </row>
    <row r="532" spans="1:14">
      <c r="A532">
        <v>1598</v>
      </c>
      <c r="B532" t="s">
        <v>558</v>
      </c>
      <c r="C532">
        <v>20.7</v>
      </c>
      <c r="D532">
        <v>20.25</v>
      </c>
      <c r="E532" s="178">
        <v>-0.35</v>
      </c>
      <c r="F532" s="176">
        <v>-1.7</v>
      </c>
      <c r="G532" t="s">
        <v>6041</v>
      </c>
      <c r="H532">
        <v>116</v>
      </c>
      <c r="I532">
        <v>272</v>
      </c>
      <c r="J532">
        <v>17.91</v>
      </c>
      <c r="K532">
        <v>20.7</v>
      </c>
      <c r="L532">
        <v>20.25</v>
      </c>
      <c r="M532" s="175">
        <v>0.06</v>
      </c>
      <c r="N532" t="s">
        <v>4024</v>
      </c>
    </row>
    <row r="533" spans="1:14">
      <c r="A533">
        <v>1599</v>
      </c>
      <c r="B533" t="s">
        <v>559</v>
      </c>
      <c r="C533">
        <v>23.1</v>
      </c>
      <c r="D533">
        <v>22.9</v>
      </c>
      <c r="E533" s="178">
        <v>-0.2</v>
      </c>
      <c r="F533" s="176">
        <v>-0.87</v>
      </c>
      <c r="G533" t="s">
        <v>5650</v>
      </c>
      <c r="H533">
        <v>37</v>
      </c>
      <c r="I533">
        <v>19</v>
      </c>
      <c r="J533">
        <v>7.3</v>
      </c>
      <c r="K533">
        <v>23.1</v>
      </c>
      <c r="L533">
        <v>22.8</v>
      </c>
      <c r="M533" s="175">
        <v>0.05</v>
      </c>
      <c r="N533" t="s">
        <v>1579</v>
      </c>
    </row>
    <row r="534" spans="1:14">
      <c r="A534">
        <v>1603</v>
      </c>
      <c r="B534" t="s">
        <v>560</v>
      </c>
      <c r="C534">
        <v>30.7</v>
      </c>
      <c r="D534">
        <v>30.55</v>
      </c>
      <c r="E534" s="178">
        <v>-0.5</v>
      </c>
      <c r="F534" s="176">
        <v>-1.61</v>
      </c>
      <c r="G534" t="s">
        <v>6042</v>
      </c>
      <c r="H534">
        <v>199</v>
      </c>
      <c r="I534">
        <v>132</v>
      </c>
      <c r="J534">
        <v>19.170000000000002</v>
      </c>
      <c r="K534">
        <v>30.9</v>
      </c>
      <c r="L534">
        <v>30.35</v>
      </c>
      <c r="M534" s="175">
        <v>0.1</v>
      </c>
      <c r="N534" t="s">
        <v>1580</v>
      </c>
    </row>
    <row r="535" spans="1:14">
      <c r="A535">
        <v>1604</v>
      </c>
      <c r="B535" t="s">
        <v>561</v>
      </c>
      <c r="C535">
        <v>23.15</v>
      </c>
      <c r="D535">
        <v>23.25</v>
      </c>
      <c r="E535" s="178">
        <v>0</v>
      </c>
      <c r="F535" s="176">
        <v>0</v>
      </c>
      <c r="G535" t="s">
        <v>5535</v>
      </c>
      <c r="H535">
        <v>232</v>
      </c>
      <c r="I535">
        <v>129</v>
      </c>
      <c r="J535">
        <v>38.42</v>
      </c>
      <c r="K535">
        <v>23.25</v>
      </c>
      <c r="L535">
        <v>23.05</v>
      </c>
      <c r="M535" s="175">
        <v>0.06</v>
      </c>
      <c r="N535" t="s">
        <v>3851</v>
      </c>
    </row>
    <row r="536" spans="1:14">
      <c r="A536">
        <v>1605</v>
      </c>
      <c r="B536" t="s">
        <v>562</v>
      </c>
      <c r="C536">
        <v>38.799999999999997</v>
      </c>
      <c r="D536">
        <v>39.200000000000003</v>
      </c>
      <c r="E536" s="178">
        <v>0.2</v>
      </c>
      <c r="F536" s="176">
        <v>0.51</v>
      </c>
      <c r="G536" t="s">
        <v>6043</v>
      </c>
      <c r="H536">
        <v>22140</v>
      </c>
      <c r="I536">
        <v>27745</v>
      </c>
      <c r="J536">
        <v>443.13</v>
      </c>
      <c r="K536">
        <v>39.200000000000003</v>
      </c>
      <c r="L536">
        <v>38.25</v>
      </c>
      <c r="M536" s="175">
        <v>0.5</v>
      </c>
      <c r="N536" t="s">
        <v>3936</v>
      </c>
    </row>
    <row r="537" spans="1:14">
      <c r="A537">
        <v>1608</v>
      </c>
      <c r="B537" t="s">
        <v>563</v>
      </c>
      <c r="C537">
        <v>37.549999999999997</v>
      </c>
      <c r="D537">
        <v>37.700000000000003</v>
      </c>
      <c r="E537" s="178">
        <v>-0.15</v>
      </c>
      <c r="F537" s="176">
        <v>-0.4</v>
      </c>
      <c r="G537" t="s">
        <v>5203</v>
      </c>
      <c r="H537">
        <v>3240</v>
      </c>
      <c r="I537">
        <v>6182</v>
      </c>
      <c r="J537">
        <v>63.28</v>
      </c>
      <c r="K537">
        <v>37.950000000000003</v>
      </c>
      <c r="L537">
        <v>36.950000000000003</v>
      </c>
      <c r="M537" s="175">
        <v>0.51</v>
      </c>
      <c r="N537" t="s">
        <v>1581</v>
      </c>
    </row>
    <row r="538" spans="1:14">
      <c r="A538">
        <v>1609</v>
      </c>
      <c r="B538" t="s">
        <v>564</v>
      </c>
      <c r="C538">
        <v>38</v>
      </c>
      <c r="D538">
        <v>37.6</v>
      </c>
      <c r="E538" s="178">
        <v>-0.5</v>
      </c>
      <c r="F538" s="176">
        <v>-1.31</v>
      </c>
      <c r="G538" t="s">
        <v>5110</v>
      </c>
      <c r="H538">
        <v>2758</v>
      </c>
      <c r="I538">
        <v>4171</v>
      </c>
      <c r="J538">
        <v>78.53</v>
      </c>
      <c r="K538">
        <v>38</v>
      </c>
      <c r="L538">
        <v>37.35</v>
      </c>
      <c r="M538" s="175">
        <v>0.35</v>
      </c>
      <c r="N538" t="s">
        <v>4423</v>
      </c>
    </row>
    <row r="539" spans="1:14">
      <c r="A539">
        <v>1611</v>
      </c>
      <c r="B539" t="s">
        <v>565</v>
      </c>
      <c r="C539">
        <v>11.9</v>
      </c>
      <c r="D539">
        <v>11.95</v>
      </c>
      <c r="E539" s="178">
        <v>0</v>
      </c>
      <c r="F539" s="176">
        <v>0</v>
      </c>
      <c r="G539" t="s">
        <v>5852</v>
      </c>
      <c r="H539">
        <v>453</v>
      </c>
      <c r="I539">
        <v>663</v>
      </c>
      <c r="J539">
        <v>32.270000000000003</v>
      </c>
      <c r="K539">
        <v>11.95</v>
      </c>
      <c r="L539">
        <v>11.8</v>
      </c>
      <c r="M539" s="175">
        <v>0.14000000000000001</v>
      </c>
      <c r="N539" t="s">
        <v>3198</v>
      </c>
    </row>
    <row r="540" spans="1:14">
      <c r="A540">
        <v>1612</v>
      </c>
      <c r="B540" t="s">
        <v>566</v>
      </c>
      <c r="C540">
        <v>35.200000000000003</v>
      </c>
      <c r="D540">
        <v>35.1</v>
      </c>
      <c r="E540" s="178">
        <v>-0.1</v>
      </c>
      <c r="F540" s="176">
        <v>-0.28000000000000003</v>
      </c>
      <c r="G540" t="s">
        <v>6044</v>
      </c>
      <c r="H540">
        <v>374</v>
      </c>
      <c r="I540">
        <v>760</v>
      </c>
      <c r="J540">
        <v>31.61</v>
      </c>
      <c r="K540">
        <v>35.200000000000003</v>
      </c>
      <c r="L540">
        <v>34.85</v>
      </c>
      <c r="M540" s="175">
        <v>0.12</v>
      </c>
      <c r="N540" t="s">
        <v>3852</v>
      </c>
    </row>
    <row r="541" spans="1:14">
      <c r="A541">
        <v>1614</v>
      </c>
      <c r="B541" t="s">
        <v>567</v>
      </c>
      <c r="C541">
        <v>30.65</v>
      </c>
      <c r="D541">
        <v>30.6</v>
      </c>
      <c r="E541" s="178">
        <v>-0.05</v>
      </c>
      <c r="F541" s="176">
        <v>-0.16</v>
      </c>
      <c r="G541" t="s">
        <v>5221</v>
      </c>
      <c r="H541">
        <v>44</v>
      </c>
      <c r="I541">
        <v>34</v>
      </c>
      <c r="J541">
        <v>26.91</v>
      </c>
      <c r="K541">
        <v>30.8</v>
      </c>
      <c r="L541">
        <v>30.55</v>
      </c>
      <c r="M541" s="175">
        <v>0.02</v>
      </c>
      <c r="N541" t="s">
        <v>3851</v>
      </c>
    </row>
    <row r="542" spans="1:14">
      <c r="A542">
        <v>1615</v>
      </c>
      <c r="B542" t="s">
        <v>568</v>
      </c>
      <c r="C542">
        <v>44.05</v>
      </c>
      <c r="D542">
        <v>44.05</v>
      </c>
      <c r="E542" s="178">
        <v>-0.5</v>
      </c>
      <c r="F542" s="176">
        <v>-1.1200000000000001</v>
      </c>
      <c r="G542" t="s">
        <v>5819</v>
      </c>
      <c r="H542">
        <v>95</v>
      </c>
      <c r="I542">
        <v>119</v>
      </c>
      <c r="J542">
        <v>19.86</v>
      </c>
      <c r="K542">
        <v>44.35</v>
      </c>
      <c r="L542">
        <v>43.95</v>
      </c>
      <c r="M542" s="175">
        <v>0.05</v>
      </c>
      <c r="N542" t="s">
        <v>4431</v>
      </c>
    </row>
    <row r="543" spans="1:14">
      <c r="A543">
        <v>1616</v>
      </c>
      <c r="B543" t="s">
        <v>569</v>
      </c>
      <c r="C543">
        <v>19.5</v>
      </c>
      <c r="D543">
        <v>19.55</v>
      </c>
      <c r="E543" s="178">
        <v>-0.25</v>
      </c>
      <c r="F543" s="176">
        <v>-1.26</v>
      </c>
      <c r="G543" t="s">
        <v>5284</v>
      </c>
      <c r="H543">
        <v>182</v>
      </c>
      <c r="I543">
        <v>305</v>
      </c>
      <c r="J543">
        <v>19.41</v>
      </c>
      <c r="K543">
        <v>19.75</v>
      </c>
      <c r="L543">
        <v>19.399999999999999</v>
      </c>
      <c r="M543" s="175">
        <v>0.09</v>
      </c>
      <c r="N543" t="s">
        <v>3607</v>
      </c>
    </row>
    <row r="544" spans="1:14">
      <c r="A544">
        <v>1617</v>
      </c>
      <c r="B544" t="s">
        <v>570</v>
      </c>
      <c r="C544">
        <v>17.55</v>
      </c>
      <c r="D544">
        <v>17.850000000000001</v>
      </c>
      <c r="E544" s="178">
        <v>0.15</v>
      </c>
      <c r="F544" s="176">
        <v>0.85</v>
      </c>
      <c r="G544" t="s">
        <v>6045</v>
      </c>
      <c r="H544">
        <v>358</v>
      </c>
      <c r="I544">
        <v>351</v>
      </c>
      <c r="J544">
        <v>16.95</v>
      </c>
      <c r="K544">
        <v>17.899999999999999</v>
      </c>
      <c r="L544">
        <v>17.25</v>
      </c>
      <c r="M544" s="175">
        <v>0.21</v>
      </c>
      <c r="N544" t="s">
        <v>3161</v>
      </c>
    </row>
    <row r="545" spans="1:14">
      <c r="A545">
        <v>1618</v>
      </c>
      <c r="B545" t="s">
        <v>571</v>
      </c>
      <c r="C545">
        <v>40.6</v>
      </c>
      <c r="D545">
        <v>40.1</v>
      </c>
      <c r="E545" s="178">
        <v>-0.3</v>
      </c>
      <c r="F545" s="176">
        <v>-0.74</v>
      </c>
      <c r="G545" t="s">
        <v>6046</v>
      </c>
      <c r="H545">
        <v>332</v>
      </c>
      <c r="I545">
        <v>653</v>
      </c>
      <c r="J545">
        <v>19.27</v>
      </c>
      <c r="K545">
        <v>40.6</v>
      </c>
      <c r="L545">
        <v>39.950000000000003</v>
      </c>
      <c r="M545" s="175">
        <v>0.17</v>
      </c>
      <c r="N545" t="s">
        <v>3020</v>
      </c>
    </row>
    <row r="546" spans="1:14">
      <c r="A546">
        <v>1623</v>
      </c>
      <c r="B546" t="s">
        <v>4828</v>
      </c>
      <c r="C546">
        <v>201.5</v>
      </c>
      <c r="D546">
        <v>202.5</v>
      </c>
      <c r="E546" s="178">
        <v>0.5</v>
      </c>
      <c r="F546" s="176">
        <v>0.25</v>
      </c>
      <c r="G546" t="s">
        <v>6047</v>
      </c>
      <c r="H546">
        <v>49</v>
      </c>
      <c r="I546">
        <v>88</v>
      </c>
      <c r="J546">
        <v>6.6</v>
      </c>
      <c r="K546">
        <v>202.5</v>
      </c>
      <c r="L546">
        <v>200</v>
      </c>
      <c r="M546" s="175">
        <v>7.0000000000000007E-2</v>
      </c>
      <c r="N546" t="s">
        <v>4431</v>
      </c>
    </row>
    <row r="547" spans="1:14">
      <c r="A547">
        <v>1626</v>
      </c>
      <c r="B547" t="s">
        <v>114</v>
      </c>
      <c r="C547">
        <v>9.65</v>
      </c>
      <c r="D547">
        <v>9.74</v>
      </c>
      <c r="E547" s="178">
        <v>0.05</v>
      </c>
      <c r="F547" s="176">
        <v>0.52</v>
      </c>
      <c r="G547" t="s">
        <v>5992</v>
      </c>
      <c r="H547">
        <v>51</v>
      </c>
      <c r="I547">
        <v>97</v>
      </c>
      <c r="J547">
        <v>14.98</v>
      </c>
      <c r="K547">
        <v>9.74</v>
      </c>
      <c r="L547">
        <v>9.59</v>
      </c>
      <c r="M547" s="175">
        <v>0.03</v>
      </c>
      <c r="N547" t="s">
        <v>2179</v>
      </c>
    </row>
    <row r="548" spans="1:14">
      <c r="A548">
        <v>1702</v>
      </c>
      <c r="B548" t="s">
        <v>572</v>
      </c>
      <c r="C548">
        <v>32.9</v>
      </c>
      <c r="D548">
        <v>32.75</v>
      </c>
      <c r="E548" s="178">
        <v>0</v>
      </c>
      <c r="F548" s="176">
        <v>0</v>
      </c>
      <c r="G548" t="s">
        <v>5293</v>
      </c>
      <c r="H548">
        <v>112</v>
      </c>
      <c r="I548">
        <v>124</v>
      </c>
      <c r="J548">
        <v>29.41</v>
      </c>
      <c r="K548">
        <v>32.9</v>
      </c>
      <c r="L548">
        <v>32.6</v>
      </c>
      <c r="M548" s="175">
        <v>0.04</v>
      </c>
      <c r="N548" t="s">
        <v>3608</v>
      </c>
    </row>
    <row r="549" spans="1:14">
      <c r="A549">
        <v>1707</v>
      </c>
      <c r="B549" t="s">
        <v>573</v>
      </c>
      <c r="C549">
        <v>89.3</v>
      </c>
      <c r="D549">
        <v>89.4</v>
      </c>
      <c r="E549" s="178">
        <v>0.1</v>
      </c>
      <c r="F549" s="176">
        <v>0.11</v>
      </c>
      <c r="G549" t="s">
        <v>5441</v>
      </c>
      <c r="H549">
        <v>3686</v>
      </c>
      <c r="I549">
        <v>493</v>
      </c>
      <c r="J549">
        <v>14.81</v>
      </c>
      <c r="K549">
        <v>90.2</v>
      </c>
      <c r="L549">
        <v>88.8</v>
      </c>
      <c r="M549" s="175">
        <v>2.4900000000000002</v>
      </c>
      <c r="N549" t="s">
        <v>2089</v>
      </c>
    </row>
    <row r="550" spans="1:14">
      <c r="A550">
        <v>1708</v>
      </c>
      <c r="B550" t="s">
        <v>574</v>
      </c>
      <c r="C550">
        <v>50.9</v>
      </c>
      <c r="D550">
        <v>50.6</v>
      </c>
      <c r="E550" s="178">
        <v>-0.4</v>
      </c>
      <c r="F550" s="176">
        <v>-0.78</v>
      </c>
      <c r="G550" t="s">
        <v>5148</v>
      </c>
      <c r="H550">
        <v>2575</v>
      </c>
      <c r="I550">
        <v>3361</v>
      </c>
      <c r="J550">
        <v>24.9</v>
      </c>
      <c r="K550">
        <v>52.2</v>
      </c>
      <c r="L550">
        <v>50.2</v>
      </c>
      <c r="M550" s="175">
        <v>1.03</v>
      </c>
      <c r="N550" t="s">
        <v>4352</v>
      </c>
    </row>
    <row r="551" spans="1:14">
      <c r="A551">
        <v>1709</v>
      </c>
      <c r="B551" t="s">
        <v>575</v>
      </c>
      <c r="C551">
        <v>35.85</v>
      </c>
      <c r="D551">
        <v>33.450000000000003</v>
      </c>
      <c r="E551" s="178">
        <v>-2.7</v>
      </c>
      <c r="F551" s="176">
        <v>-7.47</v>
      </c>
      <c r="G551" t="s">
        <v>5710</v>
      </c>
      <c r="H551">
        <v>12538</v>
      </c>
      <c r="I551">
        <v>19597</v>
      </c>
      <c r="J551">
        <v>47.7</v>
      </c>
      <c r="K551">
        <v>36.25</v>
      </c>
      <c r="L551">
        <v>33.35</v>
      </c>
      <c r="M551" s="175">
        <v>2.63</v>
      </c>
      <c r="N551" t="s">
        <v>1582</v>
      </c>
    </row>
    <row r="552" spans="1:14">
      <c r="A552">
        <v>1710</v>
      </c>
      <c r="B552" t="s">
        <v>576</v>
      </c>
      <c r="C552">
        <v>15.85</v>
      </c>
      <c r="D552">
        <v>16.350000000000001</v>
      </c>
      <c r="E552" s="178">
        <v>0.45</v>
      </c>
      <c r="F552" s="176">
        <v>2.83</v>
      </c>
      <c r="G552" t="s">
        <v>6048</v>
      </c>
      <c r="H552">
        <v>6126</v>
      </c>
      <c r="I552">
        <v>5087</v>
      </c>
      <c r="J552">
        <v>88.57</v>
      </c>
      <c r="K552">
        <v>16.55</v>
      </c>
      <c r="L552">
        <v>15.75</v>
      </c>
      <c r="M552" s="175">
        <v>0.69</v>
      </c>
      <c r="N552" t="s">
        <v>4177</v>
      </c>
    </row>
    <row r="553" spans="1:14">
      <c r="A553">
        <v>1711</v>
      </c>
      <c r="B553" t="s">
        <v>577</v>
      </c>
      <c r="C553">
        <v>43.9</v>
      </c>
      <c r="D553">
        <v>43.35</v>
      </c>
      <c r="E553" s="178">
        <v>-0.55000000000000004</v>
      </c>
      <c r="F553" s="176">
        <v>-1.25</v>
      </c>
      <c r="G553" t="s">
        <v>5373</v>
      </c>
      <c r="H553">
        <v>5343</v>
      </c>
      <c r="I553">
        <v>10378</v>
      </c>
      <c r="J553">
        <v>54.78</v>
      </c>
      <c r="K553">
        <v>44.65</v>
      </c>
      <c r="L553">
        <v>43.05</v>
      </c>
      <c r="M553" s="175">
        <v>0.98</v>
      </c>
      <c r="N553" t="s">
        <v>4911</v>
      </c>
    </row>
    <row r="554" spans="1:14">
      <c r="A554">
        <v>1712</v>
      </c>
      <c r="B554" t="s">
        <v>578</v>
      </c>
      <c r="C554">
        <v>39.799999999999997</v>
      </c>
      <c r="D554">
        <v>39.950000000000003</v>
      </c>
      <c r="E554" s="178">
        <v>0.15</v>
      </c>
      <c r="F554" s="176">
        <v>0.38</v>
      </c>
      <c r="G554" t="s">
        <v>6049</v>
      </c>
      <c r="H554">
        <v>9173</v>
      </c>
      <c r="I554">
        <v>833</v>
      </c>
      <c r="J554">
        <v>42.05</v>
      </c>
      <c r="K554">
        <v>40.049999999999997</v>
      </c>
      <c r="L554">
        <v>39.5</v>
      </c>
      <c r="M554" s="175">
        <v>2.1800000000000002</v>
      </c>
      <c r="N554" t="s">
        <v>4353</v>
      </c>
    </row>
    <row r="555" spans="1:14">
      <c r="A555">
        <v>1713</v>
      </c>
      <c r="B555" t="s">
        <v>579</v>
      </c>
      <c r="C555">
        <v>44.2</v>
      </c>
      <c r="D555">
        <v>44.15</v>
      </c>
      <c r="E555" s="178">
        <v>-0.05</v>
      </c>
      <c r="F555" s="176">
        <v>-0.11</v>
      </c>
      <c r="G555" t="s">
        <v>5279</v>
      </c>
      <c r="H555">
        <v>99</v>
      </c>
      <c r="I555">
        <v>85</v>
      </c>
      <c r="J555">
        <v>15.1</v>
      </c>
      <c r="K555">
        <v>44.3</v>
      </c>
      <c r="L555">
        <v>43.8</v>
      </c>
      <c r="M555" s="175">
        <v>7.0000000000000007E-2</v>
      </c>
      <c r="N555" t="s">
        <v>4912</v>
      </c>
    </row>
    <row r="556" spans="1:14">
      <c r="A556">
        <v>1714</v>
      </c>
      <c r="B556" t="s">
        <v>580</v>
      </c>
      <c r="C556">
        <v>16.55</v>
      </c>
      <c r="D556">
        <v>16.899999999999999</v>
      </c>
      <c r="E556" s="178">
        <v>0.2</v>
      </c>
      <c r="F556" s="176">
        <v>1.2</v>
      </c>
      <c r="G556" t="s">
        <v>5269</v>
      </c>
      <c r="H556">
        <v>9926</v>
      </c>
      <c r="I556">
        <v>9903</v>
      </c>
      <c r="J556">
        <v>99.18</v>
      </c>
      <c r="K556">
        <v>16.95</v>
      </c>
      <c r="L556">
        <v>16.55</v>
      </c>
      <c r="M556" s="175">
        <v>1</v>
      </c>
      <c r="N556" t="s">
        <v>3509</v>
      </c>
    </row>
    <row r="557" spans="1:14">
      <c r="A557">
        <v>1717</v>
      </c>
      <c r="B557" t="s">
        <v>2180</v>
      </c>
      <c r="C557">
        <v>77.599999999999994</v>
      </c>
      <c r="D557">
        <v>82.5</v>
      </c>
      <c r="E557" s="178">
        <v>4.8</v>
      </c>
      <c r="F557" s="176">
        <v>6.18</v>
      </c>
      <c r="G557" t="s">
        <v>6050</v>
      </c>
      <c r="H557">
        <v>52822</v>
      </c>
      <c r="I557">
        <v>16179</v>
      </c>
      <c r="J557">
        <v>118.42</v>
      </c>
      <c r="K557">
        <v>84.5</v>
      </c>
      <c r="L557">
        <v>76.400000000000006</v>
      </c>
      <c r="M557" s="175">
        <v>4.46</v>
      </c>
      <c r="N557" t="s">
        <v>4913</v>
      </c>
    </row>
    <row r="558" spans="1:14">
      <c r="A558">
        <v>1718</v>
      </c>
      <c r="B558" t="s">
        <v>581</v>
      </c>
      <c r="C558">
        <v>10.7</v>
      </c>
      <c r="D558">
        <v>10.9</v>
      </c>
      <c r="E558" s="178">
        <v>0.15</v>
      </c>
      <c r="F558" s="176">
        <v>1.4</v>
      </c>
      <c r="G558" t="s">
        <v>6051</v>
      </c>
      <c r="H558">
        <v>13527</v>
      </c>
      <c r="I558">
        <v>17562</v>
      </c>
      <c r="J558">
        <v>168.59</v>
      </c>
      <c r="K558">
        <v>10.95</v>
      </c>
      <c r="L558">
        <v>10.6</v>
      </c>
      <c r="M558" s="175">
        <v>0.8</v>
      </c>
      <c r="N558" t="s">
        <v>2078</v>
      </c>
    </row>
    <row r="559" spans="1:14">
      <c r="A559">
        <v>1720</v>
      </c>
      <c r="B559" t="s">
        <v>582</v>
      </c>
      <c r="C559">
        <v>56.5</v>
      </c>
      <c r="D559">
        <v>56.7</v>
      </c>
      <c r="E559" s="178">
        <v>0.3</v>
      </c>
      <c r="F559" s="176">
        <v>0.53</v>
      </c>
      <c r="G559" t="s">
        <v>6052</v>
      </c>
      <c r="H559">
        <v>173</v>
      </c>
      <c r="I559">
        <v>174</v>
      </c>
      <c r="J559">
        <v>19.66</v>
      </c>
      <c r="K559">
        <v>56.8</v>
      </c>
      <c r="L559">
        <v>56.2</v>
      </c>
      <c r="M559" s="175">
        <v>0.09</v>
      </c>
      <c r="N559" t="s">
        <v>3083</v>
      </c>
    </row>
    <row r="560" spans="1:14">
      <c r="A560">
        <v>1721</v>
      </c>
      <c r="B560" t="s">
        <v>583</v>
      </c>
      <c r="C560">
        <v>20.3</v>
      </c>
      <c r="D560">
        <v>20.55</v>
      </c>
      <c r="E560" s="178">
        <v>0.15</v>
      </c>
      <c r="F560" s="176">
        <v>0.74</v>
      </c>
      <c r="G560" t="s">
        <v>6053</v>
      </c>
      <c r="H560">
        <v>626</v>
      </c>
      <c r="I560">
        <v>517</v>
      </c>
      <c r="J560">
        <v>18.489999999999998</v>
      </c>
      <c r="K560">
        <v>20.9</v>
      </c>
      <c r="L560">
        <v>19.45</v>
      </c>
      <c r="M560" s="175">
        <v>0.34</v>
      </c>
      <c r="N560" t="s">
        <v>3372</v>
      </c>
    </row>
    <row r="561" spans="1:14">
      <c r="A561">
        <v>1722</v>
      </c>
      <c r="B561" t="s">
        <v>584</v>
      </c>
      <c r="C561">
        <v>44.9</v>
      </c>
      <c r="D561">
        <v>44.55</v>
      </c>
      <c r="E561" s="178">
        <v>-0.05</v>
      </c>
      <c r="F561" s="176">
        <v>-0.11</v>
      </c>
      <c r="G561" t="s">
        <v>5269</v>
      </c>
      <c r="H561">
        <v>3729</v>
      </c>
      <c r="I561">
        <v>2578</v>
      </c>
      <c r="J561">
        <v>98</v>
      </c>
      <c r="K561">
        <v>44.9</v>
      </c>
      <c r="L561">
        <v>44.5</v>
      </c>
      <c r="M561" s="175">
        <v>0.38</v>
      </c>
      <c r="N561" t="s">
        <v>3352</v>
      </c>
    </row>
    <row r="562" spans="1:14">
      <c r="A562">
        <v>1723</v>
      </c>
      <c r="B562" t="s">
        <v>585</v>
      </c>
      <c r="C562">
        <v>86.6</v>
      </c>
      <c r="D562">
        <v>86.1</v>
      </c>
      <c r="E562" s="178">
        <v>-0.2</v>
      </c>
      <c r="F562" s="176">
        <v>-0.23</v>
      </c>
      <c r="G562" t="s">
        <v>6054</v>
      </c>
      <c r="H562">
        <v>309</v>
      </c>
      <c r="I562">
        <v>412</v>
      </c>
      <c r="J562">
        <v>23.69</v>
      </c>
      <c r="K562">
        <v>87.5</v>
      </c>
      <c r="L562">
        <v>86</v>
      </c>
      <c r="M562" s="175">
        <v>0.13</v>
      </c>
      <c r="N562" t="s">
        <v>3162</v>
      </c>
    </row>
    <row r="563" spans="1:14">
      <c r="A563">
        <v>1725</v>
      </c>
      <c r="B563" t="s">
        <v>586</v>
      </c>
      <c r="C563">
        <v>31.8</v>
      </c>
      <c r="D563">
        <v>31.3</v>
      </c>
      <c r="E563" s="178">
        <v>-0.45</v>
      </c>
      <c r="F563" s="176">
        <v>-1.42</v>
      </c>
      <c r="G563" t="s">
        <v>6055</v>
      </c>
      <c r="H563">
        <v>20</v>
      </c>
      <c r="I563">
        <v>31</v>
      </c>
      <c r="J563">
        <v>18.18</v>
      </c>
      <c r="K563">
        <v>31.8</v>
      </c>
      <c r="L563">
        <v>31</v>
      </c>
      <c r="M563" s="175">
        <v>0.01</v>
      </c>
      <c r="N563" t="s">
        <v>3373</v>
      </c>
    </row>
    <row r="564" spans="1:14">
      <c r="A564">
        <v>1726</v>
      </c>
      <c r="B564" t="s">
        <v>587</v>
      </c>
      <c r="C564">
        <v>76.900000000000006</v>
      </c>
      <c r="D564">
        <v>77.5</v>
      </c>
      <c r="E564" s="178">
        <v>-0.1</v>
      </c>
      <c r="F564" s="176">
        <v>-0.13</v>
      </c>
      <c r="G564" t="s">
        <v>5695</v>
      </c>
      <c r="H564">
        <v>34</v>
      </c>
      <c r="I564">
        <v>29</v>
      </c>
      <c r="J564">
        <v>16.2</v>
      </c>
      <c r="K564">
        <v>77.5</v>
      </c>
      <c r="L564">
        <v>76.900000000000006</v>
      </c>
      <c r="M564" s="175">
        <v>0.02</v>
      </c>
      <c r="N564" t="s">
        <v>3696</v>
      </c>
    </row>
    <row r="565" spans="1:14">
      <c r="A565">
        <v>1727</v>
      </c>
      <c r="B565" t="s">
        <v>588</v>
      </c>
      <c r="C565">
        <v>98.1</v>
      </c>
      <c r="D565">
        <v>99.9</v>
      </c>
      <c r="E565" s="178">
        <v>1.8</v>
      </c>
      <c r="F565" s="176">
        <v>1.83</v>
      </c>
      <c r="G565" t="s">
        <v>6056</v>
      </c>
      <c r="H565">
        <v>10073</v>
      </c>
      <c r="I565">
        <v>6084</v>
      </c>
      <c r="J565">
        <v>12.8</v>
      </c>
      <c r="K565">
        <v>106</v>
      </c>
      <c r="L565">
        <v>97.3</v>
      </c>
      <c r="M565" s="175">
        <v>7.87</v>
      </c>
      <c r="N565" t="s">
        <v>1583</v>
      </c>
    </row>
    <row r="566" spans="1:14">
      <c r="A566">
        <v>1730</v>
      </c>
      <c r="B566" t="s">
        <v>589</v>
      </c>
      <c r="C566">
        <v>51.7</v>
      </c>
      <c r="D566">
        <v>51.5</v>
      </c>
      <c r="E566" s="178">
        <v>-0.2</v>
      </c>
      <c r="F566" s="176">
        <v>-0.39</v>
      </c>
      <c r="G566" t="s">
        <v>5442</v>
      </c>
      <c r="H566">
        <v>41</v>
      </c>
      <c r="I566">
        <v>61</v>
      </c>
      <c r="J566">
        <v>6.32</v>
      </c>
      <c r="K566">
        <v>51.7</v>
      </c>
      <c r="L566">
        <v>51.5</v>
      </c>
      <c r="M566" s="175">
        <v>0.06</v>
      </c>
      <c r="N566" t="s">
        <v>1584</v>
      </c>
    </row>
    <row r="567" spans="1:14">
      <c r="A567">
        <v>1731</v>
      </c>
      <c r="B567" t="s">
        <v>590</v>
      </c>
      <c r="C567">
        <v>21.05</v>
      </c>
      <c r="D567">
        <v>20.9</v>
      </c>
      <c r="E567" s="178">
        <v>-0.1</v>
      </c>
      <c r="F567" s="176">
        <v>-0.48</v>
      </c>
      <c r="G567" t="s">
        <v>5536</v>
      </c>
      <c r="H567">
        <v>35</v>
      </c>
      <c r="I567">
        <v>73</v>
      </c>
      <c r="J567">
        <v>13.29</v>
      </c>
      <c r="K567">
        <v>21.05</v>
      </c>
      <c r="L567">
        <v>20.85</v>
      </c>
      <c r="M567" s="175">
        <v>0.03</v>
      </c>
      <c r="N567" t="s">
        <v>3971</v>
      </c>
    </row>
    <row r="568" spans="1:14">
      <c r="A568">
        <v>1732</v>
      </c>
      <c r="B568" t="s">
        <v>591</v>
      </c>
      <c r="C568">
        <v>26.5</v>
      </c>
      <c r="D568">
        <v>26.45</v>
      </c>
      <c r="E568" s="178">
        <v>-0.25</v>
      </c>
      <c r="F568" s="176">
        <v>-0.94</v>
      </c>
      <c r="G568" t="s">
        <v>5310</v>
      </c>
      <c r="H568">
        <v>97</v>
      </c>
      <c r="I568">
        <v>115</v>
      </c>
      <c r="J568">
        <v>4.24</v>
      </c>
      <c r="K568">
        <v>26.5</v>
      </c>
      <c r="L568">
        <v>26.4</v>
      </c>
      <c r="M568" s="175">
        <v>0.23</v>
      </c>
      <c r="N568" t="s">
        <v>1585</v>
      </c>
    </row>
    <row r="569" spans="1:14">
      <c r="A569">
        <v>1733</v>
      </c>
      <c r="B569" t="s">
        <v>592</v>
      </c>
      <c r="C569">
        <v>31.85</v>
      </c>
      <c r="D569">
        <v>31.95</v>
      </c>
      <c r="E569" s="178">
        <v>-0.15</v>
      </c>
      <c r="F569" s="176">
        <v>-0.47</v>
      </c>
      <c r="G569" t="s">
        <v>6057</v>
      </c>
      <c r="H569">
        <v>158</v>
      </c>
      <c r="I569">
        <v>113</v>
      </c>
      <c r="J569">
        <v>10</v>
      </c>
      <c r="K569">
        <v>32.1</v>
      </c>
      <c r="L569">
        <v>31.65</v>
      </c>
      <c r="M569" s="175">
        <v>0.16</v>
      </c>
      <c r="N569" t="s">
        <v>4550</v>
      </c>
    </row>
    <row r="570" spans="1:14">
      <c r="A570">
        <v>1734</v>
      </c>
      <c r="B570" t="s">
        <v>593</v>
      </c>
      <c r="C570">
        <v>30.7</v>
      </c>
      <c r="D570">
        <v>30.65</v>
      </c>
      <c r="E570" s="178">
        <v>-0.1</v>
      </c>
      <c r="F570" s="176">
        <v>-0.33</v>
      </c>
      <c r="G570" t="s">
        <v>5279</v>
      </c>
      <c r="H570">
        <v>143</v>
      </c>
      <c r="I570">
        <v>290</v>
      </c>
      <c r="J570">
        <v>20.16</v>
      </c>
      <c r="K570">
        <v>30.8</v>
      </c>
      <c r="L570">
        <v>30.6</v>
      </c>
      <c r="M570" s="175">
        <v>7.0000000000000007E-2</v>
      </c>
      <c r="N570" t="s">
        <v>3853</v>
      </c>
    </row>
    <row r="571" spans="1:14">
      <c r="A571">
        <v>1735</v>
      </c>
      <c r="B571" t="s">
        <v>594</v>
      </c>
      <c r="C571">
        <v>20.6</v>
      </c>
      <c r="D571">
        <v>20.65</v>
      </c>
      <c r="E571" s="178">
        <v>-0.25</v>
      </c>
      <c r="F571" s="176">
        <v>-1.2</v>
      </c>
      <c r="G571" t="s">
        <v>5158</v>
      </c>
      <c r="H571">
        <v>50</v>
      </c>
      <c r="I571">
        <v>99</v>
      </c>
      <c r="J571">
        <v>9.94</v>
      </c>
      <c r="K571">
        <v>20.9</v>
      </c>
      <c r="L571">
        <v>20.6</v>
      </c>
      <c r="M571" s="175">
        <v>0.05</v>
      </c>
      <c r="N571" t="s">
        <v>1586</v>
      </c>
    </row>
    <row r="572" spans="1:14">
      <c r="A572">
        <v>1736</v>
      </c>
      <c r="B572" t="s">
        <v>595</v>
      </c>
      <c r="C572">
        <v>125.5</v>
      </c>
      <c r="D572">
        <v>126</v>
      </c>
      <c r="E572" s="178">
        <v>0.5</v>
      </c>
      <c r="F572" s="176">
        <v>0.4</v>
      </c>
      <c r="G572" t="s">
        <v>6058</v>
      </c>
      <c r="H572">
        <v>251</v>
      </c>
      <c r="I572">
        <v>259</v>
      </c>
      <c r="J572">
        <v>30.34</v>
      </c>
      <c r="K572">
        <v>129</v>
      </c>
      <c r="L572">
        <v>125.5</v>
      </c>
      <c r="M572" s="175">
        <v>0.08</v>
      </c>
      <c r="N572" t="s">
        <v>4116</v>
      </c>
    </row>
    <row r="573" spans="1:14">
      <c r="A573">
        <v>1737</v>
      </c>
      <c r="B573" t="s">
        <v>596</v>
      </c>
      <c r="C573">
        <v>30.75</v>
      </c>
      <c r="D573">
        <v>30.7</v>
      </c>
      <c r="E573" s="178">
        <v>-0.1</v>
      </c>
      <c r="F573" s="176">
        <v>-0.32</v>
      </c>
      <c r="G573" t="s">
        <v>5447</v>
      </c>
      <c r="H573">
        <v>181</v>
      </c>
      <c r="I573">
        <v>313</v>
      </c>
      <c r="J573">
        <v>20</v>
      </c>
      <c r="K573">
        <v>30.8</v>
      </c>
      <c r="L573">
        <v>30.7</v>
      </c>
      <c r="M573" s="175">
        <v>0.09</v>
      </c>
      <c r="N573" t="s">
        <v>1587</v>
      </c>
    </row>
    <row r="574" spans="1:14">
      <c r="A574">
        <v>1742</v>
      </c>
      <c r="B574" t="s">
        <v>597</v>
      </c>
      <c r="C574">
        <v>17.95</v>
      </c>
      <c r="D574">
        <v>17.899999999999999</v>
      </c>
      <c r="E574" s="178">
        <v>0.15</v>
      </c>
      <c r="F574" s="176">
        <v>0.85</v>
      </c>
      <c r="G574" t="s">
        <v>5124</v>
      </c>
      <c r="H574">
        <v>62</v>
      </c>
      <c r="I574">
        <v>78</v>
      </c>
      <c r="J574">
        <v>9.27</v>
      </c>
      <c r="K574">
        <v>17.95</v>
      </c>
      <c r="L574">
        <v>17.5</v>
      </c>
      <c r="M574" s="175">
        <v>7.0000000000000007E-2</v>
      </c>
      <c r="N574" t="s">
        <v>1588</v>
      </c>
    </row>
    <row r="575" spans="1:14">
      <c r="A575">
        <v>1752</v>
      </c>
      <c r="B575" t="s">
        <v>598</v>
      </c>
      <c r="C575">
        <v>32</v>
      </c>
      <c r="D575">
        <v>31.9</v>
      </c>
      <c r="E575" s="178">
        <v>0.05</v>
      </c>
      <c r="F575" s="176">
        <v>0.16</v>
      </c>
      <c r="G575" t="s">
        <v>6059</v>
      </c>
      <c r="H575">
        <v>30</v>
      </c>
      <c r="I575">
        <v>64</v>
      </c>
      <c r="J575">
        <v>10.1</v>
      </c>
      <c r="K575">
        <v>32</v>
      </c>
      <c r="L575">
        <v>31.6</v>
      </c>
      <c r="M575" s="175">
        <v>0.03</v>
      </c>
      <c r="N575" t="s">
        <v>4395</v>
      </c>
    </row>
    <row r="576" spans="1:14">
      <c r="A576">
        <v>1760</v>
      </c>
      <c r="B576" t="s">
        <v>364</v>
      </c>
      <c r="C576">
        <v>58.2</v>
      </c>
      <c r="D576">
        <v>58</v>
      </c>
      <c r="E576" s="178">
        <v>-0.3</v>
      </c>
      <c r="F576" s="176">
        <v>-0.51</v>
      </c>
      <c r="G576" t="s">
        <v>6060</v>
      </c>
      <c r="H576">
        <v>113</v>
      </c>
      <c r="I576">
        <v>72</v>
      </c>
      <c r="J576">
        <v>8.57</v>
      </c>
      <c r="K576">
        <v>58.2</v>
      </c>
      <c r="L576">
        <v>57.8</v>
      </c>
      <c r="M576" s="175">
        <v>0.13</v>
      </c>
      <c r="N576" t="s">
        <v>3312</v>
      </c>
    </row>
    <row r="577" spans="1:14">
      <c r="A577">
        <v>1762</v>
      </c>
      <c r="B577" t="s">
        <v>599</v>
      </c>
      <c r="C577">
        <v>35.35</v>
      </c>
      <c r="D577">
        <v>35.9</v>
      </c>
      <c r="E577" s="178">
        <v>0.4</v>
      </c>
      <c r="F577" s="176">
        <v>1.1299999999999999</v>
      </c>
      <c r="G577" t="s">
        <v>5994</v>
      </c>
      <c r="H577">
        <v>74</v>
      </c>
      <c r="I577">
        <v>72</v>
      </c>
      <c r="J577">
        <v>7.69</v>
      </c>
      <c r="K577">
        <v>35.950000000000003</v>
      </c>
      <c r="L577">
        <v>35.15</v>
      </c>
      <c r="M577" s="175">
        <v>0.1</v>
      </c>
      <c r="N577" t="s">
        <v>3117</v>
      </c>
    </row>
    <row r="578" spans="1:14">
      <c r="A578">
        <v>1773</v>
      </c>
      <c r="B578" t="s">
        <v>600</v>
      </c>
      <c r="C578">
        <v>159.5</v>
      </c>
      <c r="D578">
        <v>164</v>
      </c>
      <c r="E578" s="178">
        <v>4.5</v>
      </c>
      <c r="F578" s="176">
        <v>2.82</v>
      </c>
      <c r="G578" t="s">
        <v>5202</v>
      </c>
      <c r="H578">
        <v>853</v>
      </c>
      <c r="I578">
        <v>276</v>
      </c>
      <c r="J578">
        <v>30</v>
      </c>
      <c r="K578">
        <v>166</v>
      </c>
      <c r="L578">
        <v>158</v>
      </c>
      <c r="M578" s="175">
        <v>0.28000000000000003</v>
      </c>
      <c r="N578" t="s">
        <v>3697</v>
      </c>
    </row>
    <row r="579" spans="1:14">
      <c r="A579">
        <v>1776</v>
      </c>
      <c r="B579" t="s">
        <v>601</v>
      </c>
      <c r="C579">
        <v>17.100000000000001</v>
      </c>
      <c r="D579">
        <v>17.100000000000001</v>
      </c>
      <c r="E579" s="178">
        <v>0</v>
      </c>
      <c r="F579" s="176">
        <v>0</v>
      </c>
      <c r="G579" t="s">
        <v>5659</v>
      </c>
      <c r="H579">
        <v>29</v>
      </c>
      <c r="I579">
        <v>48</v>
      </c>
      <c r="J579">
        <v>6.01</v>
      </c>
      <c r="K579">
        <v>17.2</v>
      </c>
      <c r="L579">
        <v>17.05</v>
      </c>
      <c r="M579" s="175">
        <v>0.05</v>
      </c>
      <c r="N579" t="s">
        <v>1589</v>
      </c>
    </row>
    <row r="580" spans="1:14">
      <c r="A580">
        <v>1777</v>
      </c>
      <c r="B580" t="s">
        <v>602</v>
      </c>
      <c r="C580">
        <v>74.7</v>
      </c>
      <c r="D580">
        <v>74.5</v>
      </c>
      <c r="E580" s="178">
        <v>-0.2</v>
      </c>
      <c r="F580" s="176">
        <v>-0.27</v>
      </c>
      <c r="G580" t="s">
        <v>6061</v>
      </c>
      <c r="H580">
        <v>56</v>
      </c>
      <c r="I580">
        <v>26</v>
      </c>
      <c r="J580">
        <v>4.46</v>
      </c>
      <c r="K580">
        <v>74.7</v>
      </c>
      <c r="L580">
        <v>73.5</v>
      </c>
      <c r="M580" s="175">
        <v>0.13</v>
      </c>
      <c r="N580" t="s">
        <v>4415</v>
      </c>
    </row>
    <row r="581" spans="1:14">
      <c r="A581">
        <v>1780</v>
      </c>
      <c r="B581" t="s">
        <v>5128</v>
      </c>
      <c r="C581">
        <v>24.5</v>
      </c>
      <c r="D581">
        <v>24.5</v>
      </c>
      <c r="E581" s="178">
        <v>0</v>
      </c>
      <c r="F581" s="176">
        <v>0</v>
      </c>
      <c r="G581" t="s">
        <v>5194</v>
      </c>
      <c r="H581">
        <v>42</v>
      </c>
      <c r="I581">
        <v>139</v>
      </c>
      <c r="J581">
        <v>10.91</v>
      </c>
      <c r="K581">
        <v>24.5</v>
      </c>
      <c r="L581">
        <v>24.05</v>
      </c>
      <c r="M581" s="175">
        <v>0.04</v>
      </c>
      <c r="N581" t="s">
        <v>5129</v>
      </c>
    </row>
    <row r="582" spans="1:14">
      <c r="A582">
        <v>1781</v>
      </c>
      <c r="B582" t="s">
        <v>603</v>
      </c>
      <c r="C582">
        <v>10.6</v>
      </c>
      <c r="D582">
        <v>10.5</v>
      </c>
      <c r="E582" s="178">
        <v>0</v>
      </c>
      <c r="F582" s="176">
        <v>0</v>
      </c>
      <c r="G582" t="s">
        <v>5743</v>
      </c>
      <c r="H582">
        <v>49</v>
      </c>
      <c r="I582">
        <v>20</v>
      </c>
      <c r="J582">
        <v>4.74</v>
      </c>
      <c r="K582">
        <v>10.6</v>
      </c>
      <c r="L582">
        <v>10.3</v>
      </c>
      <c r="M582" s="175">
        <v>0.1</v>
      </c>
      <c r="N582" t="s">
        <v>1590</v>
      </c>
    </row>
    <row r="583" spans="1:14">
      <c r="A583">
        <v>1783</v>
      </c>
      <c r="B583" t="s">
        <v>604</v>
      </c>
      <c r="C583">
        <v>41.5</v>
      </c>
      <c r="D583">
        <v>41.35</v>
      </c>
      <c r="E583" s="178">
        <v>0.65</v>
      </c>
      <c r="F583" s="176">
        <v>1.6</v>
      </c>
      <c r="G583" t="s">
        <v>6062</v>
      </c>
      <c r="H583">
        <v>151</v>
      </c>
      <c r="I583">
        <v>50</v>
      </c>
      <c r="J583">
        <v>8.9700000000000006</v>
      </c>
      <c r="K583">
        <v>41.5</v>
      </c>
      <c r="L583">
        <v>40.6</v>
      </c>
      <c r="M583" s="175">
        <v>0.17</v>
      </c>
      <c r="N583" t="s">
        <v>1591</v>
      </c>
    </row>
    <row r="584" spans="1:14">
      <c r="A584">
        <v>1784</v>
      </c>
      <c r="B584" t="s">
        <v>605</v>
      </c>
      <c r="C584">
        <v>63.2</v>
      </c>
      <c r="D584">
        <v>62.5</v>
      </c>
      <c r="E584" s="178">
        <v>0.5</v>
      </c>
      <c r="F584" s="176">
        <v>0.81</v>
      </c>
      <c r="G584" t="s">
        <v>5549</v>
      </c>
      <c r="H584">
        <v>50</v>
      </c>
      <c r="I584">
        <v>71</v>
      </c>
      <c r="J584">
        <v>5.31</v>
      </c>
      <c r="K584">
        <v>63.2</v>
      </c>
      <c r="L584">
        <v>61.9</v>
      </c>
      <c r="M584" s="175">
        <v>0.09</v>
      </c>
      <c r="N584" t="s">
        <v>5233</v>
      </c>
    </row>
    <row r="585" spans="1:14">
      <c r="A585">
        <v>1785</v>
      </c>
      <c r="B585" t="s">
        <v>606</v>
      </c>
      <c r="C585">
        <v>103</v>
      </c>
      <c r="D585">
        <v>103</v>
      </c>
      <c r="E585" s="178">
        <v>-0.5</v>
      </c>
      <c r="F585" s="176">
        <v>-0.48</v>
      </c>
      <c r="G585" t="s">
        <v>6063</v>
      </c>
      <c r="H585">
        <v>4150</v>
      </c>
      <c r="I585">
        <v>3067</v>
      </c>
      <c r="J585">
        <v>59.6</v>
      </c>
      <c r="K585">
        <v>105</v>
      </c>
      <c r="L585">
        <v>101.5</v>
      </c>
      <c r="M585" s="175">
        <v>0.7</v>
      </c>
      <c r="N585" t="s">
        <v>1592</v>
      </c>
    </row>
    <row r="586" spans="1:14">
      <c r="A586">
        <v>1786</v>
      </c>
      <c r="B586" t="s">
        <v>607</v>
      </c>
      <c r="C586">
        <v>48.8</v>
      </c>
      <c r="D586">
        <v>47.75</v>
      </c>
      <c r="E586" s="178">
        <v>-1.05</v>
      </c>
      <c r="F586" s="176">
        <v>-2.15</v>
      </c>
      <c r="G586" t="s">
        <v>6064</v>
      </c>
      <c r="H586">
        <v>369</v>
      </c>
      <c r="I586">
        <v>104</v>
      </c>
      <c r="J586">
        <v>7.48</v>
      </c>
      <c r="K586">
        <v>48.8</v>
      </c>
      <c r="L586">
        <v>47.55</v>
      </c>
      <c r="M586" s="175">
        <v>0.49</v>
      </c>
      <c r="N586" t="s">
        <v>1593</v>
      </c>
    </row>
    <row r="587" spans="1:14">
      <c r="A587">
        <v>1788</v>
      </c>
      <c r="B587" t="s">
        <v>608</v>
      </c>
      <c r="C587">
        <v>130</v>
      </c>
      <c r="D587">
        <v>129</v>
      </c>
      <c r="E587" s="178">
        <v>0</v>
      </c>
      <c r="F587" s="176">
        <v>0</v>
      </c>
      <c r="G587" t="s">
        <v>5187</v>
      </c>
      <c r="H587">
        <v>8</v>
      </c>
      <c r="I587">
        <v>26</v>
      </c>
      <c r="J587">
        <v>4.45</v>
      </c>
      <c r="K587">
        <v>130</v>
      </c>
      <c r="L587">
        <v>129</v>
      </c>
      <c r="M587" s="175">
        <v>0.02</v>
      </c>
      <c r="N587" t="s">
        <v>1594</v>
      </c>
    </row>
    <row r="588" spans="1:14">
      <c r="A588">
        <v>1789</v>
      </c>
      <c r="B588" t="s">
        <v>609</v>
      </c>
      <c r="C588">
        <v>18.95</v>
      </c>
      <c r="D588">
        <v>19</v>
      </c>
      <c r="E588" s="178">
        <v>-0.1</v>
      </c>
      <c r="F588" s="176">
        <v>-0.52</v>
      </c>
      <c r="G588" t="s">
        <v>5303</v>
      </c>
      <c r="H588">
        <v>315</v>
      </c>
      <c r="I588">
        <v>215</v>
      </c>
      <c r="J588">
        <v>79.069999999999993</v>
      </c>
      <c r="K588">
        <v>19.350000000000001</v>
      </c>
      <c r="L588">
        <v>18.899999999999999</v>
      </c>
      <c r="M588" s="175">
        <v>0.04</v>
      </c>
      <c r="N588" t="s">
        <v>4899</v>
      </c>
    </row>
    <row r="589" spans="1:14">
      <c r="A589">
        <v>1795</v>
      </c>
      <c r="B589" t="s">
        <v>610</v>
      </c>
      <c r="C589">
        <v>188.5</v>
      </c>
      <c r="D589">
        <v>186</v>
      </c>
      <c r="E589" s="178">
        <v>-2</v>
      </c>
      <c r="F589" s="176">
        <v>-1.06</v>
      </c>
      <c r="G589" t="s">
        <v>5485</v>
      </c>
      <c r="H589">
        <v>937</v>
      </c>
      <c r="I589">
        <v>1363</v>
      </c>
      <c r="J589">
        <v>27.02</v>
      </c>
      <c r="K589">
        <v>190</v>
      </c>
      <c r="L589">
        <v>186</v>
      </c>
      <c r="M589" s="175">
        <v>0.35</v>
      </c>
      <c r="N589" t="s">
        <v>4178</v>
      </c>
    </row>
    <row r="590" spans="1:14">
      <c r="A590">
        <v>1796</v>
      </c>
      <c r="B590" t="s">
        <v>611</v>
      </c>
      <c r="C590">
        <v>30.65</v>
      </c>
      <c r="D590">
        <v>29.7</v>
      </c>
      <c r="E590" s="178">
        <v>0.35</v>
      </c>
      <c r="F590" s="176">
        <v>1.19</v>
      </c>
      <c r="G590" t="s">
        <v>5454</v>
      </c>
      <c r="H590">
        <v>4</v>
      </c>
      <c r="I590">
        <v>38</v>
      </c>
      <c r="J590">
        <v>4.1500000000000004</v>
      </c>
      <c r="K590">
        <v>30.65</v>
      </c>
      <c r="L590">
        <v>29.7</v>
      </c>
      <c r="M590" s="175">
        <v>0.01</v>
      </c>
      <c r="N590" t="s">
        <v>1595</v>
      </c>
    </row>
    <row r="591" spans="1:14">
      <c r="A591">
        <v>1799</v>
      </c>
      <c r="B591" t="s">
        <v>2181</v>
      </c>
      <c r="C591">
        <v>30.2</v>
      </c>
      <c r="D591">
        <v>30.15</v>
      </c>
      <c r="E591" s="178">
        <v>0.2</v>
      </c>
      <c r="F591" s="176">
        <v>0.67</v>
      </c>
      <c r="G591" t="s">
        <v>5529</v>
      </c>
      <c r="H591">
        <v>126</v>
      </c>
      <c r="I591">
        <v>105</v>
      </c>
      <c r="J591">
        <v>24.88</v>
      </c>
      <c r="K591">
        <v>30.75</v>
      </c>
      <c r="L591">
        <v>30</v>
      </c>
      <c r="M591" s="175">
        <v>0.05</v>
      </c>
      <c r="N591" t="s">
        <v>4396</v>
      </c>
    </row>
    <row r="592" spans="1:14">
      <c r="A592">
        <v>1802</v>
      </c>
      <c r="B592" t="s">
        <v>612</v>
      </c>
      <c r="C592">
        <v>60.1</v>
      </c>
      <c r="D592">
        <v>60.8</v>
      </c>
      <c r="E592" s="178">
        <v>0</v>
      </c>
      <c r="F592" s="176">
        <v>0</v>
      </c>
      <c r="G592" t="s">
        <v>6065</v>
      </c>
      <c r="H592">
        <v>28552</v>
      </c>
      <c r="I592">
        <v>39572</v>
      </c>
      <c r="J592">
        <v>290.81</v>
      </c>
      <c r="K592">
        <v>61.2</v>
      </c>
      <c r="L592">
        <v>59.5</v>
      </c>
      <c r="M592" s="175">
        <v>0.98</v>
      </c>
      <c r="N592" t="s">
        <v>3609</v>
      </c>
    </row>
    <row r="593" spans="1:14">
      <c r="A593">
        <v>1805</v>
      </c>
      <c r="B593" t="s">
        <v>613</v>
      </c>
      <c r="C593">
        <v>10.25</v>
      </c>
      <c r="D593">
        <v>10.1</v>
      </c>
      <c r="E593" s="178">
        <v>-0.25</v>
      </c>
      <c r="F593" s="176">
        <v>-2.42</v>
      </c>
      <c r="G593" t="s">
        <v>5968</v>
      </c>
      <c r="H593">
        <v>51</v>
      </c>
      <c r="I593">
        <v>71</v>
      </c>
      <c r="J593">
        <v>13.5</v>
      </c>
      <c r="K593">
        <v>10.25</v>
      </c>
      <c r="L593">
        <v>10.1</v>
      </c>
      <c r="M593" s="175">
        <v>0.04</v>
      </c>
      <c r="N593" t="s">
        <v>3551</v>
      </c>
    </row>
    <row r="594" spans="1:14">
      <c r="A594">
        <v>1806</v>
      </c>
      <c r="B594" t="s">
        <v>614</v>
      </c>
      <c r="C594">
        <v>8.02</v>
      </c>
      <c r="D594">
        <v>8.01</v>
      </c>
      <c r="E594" s="178">
        <v>-0.01</v>
      </c>
      <c r="F594" s="176">
        <v>-0.12</v>
      </c>
      <c r="G594" t="s">
        <v>6066</v>
      </c>
      <c r="H594">
        <v>195</v>
      </c>
      <c r="I594">
        <v>160</v>
      </c>
      <c r="J594">
        <v>39.04</v>
      </c>
      <c r="K594">
        <v>8.02</v>
      </c>
      <c r="L594">
        <v>7.96</v>
      </c>
      <c r="M594" s="175">
        <v>0.05</v>
      </c>
      <c r="N594" t="s">
        <v>4710</v>
      </c>
    </row>
    <row r="595" spans="1:14">
      <c r="A595">
        <v>1808</v>
      </c>
      <c r="B595" t="s">
        <v>4724</v>
      </c>
      <c r="C595">
        <v>34.65</v>
      </c>
      <c r="D595">
        <v>34.1</v>
      </c>
      <c r="E595" s="178">
        <v>-0.7</v>
      </c>
      <c r="F595" s="176">
        <v>-2.0099999999999998</v>
      </c>
      <c r="G595" t="s">
        <v>6067</v>
      </c>
      <c r="H595">
        <v>2529</v>
      </c>
      <c r="I595">
        <v>2554</v>
      </c>
      <c r="J595">
        <v>89.3</v>
      </c>
      <c r="K595">
        <v>35</v>
      </c>
      <c r="L595">
        <v>33.950000000000003</v>
      </c>
      <c r="M595" s="175">
        <v>0.28000000000000003</v>
      </c>
      <c r="N595" t="s">
        <v>4726</v>
      </c>
    </row>
    <row r="596" spans="1:14">
      <c r="A596">
        <v>1809</v>
      </c>
      <c r="B596" t="s">
        <v>615</v>
      </c>
      <c r="C596">
        <v>39.25</v>
      </c>
      <c r="D596">
        <v>39</v>
      </c>
      <c r="E596" s="178">
        <v>-0.7</v>
      </c>
      <c r="F596" s="176">
        <v>-1.76</v>
      </c>
      <c r="G596" t="s">
        <v>6068</v>
      </c>
      <c r="H596">
        <v>909</v>
      </c>
      <c r="I596">
        <v>1386</v>
      </c>
      <c r="J596">
        <v>16.7</v>
      </c>
      <c r="K596">
        <v>39.5</v>
      </c>
      <c r="L596">
        <v>38.4</v>
      </c>
      <c r="M596" s="175">
        <v>0.54</v>
      </c>
      <c r="N596" t="s">
        <v>3199</v>
      </c>
    </row>
    <row r="597" spans="1:14">
      <c r="A597">
        <v>1810</v>
      </c>
      <c r="B597" t="s">
        <v>616</v>
      </c>
      <c r="C597">
        <v>25</v>
      </c>
      <c r="D597">
        <v>24.9</v>
      </c>
      <c r="E597" s="178">
        <v>-0.35</v>
      </c>
      <c r="F597" s="176">
        <v>-1.39</v>
      </c>
      <c r="G597" t="s">
        <v>6069</v>
      </c>
      <c r="H597">
        <v>2862</v>
      </c>
      <c r="I597">
        <v>5466</v>
      </c>
      <c r="J597">
        <v>30.23</v>
      </c>
      <c r="K597">
        <v>25.2</v>
      </c>
      <c r="L597">
        <v>24.8</v>
      </c>
      <c r="M597" s="175">
        <v>0.95</v>
      </c>
      <c r="N597" t="s">
        <v>4900</v>
      </c>
    </row>
    <row r="598" spans="1:14">
      <c r="A598">
        <v>1813</v>
      </c>
      <c r="B598" t="s">
        <v>617</v>
      </c>
      <c r="C598">
        <v>11.6</v>
      </c>
      <c r="D598">
        <v>11.6</v>
      </c>
      <c r="E598" s="178">
        <v>-0.05</v>
      </c>
      <c r="F598" s="176">
        <v>-0.43</v>
      </c>
      <c r="G598" t="s">
        <v>6070</v>
      </c>
      <c r="H598">
        <v>3</v>
      </c>
      <c r="I598">
        <v>23</v>
      </c>
      <c r="J598">
        <v>4.66</v>
      </c>
      <c r="K598">
        <v>11.6</v>
      </c>
      <c r="L598">
        <v>11.6</v>
      </c>
      <c r="M598" s="175">
        <v>0.01</v>
      </c>
      <c r="N598" t="s">
        <v>1596</v>
      </c>
    </row>
    <row r="599" spans="1:14">
      <c r="A599">
        <v>1815</v>
      </c>
      <c r="B599" t="s">
        <v>618</v>
      </c>
      <c r="C599">
        <v>124</v>
      </c>
      <c r="D599">
        <v>126.5</v>
      </c>
      <c r="E599" s="178">
        <v>1</v>
      </c>
      <c r="F599" s="176">
        <v>0.8</v>
      </c>
      <c r="G599" t="s">
        <v>6071</v>
      </c>
      <c r="H599">
        <v>80093</v>
      </c>
      <c r="I599">
        <v>83298</v>
      </c>
      <c r="J599">
        <v>58.55</v>
      </c>
      <c r="K599">
        <v>128</v>
      </c>
      <c r="L599">
        <v>122.5</v>
      </c>
      <c r="M599" s="175">
        <v>13.68</v>
      </c>
      <c r="N599" t="s">
        <v>3163</v>
      </c>
    </row>
    <row r="600" spans="1:14">
      <c r="A600">
        <v>1817</v>
      </c>
      <c r="B600" t="s">
        <v>619</v>
      </c>
      <c r="C600">
        <v>40.450000000000003</v>
      </c>
      <c r="D600">
        <v>40.1</v>
      </c>
      <c r="E600" s="178">
        <v>-0.35</v>
      </c>
      <c r="F600" s="176">
        <v>-0.87</v>
      </c>
      <c r="G600" t="s">
        <v>5230</v>
      </c>
      <c r="H600">
        <v>46</v>
      </c>
      <c r="I600">
        <v>44</v>
      </c>
      <c r="J600">
        <v>7.26</v>
      </c>
      <c r="K600">
        <v>40.450000000000003</v>
      </c>
      <c r="L600">
        <v>40.049999999999997</v>
      </c>
      <c r="M600" s="175">
        <v>0.06</v>
      </c>
      <c r="N600" t="s">
        <v>4900</v>
      </c>
    </row>
    <row r="601" spans="1:14">
      <c r="A601">
        <v>1903</v>
      </c>
      <c r="B601" t="s">
        <v>620</v>
      </c>
      <c r="C601">
        <v>48</v>
      </c>
      <c r="D601">
        <v>47.8</v>
      </c>
      <c r="E601" s="178">
        <v>-0.2</v>
      </c>
      <c r="F601" s="176">
        <v>-0.42</v>
      </c>
      <c r="G601" t="s">
        <v>6072</v>
      </c>
      <c r="H601">
        <v>108</v>
      </c>
      <c r="I601">
        <v>108</v>
      </c>
      <c r="J601">
        <v>26</v>
      </c>
      <c r="K601">
        <v>48</v>
      </c>
      <c r="L601">
        <v>47.5</v>
      </c>
      <c r="M601" s="175">
        <v>0.04</v>
      </c>
      <c r="N601" t="s">
        <v>3164</v>
      </c>
    </row>
    <row r="602" spans="1:14">
      <c r="A602">
        <v>1904</v>
      </c>
      <c r="B602" t="s">
        <v>621</v>
      </c>
      <c r="C602">
        <v>25.1</v>
      </c>
      <c r="D602">
        <v>25.2</v>
      </c>
      <c r="E602" s="178">
        <v>0.05</v>
      </c>
      <c r="F602" s="176">
        <v>0.2</v>
      </c>
      <c r="G602" t="s">
        <v>6073</v>
      </c>
      <c r="H602">
        <v>2387</v>
      </c>
      <c r="I602">
        <v>2203</v>
      </c>
      <c r="J602">
        <v>110.83</v>
      </c>
      <c r="K602">
        <v>25.4</v>
      </c>
      <c r="L602">
        <v>24.85</v>
      </c>
      <c r="M602" s="175">
        <v>0.22</v>
      </c>
      <c r="N602" t="s">
        <v>3313</v>
      </c>
    </row>
    <row r="603" spans="1:14">
      <c r="A603">
        <v>1905</v>
      </c>
      <c r="B603" t="s">
        <v>1597</v>
      </c>
      <c r="C603">
        <v>13.65</v>
      </c>
      <c r="D603">
        <v>13.7</v>
      </c>
      <c r="E603" s="178">
        <v>0</v>
      </c>
      <c r="F603" s="176">
        <v>0</v>
      </c>
      <c r="G603" t="s">
        <v>6074</v>
      </c>
      <c r="H603">
        <v>1985</v>
      </c>
      <c r="I603">
        <v>1335</v>
      </c>
      <c r="J603">
        <v>110.28</v>
      </c>
      <c r="K603">
        <v>13.8</v>
      </c>
      <c r="L603">
        <v>13.5</v>
      </c>
      <c r="M603" s="175">
        <v>0.18</v>
      </c>
      <c r="N603" t="s">
        <v>1598</v>
      </c>
    </row>
    <row r="604" spans="1:14">
      <c r="A604">
        <v>1906</v>
      </c>
      <c r="B604" t="s">
        <v>622</v>
      </c>
      <c r="C604">
        <v>11.25</v>
      </c>
      <c r="D604">
        <v>11.35</v>
      </c>
      <c r="E604" s="178">
        <v>-0.05</v>
      </c>
      <c r="F604" s="176">
        <v>-0.44</v>
      </c>
      <c r="G604" t="s">
        <v>6075</v>
      </c>
      <c r="H604">
        <v>24</v>
      </c>
      <c r="I604">
        <v>126</v>
      </c>
      <c r="J604">
        <v>15.1</v>
      </c>
      <c r="K604">
        <v>11.4</v>
      </c>
      <c r="L604">
        <v>11.25</v>
      </c>
      <c r="M604" s="175">
        <v>0.02</v>
      </c>
      <c r="N604" t="s">
        <v>2049</v>
      </c>
    </row>
    <row r="605" spans="1:14">
      <c r="A605">
        <v>1907</v>
      </c>
      <c r="B605" t="s">
        <v>623</v>
      </c>
      <c r="C605">
        <v>29.9</v>
      </c>
      <c r="D605">
        <v>29.85</v>
      </c>
      <c r="E605" s="178">
        <v>-0.05</v>
      </c>
      <c r="F605" s="176">
        <v>-0.17</v>
      </c>
      <c r="G605" t="s">
        <v>6076</v>
      </c>
      <c r="H605">
        <v>1102</v>
      </c>
      <c r="I605">
        <v>1019</v>
      </c>
      <c r="J605">
        <v>166.04</v>
      </c>
      <c r="K605">
        <v>30.3</v>
      </c>
      <c r="L605">
        <v>29.85</v>
      </c>
      <c r="M605" s="175">
        <v>7.0000000000000007E-2</v>
      </c>
      <c r="N605" t="s">
        <v>3552</v>
      </c>
    </row>
    <row r="606" spans="1:14">
      <c r="A606">
        <v>1909</v>
      </c>
      <c r="B606" t="s">
        <v>212</v>
      </c>
      <c r="C606">
        <v>10.75</v>
      </c>
      <c r="D606">
        <v>11.1</v>
      </c>
      <c r="E606" s="178">
        <v>0.25</v>
      </c>
      <c r="F606" s="176">
        <v>2.2999999999999998</v>
      </c>
      <c r="G606" t="s">
        <v>6077</v>
      </c>
      <c r="H606">
        <v>4400</v>
      </c>
      <c r="I606">
        <v>2953</v>
      </c>
      <c r="J606">
        <v>132.77000000000001</v>
      </c>
      <c r="K606">
        <v>11.3</v>
      </c>
      <c r="L606">
        <v>10.75</v>
      </c>
      <c r="M606" s="175">
        <v>0.33</v>
      </c>
      <c r="N606" t="s">
        <v>1599</v>
      </c>
    </row>
    <row r="607" spans="1:14">
      <c r="A607">
        <v>2002</v>
      </c>
      <c r="B607" t="s">
        <v>240</v>
      </c>
      <c r="C607">
        <v>19</v>
      </c>
      <c r="D607">
        <v>18.95</v>
      </c>
      <c r="E607" s="178">
        <v>-0.1</v>
      </c>
      <c r="F607" s="176">
        <v>-0.52</v>
      </c>
      <c r="G607" t="s">
        <v>6078</v>
      </c>
      <c r="H607">
        <v>33692</v>
      </c>
      <c r="I607">
        <v>22252</v>
      </c>
      <c r="J607">
        <v>1573.49</v>
      </c>
      <c r="K607">
        <v>19.05</v>
      </c>
      <c r="L607">
        <v>18.899999999999999</v>
      </c>
      <c r="M607" s="175">
        <v>0.21</v>
      </c>
      <c r="N607" t="s">
        <v>3021</v>
      </c>
    </row>
    <row r="608" spans="1:14">
      <c r="A608">
        <v>2006</v>
      </c>
      <c r="B608" t="s">
        <v>243</v>
      </c>
      <c r="C608">
        <v>80.5</v>
      </c>
      <c r="D608">
        <v>80.8</v>
      </c>
      <c r="E608" s="178">
        <v>0.2</v>
      </c>
      <c r="F608" s="176">
        <v>0.25</v>
      </c>
      <c r="G608" t="s">
        <v>5262</v>
      </c>
      <c r="H608">
        <v>2268</v>
      </c>
      <c r="I608">
        <v>1316</v>
      </c>
      <c r="J608">
        <v>73.02</v>
      </c>
      <c r="K608">
        <v>80.8</v>
      </c>
      <c r="L608">
        <v>79.5</v>
      </c>
      <c r="M608" s="175">
        <v>0.31</v>
      </c>
      <c r="N608" t="s">
        <v>2044</v>
      </c>
    </row>
    <row r="609" spans="1:14">
      <c r="A609">
        <v>2007</v>
      </c>
      <c r="B609" t="s">
        <v>624</v>
      </c>
      <c r="C609">
        <v>7</v>
      </c>
      <c r="D609">
        <v>6.99</v>
      </c>
      <c r="E609" s="178">
        <v>-0.01</v>
      </c>
      <c r="F609" s="176">
        <v>-0.14000000000000001</v>
      </c>
      <c r="G609" t="s">
        <v>5268</v>
      </c>
      <c r="H609">
        <v>207</v>
      </c>
      <c r="I609">
        <v>158</v>
      </c>
      <c r="J609">
        <v>53.07</v>
      </c>
      <c r="K609">
        <v>7</v>
      </c>
      <c r="L609">
        <v>6.93</v>
      </c>
      <c r="M609" s="175">
        <v>0.04</v>
      </c>
      <c r="N609" t="s">
        <v>3553</v>
      </c>
    </row>
    <row r="610" spans="1:14">
      <c r="A610">
        <v>2008</v>
      </c>
      <c r="B610" t="s">
        <v>625</v>
      </c>
      <c r="C610">
        <v>30.55</v>
      </c>
      <c r="D610">
        <v>30.55</v>
      </c>
      <c r="E610" s="178">
        <v>0</v>
      </c>
      <c r="F610" s="176">
        <v>0</v>
      </c>
      <c r="G610" t="s">
        <v>6079</v>
      </c>
      <c r="H610">
        <v>8</v>
      </c>
      <c r="I610">
        <v>35</v>
      </c>
      <c r="J610">
        <v>19.09</v>
      </c>
      <c r="K610">
        <v>30.6</v>
      </c>
      <c r="L610">
        <v>30.5</v>
      </c>
      <c r="M610" s="175">
        <v>0</v>
      </c>
      <c r="N610" t="s">
        <v>3854</v>
      </c>
    </row>
    <row r="611" spans="1:14">
      <c r="A611">
        <v>2009</v>
      </c>
      <c r="B611" t="s">
        <v>1600</v>
      </c>
      <c r="C611">
        <v>41.25</v>
      </c>
      <c r="D611">
        <v>40.85</v>
      </c>
      <c r="E611" s="178">
        <v>-0.45</v>
      </c>
      <c r="F611" s="176">
        <v>-1.0900000000000001</v>
      </c>
      <c r="G611" t="s">
        <v>6080</v>
      </c>
      <c r="H611">
        <v>1492</v>
      </c>
      <c r="I611">
        <v>5966</v>
      </c>
      <c r="J611">
        <v>35.96</v>
      </c>
      <c r="K611">
        <v>41.4</v>
      </c>
      <c r="L611">
        <v>40.200000000000003</v>
      </c>
      <c r="M611" s="175">
        <v>0.41</v>
      </c>
      <c r="N611" t="s">
        <v>3855</v>
      </c>
    </row>
    <row r="612" spans="1:14">
      <c r="A612">
        <v>2010</v>
      </c>
      <c r="B612" t="s">
        <v>626</v>
      </c>
      <c r="C612">
        <v>22.7</v>
      </c>
      <c r="D612">
        <v>22.7</v>
      </c>
      <c r="E612" s="178">
        <v>0</v>
      </c>
      <c r="F612" s="176">
        <v>0</v>
      </c>
      <c r="G612" t="s">
        <v>6081</v>
      </c>
      <c r="H612">
        <v>519</v>
      </c>
      <c r="I612">
        <v>717</v>
      </c>
      <c r="J612">
        <v>64.77</v>
      </c>
      <c r="K612">
        <v>22.8</v>
      </c>
      <c r="L612">
        <v>22.55</v>
      </c>
      <c r="M612" s="175">
        <v>0.08</v>
      </c>
      <c r="N612" t="s">
        <v>1601</v>
      </c>
    </row>
    <row r="613" spans="1:14">
      <c r="A613">
        <v>2012</v>
      </c>
      <c r="B613" t="s">
        <v>627</v>
      </c>
      <c r="C613">
        <v>14.55</v>
      </c>
      <c r="D613">
        <v>14.6</v>
      </c>
      <c r="E613" s="178">
        <v>-0.1</v>
      </c>
      <c r="F613" s="176">
        <v>-0.68</v>
      </c>
      <c r="G613" t="s">
        <v>5216</v>
      </c>
      <c r="H613">
        <v>97</v>
      </c>
      <c r="I613">
        <v>42</v>
      </c>
      <c r="J613">
        <v>30.22</v>
      </c>
      <c r="K613">
        <v>14.65</v>
      </c>
      <c r="L613">
        <v>14.45</v>
      </c>
      <c r="M613" s="175">
        <v>0.03</v>
      </c>
      <c r="N613" t="s">
        <v>1602</v>
      </c>
    </row>
    <row r="614" spans="1:14">
      <c r="A614">
        <v>2013</v>
      </c>
      <c r="B614" t="s">
        <v>628</v>
      </c>
      <c r="C614">
        <v>41.7</v>
      </c>
      <c r="D614">
        <v>41.45</v>
      </c>
      <c r="E614" s="178">
        <v>-0.25</v>
      </c>
      <c r="F614" s="176">
        <v>-0.6</v>
      </c>
      <c r="G614" t="s">
        <v>5781</v>
      </c>
      <c r="H614">
        <v>54</v>
      </c>
      <c r="I614">
        <v>75</v>
      </c>
      <c r="J614">
        <v>20</v>
      </c>
      <c r="K614">
        <v>41.8</v>
      </c>
      <c r="L614">
        <v>41.35</v>
      </c>
      <c r="M614" s="175">
        <v>0.03</v>
      </c>
      <c r="N614" t="s">
        <v>4179</v>
      </c>
    </row>
    <row r="615" spans="1:14">
      <c r="A615">
        <v>2014</v>
      </c>
      <c r="B615" t="s">
        <v>629</v>
      </c>
      <c r="C615">
        <v>17.05</v>
      </c>
      <c r="D615">
        <v>17.05</v>
      </c>
      <c r="E615" s="178">
        <v>0</v>
      </c>
      <c r="F615" s="176">
        <v>0</v>
      </c>
      <c r="G615" t="s">
        <v>6082</v>
      </c>
      <c r="H615">
        <v>1665</v>
      </c>
      <c r="I615">
        <v>1387</v>
      </c>
      <c r="J615">
        <v>143.55000000000001</v>
      </c>
      <c r="K615">
        <v>17.100000000000001</v>
      </c>
      <c r="L615">
        <v>16.95</v>
      </c>
      <c r="M615" s="175">
        <v>0.12</v>
      </c>
      <c r="N615" t="s">
        <v>3314</v>
      </c>
    </row>
    <row r="616" spans="1:14">
      <c r="A616">
        <v>2015</v>
      </c>
      <c r="B616" t="s">
        <v>630</v>
      </c>
      <c r="C616">
        <v>64.5</v>
      </c>
      <c r="D616">
        <v>63.8</v>
      </c>
      <c r="E616" s="178">
        <v>-0.7</v>
      </c>
      <c r="F616" s="176">
        <v>-1.0900000000000001</v>
      </c>
      <c r="G616" t="s">
        <v>6083</v>
      </c>
      <c r="H616">
        <v>170</v>
      </c>
      <c r="I616">
        <v>153</v>
      </c>
      <c r="J616">
        <v>58.16</v>
      </c>
      <c r="K616">
        <v>64.5</v>
      </c>
      <c r="L616">
        <v>63.8</v>
      </c>
      <c r="M616" s="175">
        <v>0.03</v>
      </c>
      <c r="N616" t="s">
        <v>4354</v>
      </c>
    </row>
    <row r="617" spans="1:14">
      <c r="A617">
        <v>2017</v>
      </c>
      <c r="B617" t="s">
        <v>631</v>
      </c>
      <c r="C617">
        <v>9.1999999999999993</v>
      </c>
      <c r="D617">
        <v>9.1300000000000008</v>
      </c>
      <c r="E617" s="178">
        <v>-0.19</v>
      </c>
      <c r="F617" s="176">
        <v>-2.04</v>
      </c>
      <c r="G617" t="s">
        <v>6084</v>
      </c>
      <c r="H617">
        <v>632</v>
      </c>
      <c r="I617">
        <v>2136</v>
      </c>
      <c r="J617">
        <v>44.69</v>
      </c>
      <c r="K617">
        <v>9.32</v>
      </c>
      <c r="L617">
        <v>9.1</v>
      </c>
      <c r="M617" s="175">
        <v>0.14000000000000001</v>
      </c>
      <c r="N617" t="s">
        <v>3856</v>
      </c>
    </row>
    <row r="618" spans="1:14">
      <c r="A618">
        <v>2020</v>
      </c>
      <c r="B618" t="s">
        <v>632</v>
      </c>
      <c r="C618">
        <v>21.75</v>
      </c>
      <c r="D618">
        <v>21.8</v>
      </c>
      <c r="E618" s="178">
        <v>-0.05</v>
      </c>
      <c r="F618" s="176">
        <v>-0.23</v>
      </c>
      <c r="G618" t="s">
        <v>5558</v>
      </c>
      <c r="H618">
        <v>108</v>
      </c>
      <c r="I618">
        <v>208</v>
      </c>
      <c r="J618">
        <v>26.7</v>
      </c>
      <c r="K618">
        <v>21.9</v>
      </c>
      <c r="L618">
        <v>21.7</v>
      </c>
      <c r="M618" s="175">
        <v>0.04</v>
      </c>
      <c r="N618" t="s">
        <v>1603</v>
      </c>
    </row>
    <row r="619" spans="1:14">
      <c r="A619">
        <v>2022</v>
      </c>
      <c r="B619" t="s">
        <v>3060</v>
      </c>
      <c r="C619">
        <v>7.65</v>
      </c>
      <c r="D619">
        <v>7.58</v>
      </c>
      <c r="E619" s="178">
        <v>-7.0000000000000007E-2</v>
      </c>
      <c r="F619" s="176">
        <v>-0.92</v>
      </c>
      <c r="G619" t="s">
        <v>5218</v>
      </c>
      <c r="H619">
        <v>205</v>
      </c>
      <c r="I619">
        <v>261</v>
      </c>
      <c r="J619">
        <v>33.72</v>
      </c>
      <c r="K619">
        <v>7.66</v>
      </c>
      <c r="L619">
        <v>7.57</v>
      </c>
      <c r="M619" s="175">
        <v>0.06</v>
      </c>
      <c r="N619" t="s">
        <v>3200</v>
      </c>
    </row>
    <row r="620" spans="1:14">
      <c r="A620">
        <v>2023</v>
      </c>
      <c r="B620" t="s">
        <v>633</v>
      </c>
      <c r="C620">
        <v>13.65</v>
      </c>
      <c r="D620">
        <v>14.15</v>
      </c>
      <c r="E620" s="178">
        <v>0.5</v>
      </c>
      <c r="F620" s="176">
        <v>3.66</v>
      </c>
      <c r="G620" t="s">
        <v>6085</v>
      </c>
      <c r="H620">
        <v>2225</v>
      </c>
      <c r="I620">
        <v>1039</v>
      </c>
      <c r="J620">
        <v>182.12</v>
      </c>
      <c r="K620">
        <v>14.15</v>
      </c>
      <c r="L620">
        <v>13.6</v>
      </c>
      <c r="M620" s="175">
        <v>0.12</v>
      </c>
      <c r="N620" t="s">
        <v>4355</v>
      </c>
    </row>
    <row r="621" spans="1:14">
      <c r="A621">
        <v>2024</v>
      </c>
      <c r="B621" t="s">
        <v>634</v>
      </c>
      <c r="C621">
        <v>13.4</v>
      </c>
      <c r="D621">
        <v>13.25</v>
      </c>
      <c r="E621" s="178">
        <v>-0.35</v>
      </c>
      <c r="F621" s="176">
        <v>-2.57</v>
      </c>
      <c r="G621" t="s">
        <v>5244</v>
      </c>
      <c r="H621">
        <v>12</v>
      </c>
      <c r="I621">
        <v>8</v>
      </c>
      <c r="J621">
        <v>9.75</v>
      </c>
      <c r="K621">
        <v>13.4</v>
      </c>
      <c r="L621">
        <v>13.2</v>
      </c>
      <c r="M621" s="175">
        <v>0.01</v>
      </c>
      <c r="N621" t="s">
        <v>1604</v>
      </c>
    </row>
    <row r="622" spans="1:14">
      <c r="A622">
        <v>2025</v>
      </c>
      <c r="B622" t="s">
        <v>4273</v>
      </c>
      <c r="C622">
        <v>13.05</v>
      </c>
      <c r="D622">
        <v>12.8</v>
      </c>
      <c r="E622" s="178">
        <v>-0.45</v>
      </c>
      <c r="F622" s="176">
        <v>-3.4</v>
      </c>
      <c r="G622" t="s">
        <v>6086</v>
      </c>
      <c r="H622">
        <v>720</v>
      </c>
      <c r="I622">
        <v>706</v>
      </c>
      <c r="J622">
        <v>17.27</v>
      </c>
      <c r="K622">
        <v>13.05</v>
      </c>
      <c r="L622">
        <v>12.6</v>
      </c>
      <c r="M622" s="175">
        <v>0.42</v>
      </c>
      <c r="N622" t="s">
        <v>4274</v>
      </c>
    </row>
    <row r="623" spans="1:14">
      <c r="A623">
        <v>2027</v>
      </c>
      <c r="B623" t="s">
        <v>635</v>
      </c>
      <c r="C623">
        <v>48.4</v>
      </c>
      <c r="D623">
        <v>48.8</v>
      </c>
      <c r="E623" s="178">
        <v>0.4</v>
      </c>
      <c r="F623" s="176">
        <v>0.83</v>
      </c>
      <c r="G623" t="s">
        <v>6087</v>
      </c>
      <c r="H623">
        <v>16337</v>
      </c>
      <c r="I623">
        <v>12588</v>
      </c>
      <c r="J623">
        <v>258.43</v>
      </c>
      <c r="K623">
        <v>49.45</v>
      </c>
      <c r="L623">
        <v>47.85</v>
      </c>
      <c r="M623" s="175">
        <v>0.63</v>
      </c>
      <c r="N623" t="s">
        <v>4432</v>
      </c>
    </row>
    <row r="624" spans="1:14">
      <c r="A624">
        <v>2028</v>
      </c>
      <c r="B624" t="s">
        <v>636</v>
      </c>
      <c r="C624">
        <v>15.85</v>
      </c>
      <c r="D624">
        <v>15.7</v>
      </c>
      <c r="E624" s="178">
        <v>-0.15</v>
      </c>
      <c r="F624" s="176">
        <v>-0.95</v>
      </c>
      <c r="G624" t="s">
        <v>5195</v>
      </c>
      <c r="H624">
        <v>75</v>
      </c>
      <c r="I624">
        <v>81</v>
      </c>
      <c r="J624">
        <v>32.57</v>
      </c>
      <c r="K624">
        <v>15.85</v>
      </c>
      <c r="L624">
        <v>15.65</v>
      </c>
      <c r="M624" s="175">
        <v>0.02</v>
      </c>
      <c r="N624" t="s">
        <v>3554</v>
      </c>
    </row>
    <row r="625" spans="1:14">
      <c r="A625">
        <v>2029</v>
      </c>
      <c r="B625" t="s">
        <v>637</v>
      </c>
      <c r="C625">
        <v>22</v>
      </c>
      <c r="D625">
        <v>21.95</v>
      </c>
      <c r="E625" s="178">
        <v>-0.2</v>
      </c>
      <c r="F625" s="176">
        <v>-0.9</v>
      </c>
      <c r="G625" t="s">
        <v>5741</v>
      </c>
      <c r="H625">
        <v>131</v>
      </c>
      <c r="I625">
        <v>420</v>
      </c>
      <c r="J625">
        <v>32.119999999999997</v>
      </c>
      <c r="K625">
        <v>22.2</v>
      </c>
      <c r="L625">
        <v>21.9</v>
      </c>
      <c r="M625" s="175">
        <v>0.04</v>
      </c>
      <c r="N625" t="s">
        <v>3201</v>
      </c>
    </row>
    <row r="626" spans="1:14">
      <c r="A626">
        <v>2030</v>
      </c>
      <c r="B626" t="s">
        <v>638</v>
      </c>
      <c r="C626">
        <v>23.05</v>
      </c>
      <c r="D626">
        <v>22.65</v>
      </c>
      <c r="E626" s="178">
        <v>-0.15</v>
      </c>
      <c r="F626" s="176">
        <v>-0.66</v>
      </c>
      <c r="G626" t="s">
        <v>5622</v>
      </c>
      <c r="H626">
        <v>1675</v>
      </c>
      <c r="I626">
        <v>4125</v>
      </c>
      <c r="J626">
        <v>28.05</v>
      </c>
      <c r="K626">
        <v>23.1</v>
      </c>
      <c r="L626">
        <v>22.55</v>
      </c>
      <c r="M626" s="175">
        <v>0.6</v>
      </c>
      <c r="N626" t="s">
        <v>4433</v>
      </c>
    </row>
    <row r="627" spans="1:14">
      <c r="A627">
        <v>2031</v>
      </c>
      <c r="B627" t="s">
        <v>1605</v>
      </c>
      <c r="C627">
        <v>45.3</v>
      </c>
      <c r="D627">
        <v>45</v>
      </c>
      <c r="E627" s="178">
        <v>-0.4</v>
      </c>
      <c r="F627" s="176">
        <v>-0.88</v>
      </c>
      <c r="G627" t="s">
        <v>6088</v>
      </c>
      <c r="H627">
        <v>707</v>
      </c>
      <c r="I627">
        <v>1018</v>
      </c>
      <c r="J627">
        <v>32.11</v>
      </c>
      <c r="K627">
        <v>45.6</v>
      </c>
      <c r="L627">
        <v>44.8</v>
      </c>
      <c r="M627" s="175">
        <v>0.22</v>
      </c>
      <c r="N627" t="s">
        <v>3315</v>
      </c>
    </row>
    <row r="628" spans="1:14">
      <c r="A628">
        <v>2032</v>
      </c>
      <c r="B628" t="s">
        <v>639</v>
      </c>
      <c r="C628">
        <v>17.149999999999999</v>
      </c>
      <c r="D628">
        <v>17.25</v>
      </c>
      <c r="E628" s="178">
        <v>0.1</v>
      </c>
      <c r="F628" s="176">
        <v>0.57999999999999996</v>
      </c>
      <c r="G628" t="s">
        <v>6089</v>
      </c>
      <c r="H628">
        <v>229</v>
      </c>
      <c r="I628">
        <v>389</v>
      </c>
      <c r="J628">
        <v>13.05</v>
      </c>
      <c r="K628">
        <v>17.25</v>
      </c>
      <c r="L628">
        <v>17.05</v>
      </c>
      <c r="M628" s="175">
        <v>0.18</v>
      </c>
      <c r="N628" t="s">
        <v>1606</v>
      </c>
    </row>
    <row r="629" spans="1:14">
      <c r="A629">
        <v>2033</v>
      </c>
      <c r="B629" t="s">
        <v>640</v>
      </c>
      <c r="C629">
        <v>28</v>
      </c>
      <c r="D629">
        <v>26</v>
      </c>
      <c r="E629" s="178">
        <v>0.35</v>
      </c>
      <c r="F629" s="176">
        <v>1.36</v>
      </c>
      <c r="G629" t="s">
        <v>5149</v>
      </c>
      <c r="H629">
        <v>4329</v>
      </c>
      <c r="I629">
        <v>1366</v>
      </c>
      <c r="J629">
        <v>12</v>
      </c>
      <c r="K629">
        <v>28.2</v>
      </c>
      <c r="L629">
        <v>25.95</v>
      </c>
      <c r="M629" s="175">
        <v>5.36</v>
      </c>
      <c r="N629" t="s">
        <v>1607</v>
      </c>
    </row>
    <row r="630" spans="1:14">
      <c r="A630">
        <v>2034</v>
      </c>
      <c r="B630" t="s">
        <v>641</v>
      </c>
      <c r="C630">
        <v>20.55</v>
      </c>
      <c r="D630">
        <v>20.55</v>
      </c>
      <c r="E630" s="178">
        <v>0.1</v>
      </c>
      <c r="F630" s="176">
        <v>0.49</v>
      </c>
      <c r="G630" t="s">
        <v>5542</v>
      </c>
      <c r="H630">
        <v>898</v>
      </c>
      <c r="I630">
        <v>990</v>
      </c>
      <c r="J630">
        <v>52.9</v>
      </c>
      <c r="K630">
        <v>20.7</v>
      </c>
      <c r="L630">
        <v>20.399999999999999</v>
      </c>
      <c r="M630" s="175">
        <v>0.17</v>
      </c>
      <c r="N630" t="s">
        <v>4434</v>
      </c>
    </row>
    <row r="631" spans="1:14">
      <c r="A631">
        <v>2035</v>
      </c>
      <c r="B631" t="s">
        <v>642</v>
      </c>
      <c r="C631">
        <v>27</v>
      </c>
      <c r="D631">
        <v>27</v>
      </c>
      <c r="E631" s="178">
        <v>0</v>
      </c>
      <c r="F631" s="176">
        <v>0</v>
      </c>
      <c r="G631" t="s">
        <v>5546</v>
      </c>
      <c r="H631">
        <v>1</v>
      </c>
      <c r="I631">
        <v>0</v>
      </c>
      <c r="J631">
        <v>35</v>
      </c>
      <c r="K631">
        <v>27</v>
      </c>
      <c r="L631">
        <v>27</v>
      </c>
      <c r="M631" s="175">
        <v>0</v>
      </c>
      <c r="N631" t="s">
        <v>4435</v>
      </c>
    </row>
    <row r="632" spans="1:14">
      <c r="A632">
        <v>2038</v>
      </c>
      <c r="B632" t="s">
        <v>643</v>
      </c>
      <c r="C632">
        <v>12.8</v>
      </c>
      <c r="D632">
        <v>12.95</v>
      </c>
      <c r="E632" s="178">
        <v>0.15</v>
      </c>
      <c r="F632" s="176">
        <v>1.17</v>
      </c>
      <c r="G632" t="s">
        <v>5215</v>
      </c>
      <c r="H632">
        <v>118</v>
      </c>
      <c r="I632">
        <v>166</v>
      </c>
      <c r="J632">
        <v>19.41</v>
      </c>
      <c r="K632">
        <v>12.95</v>
      </c>
      <c r="L632">
        <v>12.75</v>
      </c>
      <c r="M632" s="175">
        <v>0.06</v>
      </c>
      <c r="N632" t="s">
        <v>1608</v>
      </c>
    </row>
    <row r="633" spans="1:14">
      <c r="A633">
        <v>2049</v>
      </c>
      <c r="B633" t="s">
        <v>210</v>
      </c>
      <c r="C633">
        <v>350</v>
      </c>
      <c r="D633">
        <v>350</v>
      </c>
      <c r="E633" s="178">
        <v>-4</v>
      </c>
      <c r="F633" s="176">
        <v>-1.1299999999999999</v>
      </c>
      <c r="G633" t="s">
        <v>6090</v>
      </c>
      <c r="H633">
        <v>2485</v>
      </c>
      <c r="I633">
        <v>2939</v>
      </c>
      <c r="J633">
        <v>35.380000000000003</v>
      </c>
      <c r="K633">
        <v>351</v>
      </c>
      <c r="L633">
        <v>340</v>
      </c>
      <c r="M633" s="175">
        <v>0.7</v>
      </c>
      <c r="N633" t="s">
        <v>3316</v>
      </c>
    </row>
    <row r="634" spans="1:14">
      <c r="A634">
        <v>2059</v>
      </c>
      <c r="B634" t="s">
        <v>644</v>
      </c>
      <c r="C634">
        <v>14250</v>
      </c>
      <c r="D634">
        <v>14180</v>
      </c>
      <c r="E634" s="178">
        <v>-120</v>
      </c>
      <c r="F634" s="176">
        <v>-0.84</v>
      </c>
      <c r="G634" t="s">
        <v>5344</v>
      </c>
      <c r="H634">
        <v>941</v>
      </c>
      <c r="I634">
        <v>508</v>
      </c>
      <c r="J634">
        <v>9.5299999999999994</v>
      </c>
      <c r="K634">
        <v>14310</v>
      </c>
      <c r="L634">
        <v>13850</v>
      </c>
      <c r="M634" s="175">
        <v>0.99</v>
      </c>
      <c r="N634" t="s">
        <v>1609</v>
      </c>
    </row>
    <row r="635" spans="1:14">
      <c r="A635">
        <v>2061</v>
      </c>
      <c r="B635" t="s">
        <v>645</v>
      </c>
      <c r="C635">
        <v>51</v>
      </c>
      <c r="D635">
        <v>51.6</v>
      </c>
      <c r="E635" s="178">
        <v>-0.1</v>
      </c>
      <c r="F635" s="176">
        <v>-0.19</v>
      </c>
      <c r="G635" t="s">
        <v>6091</v>
      </c>
      <c r="H635">
        <v>1696</v>
      </c>
      <c r="I635">
        <v>1608</v>
      </c>
      <c r="J635">
        <v>5.74</v>
      </c>
      <c r="K635">
        <v>52.6</v>
      </c>
      <c r="L635">
        <v>50.8</v>
      </c>
      <c r="M635" s="175">
        <v>2.96</v>
      </c>
      <c r="N635" t="s">
        <v>3555</v>
      </c>
    </row>
    <row r="636" spans="1:14">
      <c r="A636">
        <v>2062</v>
      </c>
      <c r="B636" t="s">
        <v>646</v>
      </c>
      <c r="C636">
        <v>19.2</v>
      </c>
      <c r="D636">
        <v>19.05</v>
      </c>
      <c r="E636" s="178">
        <v>-0.15</v>
      </c>
      <c r="F636" s="176">
        <v>-0.78</v>
      </c>
      <c r="G636" t="s">
        <v>5405</v>
      </c>
      <c r="H636">
        <v>96</v>
      </c>
      <c r="I636">
        <v>119</v>
      </c>
      <c r="J636">
        <v>20</v>
      </c>
      <c r="K636">
        <v>19.2</v>
      </c>
      <c r="L636">
        <v>19</v>
      </c>
      <c r="M636" s="175">
        <v>0.05</v>
      </c>
      <c r="N636" t="s">
        <v>3857</v>
      </c>
    </row>
    <row r="637" spans="1:14">
      <c r="A637">
        <v>2063</v>
      </c>
      <c r="B637" t="s">
        <v>647</v>
      </c>
      <c r="C637">
        <v>24.05</v>
      </c>
      <c r="D637">
        <v>24</v>
      </c>
      <c r="E637" s="178">
        <v>0.05</v>
      </c>
      <c r="F637" s="176">
        <v>0.21</v>
      </c>
      <c r="G637" t="s">
        <v>6092</v>
      </c>
      <c r="H637">
        <v>28</v>
      </c>
      <c r="I637">
        <v>36</v>
      </c>
      <c r="J637">
        <v>4.8099999999999996</v>
      </c>
      <c r="K637">
        <v>24.25</v>
      </c>
      <c r="L637">
        <v>24</v>
      </c>
      <c r="M637" s="175">
        <v>0.06</v>
      </c>
      <c r="N637" t="s">
        <v>4356</v>
      </c>
    </row>
    <row r="638" spans="1:14">
      <c r="A638">
        <v>2064</v>
      </c>
      <c r="B638" t="s">
        <v>648</v>
      </c>
      <c r="C638" t="s">
        <v>1667</v>
      </c>
      <c r="D638" t="s">
        <v>1667</v>
      </c>
      <c r="E638" s="178" t="s">
        <v>1667</v>
      </c>
      <c r="F638" s="176" t="s">
        <v>1667</v>
      </c>
      <c r="G638" t="s">
        <v>1667</v>
      </c>
      <c r="H638">
        <v>0</v>
      </c>
      <c r="I638">
        <v>183</v>
      </c>
      <c r="J638">
        <v>6.93</v>
      </c>
      <c r="K638" t="s">
        <v>1667</v>
      </c>
      <c r="L638" t="s">
        <v>1667</v>
      </c>
      <c r="M638" s="175">
        <v>0</v>
      </c>
      <c r="N638" t="s">
        <v>1610</v>
      </c>
    </row>
    <row r="639" spans="1:14">
      <c r="A639">
        <v>2065</v>
      </c>
      <c r="B639" t="s">
        <v>4628</v>
      </c>
      <c r="C639">
        <v>36.65</v>
      </c>
      <c r="D639">
        <v>36.5</v>
      </c>
      <c r="E639" s="178">
        <v>-0.15</v>
      </c>
      <c r="F639" s="176">
        <v>-0.41</v>
      </c>
      <c r="G639" t="s">
        <v>5274</v>
      </c>
      <c r="H639">
        <v>34</v>
      </c>
      <c r="I639">
        <v>43</v>
      </c>
      <c r="J639">
        <v>6.35</v>
      </c>
      <c r="K639">
        <v>36.65</v>
      </c>
      <c r="L639">
        <v>36.450000000000003</v>
      </c>
      <c r="M639" s="175">
        <v>0.05</v>
      </c>
      <c r="N639" t="s">
        <v>4629</v>
      </c>
    </row>
    <row r="640" spans="1:14">
      <c r="A640">
        <v>2066</v>
      </c>
      <c r="B640" t="s">
        <v>649</v>
      </c>
      <c r="C640">
        <v>54</v>
      </c>
      <c r="D640">
        <v>53.9</v>
      </c>
      <c r="E640" s="178">
        <v>-0.1</v>
      </c>
      <c r="F640" s="176">
        <v>-0.19</v>
      </c>
      <c r="G640" t="s">
        <v>5221</v>
      </c>
      <c r="H640">
        <v>25</v>
      </c>
      <c r="I640">
        <v>74</v>
      </c>
      <c r="J640">
        <v>4.4400000000000004</v>
      </c>
      <c r="K640">
        <v>54.3</v>
      </c>
      <c r="L640">
        <v>53.9</v>
      </c>
      <c r="M640" s="175">
        <v>0.06</v>
      </c>
      <c r="N640" t="s">
        <v>1611</v>
      </c>
    </row>
    <row r="641" spans="1:14">
      <c r="A641">
        <v>2067</v>
      </c>
      <c r="B641" t="s">
        <v>650</v>
      </c>
      <c r="C641">
        <v>5.35</v>
      </c>
      <c r="D641">
        <v>5.26</v>
      </c>
      <c r="E641" s="178">
        <v>0.16</v>
      </c>
      <c r="F641" s="176">
        <v>3.14</v>
      </c>
      <c r="G641" t="s">
        <v>5543</v>
      </c>
      <c r="H641">
        <v>5</v>
      </c>
      <c r="I641">
        <v>23</v>
      </c>
      <c r="J641">
        <v>4.51</v>
      </c>
      <c r="K641">
        <v>5.35</v>
      </c>
      <c r="L641">
        <v>5.26</v>
      </c>
      <c r="M641" s="175">
        <v>0.01</v>
      </c>
      <c r="N641" t="s">
        <v>1612</v>
      </c>
    </row>
    <row r="642" spans="1:14">
      <c r="A642">
        <v>2069</v>
      </c>
      <c r="B642" t="s">
        <v>651</v>
      </c>
      <c r="C642">
        <v>21.3</v>
      </c>
      <c r="D642">
        <v>21.2</v>
      </c>
      <c r="E642" s="178">
        <v>-0.2</v>
      </c>
      <c r="F642" s="176">
        <v>-0.93</v>
      </c>
      <c r="G642" t="s">
        <v>6093</v>
      </c>
      <c r="H642">
        <v>499</v>
      </c>
      <c r="I642">
        <v>858</v>
      </c>
      <c r="J642">
        <v>16.64</v>
      </c>
      <c r="K642">
        <v>21.85</v>
      </c>
      <c r="L642">
        <v>21.15</v>
      </c>
      <c r="M642" s="175">
        <v>0.3</v>
      </c>
      <c r="N642" t="s">
        <v>4436</v>
      </c>
    </row>
    <row r="643" spans="1:14">
      <c r="A643">
        <v>2070</v>
      </c>
      <c r="B643" t="s">
        <v>347</v>
      </c>
      <c r="C643">
        <v>67.099999999999994</v>
      </c>
      <c r="D643">
        <v>69.5</v>
      </c>
      <c r="E643" s="178">
        <v>2.4</v>
      </c>
      <c r="F643" s="176">
        <v>3.58</v>
      </c>
      <c r="G643" t="s">
        <v>6094</v>
      </c>
      <c r="H643">
        <v>344</v>
      </c>
      <c r="I643">
        <v>270</v>
      </c>
      <c r="J643">
        <v>4.18</v>
      </c>
      <c r="K643">
        <v>70.5</v>
      </c>
      <c r="L643">
        <v>67.099999999999994</v>
      </c>
      <c r="M643" s="175">
        <v>0.82</v>
      </c>
      <c r="N643" t="s">
        <v>3395</v>
      </c>
    </row>
    <row r="644" spans="1:14">
      <c r="A644">
        <v>2072</v>
      </c>
      <c r="B644" t="s">
        <v>4947</v>
      </c>
      <c r="C644">
        <v>144</v>
      </c>
      <c r="D644">
        <v>141.5</v>
      </c>
      <c r="E644" s="178">
        <v>-2.5</v>
      </c>
      <c r="F644" s="176">
        <v>-1.74</v>
      </c>
      <c r="G644" t="s">
        <v>6095</v>
      </c>
      <c r="H644">
        <v>240</v>
      </c>
      <c r="I644">
        <v>359</v>
      </c>
      <c r="J644">
        <v>19.2</v>
      </c>
      <c r="K644">
        <v>144</v>
      </c>
      <c r="L644">
        <v>141</v>
      </c>
      <c r="M644" s="175">
        <v>0.13</v>
      </c>
      <c r="N644" t="s">
        <v>4948</v>
      </c>
    </row>
    <row r="645" spans="1:14">
      <c r="A645">
        <v>2073</v>
      </c>
      <c r="B645" t="s">
        <v>2601</v>
      </c>
      <c r="C645">
        <v>26.4</v>
      </c>
      <c r="D645">
        <v>26.4</v>
      </c>
      <c r="E645" s="178">
        <v>0</v>
      </c>
      <c r="F645" s="176">
        <v>0</v>
      </c>
      <c r="G645" t="s">
        <v>6096</v>
      </c>
      <c r="H645">
        <v>1</v>
      </c>
      <c r="I645">
        <v>0</v>
      </c>
      <c r="J645">
        <v>2.75</v>
      </c>
      <c r="K645">
        <v>26.4</v>
      </c>
      <c r="L645">
        <v>26.4</v>
      </c>
      <c r="M645" s="175">
        <v>0</v>
      </c>
      <c r="N645" t="s">
        <v>3858</v>
      </c>
    </row>
    <row r="646" spans="1:14">
      <c r="A646">
        <v>2101</v>
      </c>
      <c r="B646" t="s">
        <v>4614</v>
      </c>
      <c r="C646">
        <v>31.7</v>
      </c>
      <c r="D646">
        <v>31.25</v>
      </c>
      <c r="E646" s="178">
        <v>-0.5</v>
      </c>
      <c r="F646" s="176">
        <v>-1.57</v>
      </c>
      <c r="G646" t="s">
        <v>6097</v>
      </c>
      <c r="H646">
        <v>2006</v>
      </c>
      <c r="I646">
        <v>1686</v>
      </c>
      <c r="J646">
        <v>73.39</v>
      </c>
      <c r="K646">
        <v>31.7</v>
      </c>
      <c r="L646">
        <v>31.2</v>
      </c>
      <c r="M646" s="175">
        <v>0.27</v>
      </c>
      <c r="N646" t="s">
        <v>4615</v>
      </c>
    </row>
    <row r="647" spans="1:14">
      <c r="A647">
        <v>2102</v>
      </c>
      <c r="B647" t="s">
        <v>652</v>
      </c>
      <c r="C647">
        <v>18.45</v>
      </c>
      <c r="D647">
        <v>18.5</v>
      </c>
      <c r="E647" s="178">
        <v>-0.05</v>
      </c>
      <c r="F647" s="176">
        <v>-0.27</v>
      </c>
      <c r="G647" t="s">
        <v>5214</v>
      </c>
      <c r="H647">
        <v>166</v>
      </c>
      <c r="I647">
        <v>242</v>
      </c>
      <c r="J647">
        <v>47.33</v>
      </c>
      <c r="K647">
        <v>18.55</v>
      </c>
      <c r="L647">
        <v>18.399999999999999</v>
      </c>
      <c r="M647" s="175">
        <v>0.04</v>
      </c>
      <c r="N647" t="s">
        <v>1613</v>
      </c>
    </row>
    <row r="648" spans="1:14">
      <c r="A648">
        <v>2103</v>
      </c>
      <c r="B648" t="s">
        <v>1614</v>
      </c>
      <c r="C648">
        <v>28.3</v>
      </c>
      <c r="D648">
        <v>28.4</v>
      </c>
      <c r="E648" s="178">
        <v>0.2</v>
      </c>
      <c r="F648" s="176">
        <v>0.71</v>
      </c>
      <c r="G648" t="s">
        <v>6098</v>
      </c>
      <c r="H648">
        <v>2894</v>
      </c>
      <c r="I648">
        <v>4686</v>
      </c>
      <c r="J648">
        <v>82.57</v>
      </c>
      <c r="K648">
        <v>28.55</v>
      </c>
      <c r="L648">
        <v>28.05</v>
      </c>
      <c r="M648" s="175">
        <v>0.35</v>
      </c>
      <c r="N648" t="s">
        <v>3202</v>
      </c>
    </row>
    <row r="649" spans="1:14">
      <c r="A649">
        <v>2104</v>
      </c>
      <c r="B649" t="s">
        <v>653</v>
      </c>
      <c r="C649">
        <v>10.199999999999999</v>
      </c>
      <c r="D649">
        <v>10.45</v>
      </c>
      <c r="E649" s="178">
        <v>0.2</v>
      </c>
      <c r="F649" s="176">
        <v>1.95</v>
      </c>
      <c r="G649" t="s">
        <v>6099</v>
      </c>
      <c r="H649">
        <v>2229</v>
      </c>
      <c r="I649">
        <v>3876</v>
      </c>
      <c r="J649">
        <v>98.47</v>
      </c>
      <c r="K649">
        <v>10.55</v>
      </c>
      <c r="L649">
        <v>10.199999999999999</v>
      </c>
      <c r="M649" s="175">
        <v>0.23</v>
      </c>
      <c r="N649" t="s">
        <v>3022</v>
      </c>
    </row>
    <row r="650" spans="1:14">
      <c r="A650">
        <v>2105</v>
      </c>
      <c r="B650" t="s">
        <v>654</v>
      </c>
      <c r="C650">
        <v>30.55</v>
      </c>
      <c r="D650">
        <v>30.9</v>
      </c>
      <c r="E650" s="178">
        <v>0.35</v>
      </c>
      <c r="F650" s="176">
        <v>1.1499999999999999</v>
      </c>
      <c r="G650" t="s">
        <v>5202</v>
      </c>
      <c r="H650">
        <v>4546</v>
      </c>
      <c r="I650">
        <v>4048</v>
      </c>
      <c r="J650">
        <v>324.14</v>
      </c>
      <c r="K650">
        <v>30.9</v>
      </c>
      <c r="L650">
        <v>30.35</v>
      </c>
      <c r="M650" s="175">
        <v>0.14000000000000001</v>
      </c>
      <c r="N650" t="s">
        <v>1615</v>
      </c>
    </row>
    <row r="651" spans="1:14">
      <c r="A651">
        <v>2106</v>
      </c>
      <c r="B651" t="s">
        <v>655</v>
      </c>
      <c r="C651">
        <v>16.899999999999999</v>
      </c>
      <c r="D651">
        <v>17.100000000000001</v>
      </c>
      <c r="E651" s="178">
        <v>0.25</v>
      </c>
      <c r="F651" s="176">
        <v>1.48</v>
      </c>
      <c r="G651" t="s">
        <v>5820</v>
      </c>
      <c r="H651">
        <v>15561</v>
      </c>
      <c r="I651">
        <v>1976</v>
      </c>
      <c r="J651">
        <v>95.49</v>
      </c>
      <c r="K651">
        <v>17.25</v>
      </c>
      <c r="L651">
        <v>16.8</v>
      </c>
      <c r="M651" s="175">
        <v>1.63</v>
      </c>
      <c r="N651" t="s">
        <v>3203</v>
      </c>
    </row>
    <row r="652" spans="1:14">
      <c r="A652">
        <v>2107</v>
      </c>
      <c r="B652" t="s">
        <v>656</v>
      </c>
      <c r="C652">
        <v>26.6</v>
      </c>
      <c r="D652">
        <v>26.9</v>
      </c>
      <c r="E652" s="178">
        <v>0</v>
      </c>
      <c r="F652" s="176">
        <v>0</v>
      </c>
      <c r="G652" t="s">
        <v>5455</v>
      </c>
      <c r="H652">
        <v>197</v>
      </c>
      <c r="I652">
        <v>372</v>
      </c>
      <c r="J652">
        <v>30.36</v>
      </c>
      <c r="K652">
        <v>27.05</v>
      </c>
      <c r="L652">
        <v>26.55</v>
      </c>
      <c r="M652" s="175">
        <v>0.06</v>
      </c>
      <c r="N652" t="s">
        <v>3556</v>
      </c>
    </row>
    <row r="653" spans="1:14">
      <c r="A653">
        <v>2108</v>
      </c>
      <c r="B653" t="s">
        <v>657</v>
      </c>
      <c r="C653">
        <v>30.45</v>
      </c>
      <c r="D653">
        <v>30.5</v>
      </c>
      <c r="E653" s="178">
        <v>0.05</v>
      </c>
      <c r="F653" s="176">
        <v>0.16</v>
      </c>
      <c r="G653" t="s">
        <v>5617</v>
      </c>
      <c r="H653">
        <v>573</v>
      </c>
      <c r="I653">
        <v>880</v>
      </c>
      <c r="J653">
        <v>49.24</v>
      </c>
      <c r="K653">
        <v>30.85</v>
      </c>
      <c r="L653">
        <v>30.1</v>
      </c>
      <c r="M653" s="175">
        <v>0.12</v>
      </c>
      <c r="N653" t="s">
        <v>3859</v>
      </c>
    </row>
    <row r="654" spans="1:14">
      <c r="A654">
        <v>2109</v>
      </c>
      <c r="B654" t="s">
        <v>658</v>
      </c>
      <c r="C654">
        <v>14.8</v>
      </c>
      <c r="D654">
        <v>14.8</v>
      </c>
      <c r="E654" s="178">
        <v>0</v>
      </c>
      <c r="F654" s="176">
        <v>0</v>
      </c>
      <c r="G654" t="s">
        <v>6100</v>
      </c>
      <c r="H654">
        <v>82</v>
      </c>
      <c r="I654">
        <v>65</v>
      </c>
      <c r="J654">
        <v>27.93</v>
      </c>
      <c r="K654">
        <v>14.85</v>
      </c>
      <c r="L654">
        <v>14.75</v>
      </c>
      <c r="M654" s="175">
        <v>0.03</v>
      </c>
      <c r="N654" t="s">
        <v>1616</v>
      </c>
    </row>
    <row r="655" spans="1:14">
      <c r="A655">
        <v>2114</v>
      </c>
      <c r="B655" t="s">
        <v>659</v>
      </c>
      <c r="C655">
        <v>89</v>
      </c>
      <c r="D655">
        <v>89.3</v>
      </c>
      <c r="E655" s="178">
        <v>0.3</v>
      </c>
      <c r="F655" s="176">
        <v>0.34</v>
      </c>
      <c r="G655" t="s">
        <v>6101</v>
      </c>
      <c r="H655">
        <v>30</v>
      </c>
      <c r="I655">
        <v>56</v>
      </c>
      <c r="J655">
        <v>7.8</v>
      </c>
      <c r="K655">
        <v>89.6</v>
      </c>
      <c r="L655">
        <v>88.8</v>
      </c>
      <c r="M655" s="175">
        <v>0.04</v>
      </c>
      <c r="N655" t="s">
        <v>3204</v>
      </c>
    </row>
    <row r="656" spans="1:14">
      <c r="A656">
        <v>2115</v>
      </c>
      <c r="B656" t="s">
        <v>660</v>
      </c>
      <c r="C656">
        <v>23.9</v>
      </c>
      <c r="D656">
        <v>23.9</v>
      </c>
      <c r="E656" s="178">
        <v>0</v>
      </c>
      <c r="F656" s="176">
        <v>0</v>
      </c>
      <c r="G656" t="s">
        <v>6102</v>
      </c>
      <c r="H656">
        <v>24</v>
      </c>
      <c r="I656">
        <v>44</v>
      </c>
      <c r="J656">
        <v>10.44</v>
      </c>
      <c r="K656">
        <v>23.95</v>
      </c>
      <c r="L656">
        <v>23.8</v>
      </c>
      <c r="M656" s="175">
        <v>0.02</v>
      </c>
      <c r="N656" t="s">
        <v>1617</v>
      </c>
    </row>
    <row r="657" spans="1:14">
      <c r="A657">
        <v>2201</v>
      </c>
      <c r="B657" t="s">
        <v>661</v>
      </c>
      <c r="C657">
        <v>28.4</v>
      </c>
      <c r="D657">
        <v>29.75</v>
      </c>
      <c r="E657" s="178">
        <v>1.35</v>
      </c>
      <c r="F657" s="176">
        <v>4.75</v>
      </c>
      <c r="G657" t="s">
        <v>5242</v>
      </c>
      <c r="H657">
        <v>7242</v>
      </c>
      <c r="I657">
        <v>2016</v>
      </c>
      <c r="J657">
        <v>107</v>
      </c>
      <c r="K657">
        <v>29.8</v>
      </c>
      <c r="L657">
        <v>28.2</v>
      </c>
      <c r="M657" s="175">
        <v>0.68</v>
      </c>
      <c r="N657" t="s">
        <v>4893</v>
      </c>
    </row>
    <row r="658" spans="1:14">
      <c r="A658">
        <v>2204</v>
      </c>
      <c r="B658" t="s">
        <v>662</v>
      </c>
      <c r="C658">
        <v>53.4</v>
      </c>
      <c r="D658">
        <v>54</v>
      </c>
      <c r="E658" s="178">
        <v>0.6</v>
      </c>
      <c r="F658" s="176">
        <v>1.1200000000000001</v>
      </c>
      <c r="G658" t="s">
        <v>6103</v>
      </c>
      <c r="H658">
        <v>548</v>
      </c>
      <c r="I658">
        <v>701</v>
      </c>
      <c r="J658">
        <v>55.36</v>
      </c>
      <c r="K658">
        <v>54</v>
      </c>
      <c r="L658">
        <v>53</v>
      </c>
      <c r="M658" s="175">
        <v>0.1</v>
      </c>
      <c r="N658" t="s">
        <v>3205</v>
      </c>
    </row>
    <row r="659" spans="1:14">
      <c r="A659">
        <v>2206</v>
      </c>
      <c r="B659" t="s">
        <v>663</v>
      </c>
      <c r="C659">
        <v>62.8</v>
      </c>
      <c r="D659">
        <v>63.1</v>
      </c>
      <c r="E659" s="178">
        <v>0</v>
      </c>
      <c r="F659" s="176">
        <v>0</v>
      </c>
      <c r="G659" t="s">
        <v>6104</v>
      </c>
      <c r="H659">
        <v>800</v>
      </c>
      <c r="I659">
        <v>646</v>
      </c>
      <c r="J659">
        <v>77.37</v>
      </c>
      <c r="K659">
        <v>63.2</v>
      </c>
      <c r="L659">
        <v>62.3</v>
      </c>
      <c r="M659" s="175">
        <v>0.1</v>
      </c>
      <c r="N659" t="s">
        <v>3610</v>
      </c>
    </row>
    <row r="660" spans="1:14">
      <c r="A660">
        <v>2207</v>
      </c>
      <c r="B660" t="s">
        <v>664</v>
      </c>
      <c r="C660">
        <v>521</v>
      </c>
      <c r="D660">
        <v>513</v>
      </c>
      <c r="E660" s="178">
        <v>-7</v>
      </c>
      <c r="F660" s="176">
        <v>-1.35</v>
      </c>
      <c r="G660" t="s">
        <v>5391</v>
      </c>
      <c r="H660">
        <v>759</v>
      </c>
      <c r="I660">
        <v>177</v>
      </c>
      <c r="J660">
        <v>55.71</v>
      </c>
      <c r="K660">
        <v>521</v>
      </c>
      <c r="L660">
        <v>512</v>
      </c>
      <c r="M660" s="175">
        <v>0.14000000000000001</v>
      </c>
      <c r="N660" t="s">
        <v>1618</v>
      </c>
    </row>
    <row r="661" spans="1:14">
      <c r="A661">
        <v>2208</v>
      </c>
      <c r="B661" t="s">
        <v>1619</v>
      </c>
      <c r="C661">
        <v>19.350000000000001</v>
      </c>
      <c r="D661">
        <v>19.3</v>
      </c>
      <c r="E661" s="178">
        <v>0.1</v>
      </c>
      <c r="F661" s="176">
        <v>0.52</v>
      </c>
      <c r="G661" t="s">
        <v>6105</v>
      </c>
      <c r="H661">
        <v>1696</v>
      </c>
      <c r="I661">
        <v>2978</v>
      </c>
      <c r="J661">
        <v>127.45</v>
      </c>
      <c r="K661">
        <v>19.399999999999999</v>
      </c>
      <c r="L661">
        <v>19.149999999999999</v>
      </c>
      <c r="M661" s="175">
        <v>0.15</v>
      </c>
      <c r="N661" t="s">
        <v>3972</v>
      </c>
    </row>
    <row r="662" spans="1:14">
      <c r="A662">
        <v>2211</v>
      </c>
      <c r="B662" t="s">
        <v>1620</v>
      </c>
      <c r="C662">
        <v>83.1</v>
      </c>
      <c r="D662">
        <v>82.6</v>
      </c>
      <c r="E662" s="178">
        <v>-0.5</v>
      </c>
      <c r="F662" s="176">
        <v>-0.6</v>
      </c>
      <c r="G662" t="s">
        <v>6106</v>
      </c>
      <c r="H662">
        <v>328</v>
      </c>
      <c r="I662">
        <v>384</v>
      </c>
      <c r="J662">
        <v>41.71</v>
      </c>
      <c r="K662">
        <v>83.5</v>
      </c>
      <c r="L662">
        <v>82.6</v>
      </c>
      <c r="M662" s="175">
        <v>0.08</v>
      </c>
      <c r="N662" t="s">
        <v>3206</v>
      </c>
    </row>
    <row r="663" spans="1:14">
      <c r="A663">
        <v>2221</v>
      </c>
      <c r="B663" t="s">
        <v>4630</v>
      </c>
      <c r="C663">
        <v>78.5</v>
      </c>
      <c r="D663">
        <v>76</v>
      </c>
      <c r="E663" s="178">
        <v>-3.7</v>
      </c>
      <c r="F663" s="176">
        <v>-4.6399999999999997</v>
      </c>
      <c r="G663" t="s">
        <v>5239</v>
      </c>
      <c r="H663">
        <v>2581</v>
      </c>
      <c r="I663">
        <v>2496</v>
      </c>
      <c r="J663">
        <v>4.2300000000000004</v>
      </c>
      <c r="K663">
        <v>79.7</v>
      </c>
      <c r="L663">
        <v>71.900000000000006</v>
      </c>
      <c r="M663" s="175">
        <v>6.1</v>
      </c>
      <c r="N663" t="s">
        <v>4631</v>
      </c>
    </row>
    <row r="664" spans="1:14">
      <c r="A664">
        <v>2227</v>
      </c>
      <c r="B664" t="s">
        <v>665</v>
      </c>
      <c r="C664">
        <v>47.8</v>
      </c>
      <c r="D664">
        <v>47.4</v>
      </c>
      <c r="E664" s="178">
        <v>-0.6</v>
      </c>
      <c r="F664" s="176">
        <v>-1.25</v>
      </c>
      <c r="G664" t="s">
        <v>6107</v>
      </c>
      <c r="H664">
        <v>38</v>
      </c>
      <c r="I664">
        <v>38</v>
      </c>
      <c r="J664">
        <v>30</v>
      </c>
      <c r="K664">
        <v>47.8</v>
      </c>
      <c r="L664">
        <v>47.2</v>
      </c>
      <c r="M664" s="175">
        <v>0.01</v>
      </c>
      <c r="N664" t="s">
        <v>3165</v>
      </c>
    </row>
    <row r="665" spans="1:14">
      <c r="A665">
        <v>2228</v>
      </c>
      <c r="B665" t="s">
        <v>666</v>
      </c>
      <c r="C665">
        <v>74.599999999999994</v>
      </c>
      <c r="D665">
        <v>74.900000000000006</v>
      </c>
      <c r="E665" s="178">
        <v>0.3</v>
      </c>
      <c r="F665" s="176">
        <v>0.4</v>
      </c>
      <c r="G665" t="s">
        <v>5475</v>
      </c>
      <c r="H665">
        <v>91</v>
      </c>
      <c r="I665">
        <v>117</v>
      </c>
      <c r="J665">
        <v>7.98</v>
      </c>
      <c r="K665">
        <v>75.3</v>
      </c>
      <c r="L665">
        <v>74.400000000000006</v>
      </c>
      <c r="M665" s="175">
        <v>0.11</v>
      </c>
      <c r="N665" t="s">
        <v>1621</v>
      </c>
    </row>
    <row r="666" spans="1:14">
      <c r="A666">
        <v>2230</v>
      </c>
      <c r="B666" t="s">
        <v>667</v>
      </c>
      <c r="C666">
        <v>23.4</v>
      </c>
      <c r="D666">
        <v>22.5</v>
      </c>
      <c r="E666" s="178">
        <v>-0.5</v>
      </c>
      <c r="F666" s="176">
        <v>-2.17</v>
      </c>
      <c r="G666" t="s">
        <v>6108</v>
      </c>
      <c r="H666">
        <v>110</v>
      </c>
      <c r="I666">
        <v>87</v>
      </c>
      <c r="J666">
        <v>6.8</v>
      </c>
      <c r="K666">
        <v>23.4</v>
      </c>
      <c r="L666">
        <v>22.35</v>
      </c>
      <c r="M666" s="175">
        <v>0.16</v>
      </c>
      <c r="N666" t="s">
        <v>4924</v>
      </c>
    </row>
    <row r="667" spans="1:14">
      <c r="A667">
        <v>2231</v>
      </c>
      <c r="B667" t="s">
        <v>668</v>
      </c>
      <c r="C667">
        <v>92.9</v>
      </c>
      <c r="D667">
        <v>91.3</v>
      </c>
      <c r="E667" s="178">
        <v>-1.6</v>
      </c>
      <c r="F667" s="176">
        <v>-1.72</v>
      </c>
      <c r="G667" t="s">
        <v>5913</v>
      </c>
      <c r="H667">
        <v>148</v>
      </c>
      <c r="I667">
        <v>296</v>
      </c>
      <c r="J667">
        <v>13.59</v>
      </c>
      <c r="K667">
        <v>92.9</v>
      </c>
      <c r="L667">
        <v>91.1</v>
      </c>
      <c r="M667" s="175">
        <v>0.11</v>
      </c>
      <c r="N667" t="s">
        <v>3510</v>
      </c>
    </row>
    <row r="668" spans="1:14">
      <c r="A668">
        <v>2233</v>
      </c>
      <c r="B668" t="s">
        <v>669</v>
      </c>
      <c r="C668">
        <v>171</v>
      </c>
      <c r="D668">
        <v>171</v>
      </c>
      <c r="E668" s="178">
        <v>-1.5</v>
      </c>
      <c r="F668" s="176">
        <v>-0.87</v>
      </c>
      <c r="G668" t="s">
        <v>6109</v>
      </c>
      <c r="H668">
        <v>438</v>
      </c>
      <c r="I668">
        <v>1501</v>
      </c>
      <c r="J668">
        <v>6.03</v>
      </c>
      <c r="K668">
        <v>171</v>
      </c>
      <c r="L668">
        <v>167.5</v>
      </c>
      <c r="M668" s="175">
        <v>0.73</v>
      </c>
      <c r="N668" t="s">
        <v>3860</v>
      </c>
    </row>
    <row r="669" spans="1:14">
      <c r="A669">
        <v>2235</v>
      </c>
      <c r="B669" t="s">
        <v>670</v>
      </c>
      <c r="C669" t="s">
        <v>1667</v>
      </c>
      <c r="D669" t="s">
        <v>1667</v>
      </c>
      <c r="E669" s="178" t="s">
        <v>1667</v>
      </c>
      <c r="F669" s="176" t="s">
        <v>1667</v>
      </c>
      <c r="G669" t="s">
        <v>1667</v>
      </c>
      <c r="H669">
        <v>0</v>
      </c>
      <c r="I669">
        <v>5</v>
      </c>
      <c r="J669">
        <v>3.59</v>
      </c>
      <c r="K669" t="s">
        <v>1667</v>
      </c>
      <c r="L669" t="s">
        <v>1667</v>
      </c>
      <c r="M669" s="175">
        <v>0</v>
      </c>
      <c r="N669" t="s">
        <v>1622</v>
      </c>
    </row>
    <row r="670" spans="1:14">
      <c r="A670">
        <v>2236</v>
      </c>
      <c r="B670" t="s">
        <v>671</v>
      </c>
      <c r="C670">
        <v>121.5</v>
      </c>
      <c r="D670">
        <v>121.5</v>
      </c>
      <c r="E670" s="178">
        <v>0</v>
      </c>
      <c r="F670" s="176">
        <v>0</v>
      </c>
      <c r="G670" t="s">
        <v>6110</v>
      </c>
      <c r="H670">
        <v>224</v>
      </c>
      <c r="I670">
        <v>271</v>
      </c>
      <c r="J670">
        <v>6.35</v>
      </c>
      <c r="K670">
        <v>121.5</v>
      </c>
      <c r="L670">
        <v>118</v>
      </c>
      <c r="M670" s="175">
        <v>0.36</v>
      </c>
      <c r="N670" t="s">
        <v>1623</v>
      </c>
    </row>
    <row r="671" spans="1:14">
      <c r="A671">
        <v>2239</v>
      </c>
      <c r="B671" t="s">
        <v>672</v>
      </c>
      <c r="C671">
        <v>20.05</v>
      </c>
      <c r="D671">
        <v>19.850000000000001</v>
      </c>
      <c r="E671" s="178">
        <v>-0.3</v>
      </c>
      <c r="F671" s="176">
        <v>-1.49</v>
      </c>
      <c r="G671" t="s">
        <v>6111</v>
      </c>
      <c r="H671">
        <v>47</v>
      </c>
      <c r="I671">
        <v>32</v>
      </c>
      <c r="J671">
        <v>11.77</v>
      </c>
      <c r="K671">
        <v>20.05</v>
      </c>
      <c r="L671">
        <v>19.649999999999999</v>
      </c>
      <c r="M671" s="175">
        <v>0.04</v>
      </c>
      <c r="N671" t="s">
        <v>1624</v>
      </c>
    </row>
    <row r="672" spans="1:14">
      <c r="A672">
        <v>2241</v>
      </c>
      <c r="B672" t="s">
        <v>132</v>
      </c>
      <c r="C672">
        <v>34.200000000000003</v>
      </c>
      <c r="D672">
        <v>34.6</v>
      </c>
      <c r="E672" s="178">
        <v>-0.9</v>
      </c>
      <c r="F672" s="176">
        <v>-2.54</v>
      </c>
      <c r="G672" t="s">
        <v>6112</v>
      </c>
      <c r="H672">
        <v>275</v>
      </c>
      <c r="I672">
        <v>397</v>
      </c>
      <c r="J672">
        <v>10.46</v>
      </c>
      <c r="K672">
        <v>35.200000000000003</v>
      </c>
      <c r="L672">
        <v>34</v>
      </c>
      <c r="M672" s="175">
        <v>0.26</v>
      </c>
      <c r="N672" t="s">
        <v>1625</v>
      </c>
    </row>
    <row r="673" spans="1:14">
      <c r="A673">
        <v>2243</v>
      </c>
      <c r="B673" t="s">
        <v>337</v>
      </c>
      <c r="C673">
        <v>41.5</v>
      </c>
      <c r="D673">
        <v>42</v>
      </c>
      <c r="E673" s="178">
        <v>0.65</v>
      </c>
      <c r="F673" s="176">
        <v>1.57</v>
      </c>
      <c r="G673" t="s">
        <v>5613</v>
      </c>
      <c r="H673">
        <v>124</v>
      </c>
      <c r="I673">
        <v>195</v>
      </c>
      <c r="J673">
        <v>7.74</v>
      </c>
      <c r="K673">
        <v>42.6</v>
      </c>
      <c r="L673">
        <v>41</v>
      </c>
      <c r="M673" s="175">
        <v>0.18</v>
      </c>
      <c r="N673" t="s">
        <v>3433</v>
      </c>
    </row>
    <row r="674" spans="1:14">
      <c r="A674">
        <v>2247</v>
      </c>
      <c r="B674" t="s">
        <v>186</v>
      </c>
      <c r="C674">
        <v>230.5</v>
      </c>
      <c r="D674">
        <v>230.5</v>
      </c>
      <c r="E674" s="178">
        <v>0.5</v>
      </c>
      <c r="F674" s="176">
        <v>0.22</v>
      </c>
      <c r="G674" t="s">
        <v>6113</v>
      </c>
      <c r="H674">
        <v>33</v>
      </c>
      <c r="I674">
        <v>30</v>
      </c>
      <c r="J674">
        <v>8.07</v>
      </c>
      <c r="K674">
        <v>231</v>
      </c>
      <c r="L674">
        <v>227.5</v>
      </c>
      <c r="M674" s="175">
        <v>0.04</v>
      </c>
      <c r="N674" t="s">
        <v>3166</v>
      </c>
    </row>
    <row r="675" spans="1:14">
      <c r="A675">
        <v>2248</v>
      </c>
      <c r="B675" t="s">
        <v>4416</v>
      </c>
      <c r="C675">
        <v>63.3</v>
      </c>
      <c r="D675">
        <v>62.6</v>
      </c>
      <c r="E675" s="178">
        <v>-0.3</v>
      </c>
      <c r="F675" s="176">
        <v>-0.48</v>
      </c>
      <c r="G675" t="s">
        <v>6015</v>
      </c>
      <c r="H675">
        <v>35</v>
      </c>
      <c r="I675">
        <v>132</v>
      </c>
      <c r="J675">
        <v>4.76</v>
      </c>
      <c r="K675">
        <v>63.3</v>
      </c>
      <c r="L675">
        <v>61.7</v>
      </c>
      <c r="M675" s="175">
        <v>7.0000000000000007E-2</v>
      </c>
      <c r="N675" t="s">
        <v>4417</v>
      </c>
    </row>
    <row r="676" spans="1:14">
      <c r="A676">
        <v>2250</v>
      </c>
      <c r="B676" t="s">
        <v>1626</v>
      </c>
      <c r="C676">
        <v>58.6</v>
      </c>
      <c r="D676">
        <v>58.7</v>
      </c>
      <c r="E676" s="178">
        <v>-1</v>
      </c>
      <c r="F676" s="176">
        <v>-1.68</v>
      </c>
      <c r="G676" t="s">
        <v>5850</v>
      </c>
      <c r="H676">
        <v>57</v>
      </c>
      <c r="I676">
        <v>78</v>
      </c>
      <c r="J676">
        <v>3.64</v>
      </c>
      <c r="K676">
        <v>59.7</v>
      </c>
      <c r="L676">
        <v>58.4</v>
      </c>
      <c r="M676" s="175">
        <v>0.16</v>
      </c>
      <c r="N676" t="s">
        <v>2133</v>
      </c>
    </row>
    <row r="677" spans="1:14">
      <c r="A677">
        <v>2301</v>
      </c>
      <c r="B677" t="s">
        <v>673</v>
      </c>
      <c r="C677">
        <v>311</v>
      </c>
      <c r="D677">
        <v>305</v>
      </c>
      <c r="E677" s="178">
        <v>-12.5</v>
      </c>
      <c r="F677" s="176">
        <v>-3.94</v>
      </c>
      <c r="G677" t="s">
        <v>6114</v>
      </c>
      <c r="H677">
        <v>25659</v>
      </c>
      <c r="I677">
        <v>49194</v>
      </c>
      <c r="J677">
        <v>231.61</v>
      </c>
      <c r="K677">
        <v>314.5</v>
      </c>
      <c r="L677">
        <v>304</v>
      </c>
      <c r="M677" s="175">
        <v>1.1100000000000001</v>
      </c>
      <c r="N677" t="s">
        <v>4357</v>
      </c>
    </row>
    <row r="678" spans="1:14">
      <c r="A678">
        <v>2302</v>
      </c>
      <c r="B678" t="s">
        <v>674</v>
      </c>
      <c r="C678">
        <v>43.45</v>
      </c>
      <c r="D678">
        <v>44.15</v>
      </c>
      <c r="E678" s="178">
        <v>0.3</v>
      </c>
      <c r="F678" s="176">
        <v>0.68</v>
      </c>
      <c r="G678" t="s">
        <v>5185</v>
      </c>
      <c r="H678">
        <v>2653</v>
      </c>
      <c r="I678">
        <v>3784</v>
      </c>
      <c r="J678">
        <v>16.63</v>
      </c>
      <c r="K678">
        <v>45.2</v>
      </c>
      <c r="L678">
        <v>42.7</v>
      </c>
      <c r="M678" s="175">
        <v>1.6</v>
      </c>
      <c r="N678" t="s">
        <v>1627</v>
      </c>
    </row>
    <row r="679" spans="1:14">
      <c r="A679">
        <v>2303</v>
      </c>
      <c r="B679" t="s">
        <v>244</v>
      </c>
      <c r="C679">
        <v>126.5</v>
      </c>
      <c r="D679">
        <v>129</v>
      </c>
      <c r="E679" s="178">
        <v>-1</v>
      </c>
      <c r="F679" s="176">
        <v>-0.77</v>
      </c>
      <c r="G679" t="s">
        <v>6115</v>
      </c>
      <c r="H679">
        <v>215923</v>
      </c>
      <c r="I679">
        <v>183335</v>
      </c>
      <c r="J679">
        <v>1257.01</v>
      </c>
      <c r="K679">
        <v>129</v>
      </c>
      <c r="L679">
        <v>124</v>
      </c>
      <c r="M679" s="175">
        <v>1.72</v>
      </c>
      <c r="N679" t="s">
        <v>1628</v>
      </c>
    </row>
    <row r="680" spans="1:14">
      <c r="A680">
        <v>2305</v>
      </c>
      <c r="B680" t="s">
        <v>675</v>
      </c>
      <c r="C680">
        <v>29</v>
      </c>
      <c r="D680">
        <v>30.05</v>
      </c>
      <c r="E680" s="178">
        <v>1.05</v>
      </c>
      <c r="F680" s="176">
        <v>3.62</v>
      </c>
      <c r="G680" t="s">
        <v>5390</v>
      </c>
      <c r="H680">
        <v>10242</v>
      </c>
      <c r="I680">
        <v>5689</v>
      </c>
      <c r="J680">
        <v>20.57</v>
      </c>
      <c r="K680">
        <v>31.9</v>
      </c>
      <c r="L680">
        <v>28.75</v>
      </c>
      <c r="M680" s="175">
        <v>4.9800000000000004</v>
      </c>
      <c r="N680" t="s">
        <v>6116</v>
      </c>
    </row>
    <row r="681" spans="1:14">
      <c r="A681">
        <v>2308</v>
      </c>
      <c r="B681" t="s">
        <v>676</v>
      </c>
      <c r="C681">
        <v>1785</v>
      </c>
      <c r="D681">
        <v>1840</v>
      </c>
      <c r="E681" s="178">
        <v>10</v>
      </c>
      <c r="F681" s="176">
        <v>0.55000000000000004</v>
      </c>
      <c r="G681" t="s">
        <v>6117</v>
      </c>
      <c r="H681">
        <v>8317</v>
      </c>
      <c r="I681">
        <v>9621</v>
      </c>
      <c r="J681">
        <v>259.75</v>
      </c>
      <c r="K681">
        <v>1840</v>
      </c>
      <c r="L681">
        <v>1775</v>
      </c>
      <c r="M681" s="175">
        <v>0.32</v>
      </c>
      <c r="N681" t="s">
        <v>4397</v>
      </c>
    </row>
    <row r="682" spans="1:14">
      <c r="A682">
        <v>2312</v>
      </c>
      <c r="B682" t="s">
        <v>677</v>
      </c>
      <c r="C682">
        <v>31.8</v>
      </c>
      <c r="D682">
        <v>32.35</v>
      </c>
      <c r="E682" s="178">
        <v>0.55000000000000004</v>
      </c>
      <c r="F682" s="176">
        <v>1.73</v>
      </c>
      <c r="G682" t="s">
        <v>6118</v>
      </c>
      <c r="H682">
        <v>10205</v>
      </c>
      <c r="I682">
        <v>8207</v>
      </c>
      <c r="J682">
        <v>150.6</v>
      </c>
      <c r="K682">
        <v>32.450000000000003</v>
      </c>
      <c r="L682">
        <v>31.45</v>
      </c>
      <c r="M682" s="175">
        <v>0.68</v>
      </c>
      <c r="N682" t="s">
        <v>4180</v>
      </c>
    </row>
    <row r="683" spans="1:14">
      <c r="A683">
        <v>2313</v>
      </c>
      <c r="B683" t="s">
        <v>678</v>
      </c>
      <c r="C683">
        <v>240</v>
      </c>
      <c r="D683">
        <v>248.5</v>
      </c>
      <c r="E683" s="178">
        <v>7.5</v>
      </c>
      <c r="F683" s="176">
        <v>3.11</v>
      </c>
      <c r="G683" t="s">
        <v>6119</v>
      </c>
      <c r="H683">
        <v>66359</v>
      </c>
      <c r="I683">
        <v>42199</v>
      </c>
      <c r="J683">
        <v>123.38</v>
      </c>
      <c r="K683">
        <v>257.5</v>
      </c>
      <c r="L683">
        <v>238.5</v>
      </c>
      <c r="M683" s="175">
        <v>5.38</v>
      </c>
      <c r="N683" t="s">
        <v>3611</v>
      </c>
    </row>
    <row r="684" spans="1:14">
      <c r="A684">
        <v>2314</v>
      </c>
      <c r="B684" t="s">
        <v>4687</v>
      </c>
      <c r="C684">
        <v>11.6</v>
      </c>
      <c r="D684">
        <v>11.5</v>
      </c>
      <c r="E684" s="178">
        <v>-0.1</v>
      </c>
      <c r="F684" s="176">
        <v>-0.86</v>
      </c>
      <c r="G684" t="s">
        <v>5604</v>
      </c>
      <c r="H684">
        <v>31</v>
      </c>
      <c r="I684">
        <v>187</v>
      </c>
      <c r="J684">
        <v>18.84</v>
      </c>
      <c r="K684">
        <v>11.7</v>
      </c>
      <c r="L684">
        <v>11.5</v>
      </c>
      <c r="M684" s="175">
        <v>0.03</v>
      </c>
      <c r="N684" t="s">
        <v>4688</v>
      </c>
    </row>
    <row r="685" spans="1:14">
      <c r="A685">
        <v>2316</v>
      </c>
      <c r="B685" t="s">
        <v>679</v>
      </c>
      <c r="C685">
        <v>162</v>
      </c>
      <c r="D685">
        <v>159.5</v>
      </c>
      <c r="E685" s="178">
        <v>-4.5</v>
      </c>
      <c r="F685" s="176">
        <v>-2.74</v>
      </c>
      <c r="G685" t="s">
        <v>5619</v>
      </c>
      <c r="H685">
        <v>1796</v>
      </c>
      <c r="I685">
        <v>1624</v>
      </c>
      <c r="J685">
        <v>18.27</v>
      </c>
      <c r="K685">
        <v>166</v>
      </c>
      <c r="L685">
        <v>158</v>
      </c>
      <c r="M685" s="175">
        <v>0.98</v>
      </c>
      <c r="N685" t="s">
        <v>3430</v>
      </c>
    </row>
    <row r="686" spans="1:14">
      <c r="A686">
        <v>2317</v>
      </c>
      <c r="B686" t="s">
        <v>245</v>
      </c>
      <c r="C686">
        <v>249.5</v>
      </c>
      <c r="D686">
        <v>250</v>
      </c>
      <c r="E686" s="178">
        <v>-3</v>
      </c>
      <c r="F686" s="176">
        <v>-1.19</v>
      </c>
      <c r="G686" t="s">
        <v>6120</v>
      </c>
      <c r="H686">
        <v>34442</v>
      </c>
      <c r="I686">
        <v>31909</v>
      </c>
      <c r="J686">
        <v>1407.57</v>
      </c>
      <c r="K686">
        <v>251</v>
      </c>
      <c r="L686">
        <v>246</v>
      </c>
      <c r="M686" s="175">
        <v>0.25</v>
      </c>
      <c r="N686" t="s">
        <v>3511</v>
      </c>
    </row>
    <row r="687" spans="1:14">
      <c r="A687">
        <v>2321</v>
      </c>
      <c r="B687" t="s">
        <v>680</v>
      </c>
      <c r="C687">
        <v>13.85</v>
      </c>
      <c r="D687">
        <v>14.95</v>
      </c>
      <c r="E687" s="178">
        <v>1.3</v>
      </c>
      <c r="F687" s="176">
        <v>9.52</v>
      </c>
      <c r="G687" t="s">
        <v>6121</v>
      </c>
      <c r="H687">
        <v>40</v>
      </c>
      <c r="I687">
        <v>2</v>
      </c>
      <c r="J687">
        <v>3.03</v>
      </c>
      <c r="K687">
        <v>15</v>
      </c>
      <c r="L687">
        <v>13.85</v>
      </c>
      <c r="M687" s="175">
        <v>0.28000000000000003</v>
      </c>
      <c r="N687" t="s">
        <v>4181</v>
      </c>
    </row>
    <row r="688" spans="1:14">
      <c r="A688">
        <v>2323</v>
      </c>
      <c r="B688" t="s">
        <v>681</v>
      </c>
      <c r="C688">
        <v>10.95</v>
      </c>
      <c r="D688">
        <v>10.95</v>
      </c>
      <c r="E688" s="178">
        <v>0.05</v>
      </c>
      <c r="F688" s="176">
        <v>0.46</v>
      </c>
      <c r="G688" t="s">
        <v>6122</v>
      </c>
      <c r="H688">
        <v>2521</v>
      </c>
      <c r="I688">
        <v>4351</v>
      </c>
      <c r="J688">
        <v>108.93</v>
      </c>
      <c r="K688">
        <v>11</v>
      </c>
      <c r="L688">
        <v>10.8</v>
      </c>
      <c r="M688" s="175">
        <v>0.23</v>
      </c>
      <c r="N688" t="s">
        <v>1629</v>
      </c>
    </row>
    <row r="689" spans="1:14">
      <c r="A689">
        <v>2324</v>
      </c>
      <c r="B689" t="s">
        <v>682</v>
      </c>
      <c r="C689">
        <v>39.549999999999997</v>
      </c>
      <c r="D689">
        <v>40.35</v>
      </c>
      <c r="E689" s="178">
        <v>0.65</v>
      </c>
      <c r="F689" s="176">
        <v>1.64</v>
      </c>
      <c r="G689" t="s">
        <v>5601</v>
      </c>
      <c r="H689">
        <v>54400</v>
      </c>
      <c r="I689">
        <v>82414</v>
      </c>
      <c r="J689">
        <v>440.71</v>
      </c>
      <c r="K689">
        <v>40.549999999999997</v>
      </c>
      <c r="L689">
        <v>39.299999999999997</v>
      </c>
      <c r="M689" s="175">
        <v>1.23</v>
      </c>
      <c r="N689" t="s">
        <v>1713</v>
      </c>
    </row>
    <row r="690" spans="1:14">
      <c r="A690">
        <v>2327</v>
      </c>
      <c r="B690" t="s">
        <v>4593</v>
      </c>
      <c r="C690">
        <v>580</v>
      </c>
      <c r="D690">
        <v>545</v>
      </c>
      <c r="E690" s="178">
        <v>-52</v>
      </c>
      <c r="F690" s="176">
        <v>-8.7100000000000009</v>
      </c>
      <c r="G690" t="s">
        <v>6123</v>
      </c>
      <c r="H690">
        <v>67696</v>
      </c>
      <c r="I690">
        <v>43358</v>
      </c>
      <c r="J690">
        <v>51.47</v>
      </c>
      <c r="K690">
        <v>590</v>
      </c>
      <c r="L690">
        <v>538</v>
      </c>
      <c r="M690" s="175">
        <v>3.27</v>
      </c>
      <c r="N690" t="s">
        <v>4594</v>
      </c>
    </row>
    <row r="691" spans="1:14">
      <c r="A691">
        <v>2328</v>
      </c>
      <c r="B691" t="s">
        <v>683</v>
      </c>
      <c r="C691">
        <v>46.2</v>
      </c>
      <c r="D691">
        <v>46.8</v>
      </c>
      <c r="E691" s="178">
        <v>0.2</v>
      </c>
      <c r="F691" s="176">
        <v>0.43</v>
      </c>
      <c r="G691" t="s">
        <v>6124</v>
      </c>
      <c r="H691">
        <v>1338</v>
      </c>
      <c r="I691">
        <v>1780</v>
      </c>
      <c r="J691">
        <v>51.83</v>
      </c>
      <c r="K691">
        <v>47.1</v>
      </c>
      <c r="L691">
        <v>46.1</v>
      </c>
      <c r="M691" s="175">
        <v>0.26</v>
      </c>
      <c r="N691" t="s">
        <v>3512</v>
      </c>
    </row>
    <row r="692" spans="1:14">
      <c r="A692">
        <v>2329</v>
      </c>
      <c r="B692" t="s">
        <v>684</v>
      </c>
      <c r="C692">
        <v>43.6</v>
      </c>
      <c r="D692">
        <v>43.5</v>
      </c>
      <c r="E692" s="178">
        <v>-0.6</v>
      </c>
      <c r="F692" s="176">
        <v>-1.36</v>
      </c>
      <c r="G692" t="s">
        <v>6125</v>
      </c>
      <c r="H692">
        <v>2275</v>
      </c>
      <c r="I692">
        <v>1934</v>
      </c>
      <c r="J692">
        <v>65.89</v>
      </c>
      <c r="K692">
        <v>43.8</v>
      </c>
      <c r="L692">
        <v>42.8</v>
      </c>
      <c r="M692" s="175">
        <v>0.35</v>
      </c>
      <c r="N692" t="s">
        <v>4358</v>
      </c>
    </row>
    <row r="693" spans="1:14">
      <c r="A693">
        <v>2330</v>
      </c>
      <c r="B693" t="s">
        <v>1630</v>
      </c>
      <c r="C693">
        <v>2395</v>
      </c>
      <c r="D693">
        <v>2405</v>
      </c>
      <c r="E693" s="178">
        <v>-15</v>
      </c>
      <c r="F693" s="176">
        <v>-0.62</v>
      </c>
      <c r="G693" t="s">
        <v>6126</v>
      </c>
      <c r="H693">
        <v>27120</v>
      </c>
      <c r="I693">
        <v>16063</v>
      </c>
      <c r="J693">
        <v>2593.2399999999998</v>
      </c>
      <c r="K693">
        <v>2405</v>
      </c>
      <c r="L693">
        <v>2375</v>
      </c>
      <c r="M693" s="175">
        <v>0.1</v>
      </c>
      <c r="N693" t="s">
        <v>3023</v>
      </c>
    </row>
    <row r="694" spans="1:14">
      <c r="A694">
        <v>2331</v>
      </c>
      <c r="B694" t="s">
        <v>685</v>
      </c>
      <c r="C694">
        <v>19.5</v>
      </c>
      <c r="D694">
        <v>19.600000000000001</v>
      </c>
      <c r="E694" s="178">
        <v>-0.1</v>
      </c>
      <c r="F694" s="176">
        <v>-0.51</v>
      </c>
      <c r="G694" t="s">
        <v>6127</v>
      </c>
      <c r="H694">
        <v>826</v>
      </c>
      <c r="I694">
        <v>1134</v>
      </c>
      <c r="J694">
        <v>55.74</v>
      </c>
      <c r="K694">
        <v>19.899999999999999</v>
      </c>
      <c r="L694">
        <v>19.45</v>
      </c>
      <c r="M694" s="175">
        <v>0.15</v>
      </c>
      <c r="N694" t="s">
        <v>3345</v>
      </c>
    </row>
    <row r="695" spans="1:14">
      <c r="A695">
        <v>2332</v>
      </c>
      <c r="B695" t="s">
        <v>2019</v>
      </c>
      <c r="C695">
        <v>20.05</v>
      </c>
      <c r="D695">
        <v>19.899999999999999</v>
      </c>
      <c r="E695" s="178">
        <v>-0.5</v>
      </c>
      <c r="F695" s="176">
        <v>-2.4500000000000002</v>
      </c>
      <c r="G695" t="s">
        <v>6128</v>
      </c>
      <c r="H695">
        <v>12208</v>
      </c>
      <c r="I695">
        <v>11623</v>
      </c>
      <c r="J695">
        <v>60.22</v>
      </c>
      <c r="K695">
        <v>20.5</v>
      </c>
      <c r="L695">
        <v>19.899999999999999</v>
      </c>
      <c r="M695" s="175">
        <v>2.0299999999999998</v>
      </c>
      <c r="N695" t="s">
        <v>3024</v>
      </c>
    </row>
    <row r="696" spans="1:14">
      <c r="A696">
        <v>2337</v>
      </c>
      <c r="B696" t="s">
        <v>686</v>
      </c>
      <c r="C696">
        <v>124</v>
      </c>
      <c r="D696">
        <v>126</v>
      </c>
      <c r="E696" s="178">
        <v>-0.5</v>
      </c>
      <c r="F696" s="176">
        <v>-0.4</v>
      </c>
      <c r="G696" t="s">
        <v>6129</v>
      </c>
      <c r="H696">
        <v>35605</v>
      </c>
      <c r="I696">
        <v>34040</v>
      </c>
      <c r="J696">
        <v>198.32</v>
      </c>
      <c r="K696">
        <v>127.5</v>
      </c>
      <c r="L696">
        <v>122.5</v>
      </c>
      <c r="M696" s="175">
        <v>1.8</v>
      </c>
      <c r="N696" t="s">
        <v>3513</v>
      </c>
    </row>
    <row r="697" spans="1:14">
      <c r="A697">
        <v>2338</v>
      </c>
      <c r="B697" t="s">
        <v>687</v>
      </c>
      <c r="C697">
        <v>40.15</v>
      </c>
      <c r="D697">
        <v>39.049999999999997</v>
      </c>
      <c r="E697" s="178">
        <v>-0.95</v>
      </c>
      <c r="F697" s="176">
        <v>-2.38</v>
      </c>
      <c r="G697" t="s">
        <v>6130</v>
      </c>
      <c r="H697">
        <v>1697</v>
      </c>
      <c r="I697">
        <v>1297</v>
      </c>
      <c r="J697">
        <v>36.68</v>
      </c>
      <c r="K697">
        <v>40.15</v>
      </c>
      <c r="L697">
        <v>38.5</v>
      </c>
      <c r="M697" s="175">
        <v>0.46</v>
      </c>
      <c r="N697" t="s">
        <v>4930</v>
      </c>
    </row>
    <row r="698" spans="1:14">
      <c r="A698">
        <v>2340</v>
      </c>
      <c r="B698" t="s">
        <v>2056</v>
      </c>
      <c r="C698">
        <v>33.700000000000003</v>
      </c>
      <c r="D698">
        <v>33.6</v>
      </c>
      <c r="E698" s="178">
        <v>-0.65</v>
      </c>
      <c r="F698" s="176">
        <v>-1.9</v>
      </c>
      <c r="G698" t="s">
        <v>6131</v>
      </c>
      <c r="H698">
        <v>2823</v>
      </c>
      <c r="I698">
        <v>5119</v>
      </c>
      <c r="J698">
        <v>43.86</v>
      </c>
      <c r="K698">
        <v>33.9</v>
      </c>
      <c r="L698">
        <v>32.700000000000003</v>
      </c>
      <c r="M698" s="175">
        <v>0.75</v>
      </c>
      <c r="N698" t="s">
        <v>3025</v>
      </c>
    </row>
    <row r="699" spans="1:14">
      <c r="A699">
        <v>2342</v>
      </c>
      <c r="B699" t="s">
        <v>688</v>
      </c>
      <c r="C699">
        <v>40.15</v>
      </c>
      <c r="D699">
        <v>40.15</v>
      </c>
      <c r="E699" s="178">
        <v>-0.4</v>
      </c>
      <c r="F699" s="176">
        <v>-0.99</v>
      </c>
      <c r="G699" t="s">
        <v>6132</v>
      </c>
      <c r="H699">
        <v>1159</v>
      </c>
      <c r="I699">
        <v>2450</v>
      </c>
      <c r="J699">
        <v>15.73</v>
      </c>
      <c r="K699">
        <v>40.299999999999997</v>
      </c>
      <c r="L699">
        <v>39.450000000000003</v>
      </c>
      <c r="M699" s="175">
        <v>0.74</v>
      </c>
      <c r="N699" t="s">
        <v>3612</v>
      </c>
    </row>
    <row r="700" spans="1:14">
      <c r="A700">
        <v>2344</v>
      </c>
      <c r="B700" t="s">
        <v>1631</v>
      </c>
      <c r="C700">
        <v>179.5</v>
      </c>
      <c r="D700">
        <v>182.5</v>
      </c>
      <c r="E700" s="178">
        <v>1</v>
      </c>
      <c r="F700" s="176">
        <v>0.55000000000000004</v>
      </c>
      <c r="G700" t="s">
        <v>6133</v>
      </c>
      <c r="H700">
        <v>339955</v>
      </c>
      <c r="I700">
        <v>114252</v>
      </c>
      <c r="J700">
        <v>451.09</v>
      </c>
      <c r="K700">
        <v>186</v>
      </c>
      <c r="L700">
        <v>176</v>
      </c>
      <c r="M700" s="175">
        <v>7.55</v>
      </c>
      <c r="N700" t="s">
        <v>4441</v>
      </c>
    </row>
    <row r="701" spans="1:14">
      <c r="A701">
        <v>2345</v>
      </c>
      <c r="B701" t="s">
        <v>689</v>
      </c>
      <c r="C701">
        <v>2085</v>
      </c>
      <c r="D701">
        <v>2035</v>
      </c>
      <c r="E701" s="178">
        <v>-90</v>
      </c>
      <c r="F701" s="176">
        <v>-4.24</v>
      </c>
      <c r="G701" t="s">
        <v>6134</v>
      </c>
      <c r="H701">
        <v>4076</v>
      </c>
      <c r="I701">
        <v>2567</v>
      </c>
      <c r="J701">
        <v>56.11</v>
      </c>
      <c r="K701">
        <v>2085</v>
      </c>
      <c r="L701">
        <v>1950</v>
      </c>
      <c r="M701" s="175">
        <v>0.73</v>
      </c>
      <c r="N701" t="s">
        <v>3613</v>
      </c>
    </row>
    <row r="702" spans="1:14">
      <c r="A702">
        <v>2347</v>
      </c>
      <c r="B702" t="s">
        <v>690</v>
      </c>
      <c r="C702">
        <v>86.1</v>
      </c>
      <c r="D702">
        <v>87</v>
      </c>
      <c r="E702" s="178">
        <v>0.5</v>
      </c>
      <c r="F702" s="176">
        <v>0.57999999999999996</v>
      </c>
      <c r="G702" t="s">
        <v>6135</v>
      </c>
      <c r="H702">
        <v>3070</v>
      </c>
      <c r="I702">
        <v>1829</v>
      </c>
      <c r="J702">
        <v>166.79</v>
      </c>
      <c r="K702">
        <v>87</v>
      </c>
      <c r="L702">
        <v>85.1</v>
      </c>
      <c r="M702" s="175">
        <v>0.18</v>
      </c>
      <c r="N702" t="s">
        <v>3981</v>
      </c>
    </row>
    <row r="703" spans="1:14">
      <c r="A703">
        <v>2348</v>
      </c>
      <c r="B703" t="s">
        <v>691</v>
      </c>
      <c r="C703">
        <v>71.5</v>
      </c>
      <c r="D703">
        <v>70.599999999999994</v>
      </c>
      <c r="E703" s="178">
        <v>-1.5</v>
      </c>
      <c r="F703" s="176">
        <v>-2.08</v>
      </c>
      <c r="G703" t="s">
        <v>6136</v>
      </c>
      <c r="H703">
        <v>241</v>
      </c>
      <c r="I703">
        <v>247</v>
      </c>
      <c r="J703">
        <v>15.95</v>
      </c>
      <c r="K703">
        <v>72</v>
      </c>
      <c r="L703">
        <v>70.599999999999994</v>
      </c>
      <c r="M703" s="175">
        <v>0.15</v>
      </c>
      <c r="N703" t="s">
        <v>2154</v>
      </c>
    </row>
    <row r="704" spans="1:14">
      <c r="A704">
        <v>2349</v>
      </c>
      <c r="B704" t="s">
        <v>692</v>
      </c>
      <c r="C704">
        <v>11.1</v>
      </c>
      <c r="D704">
        <v>11.1</v>
      </c>
      <c r="E704" s="178">
        <v>0</v>
      </c>
      <c r="F704" s="176">
        <v>0</v>
      </c>
      <c r="G704" t="s">
        <v>6137</v>
      </c>
      <c r="H704">
        <v>1412</v>
      </c>
      <c r="I704">
        <v>1401</v>
      </c>
      <c r="J704">
        <v>69.37</v>
      </c>
      <c r="K704">
        <v>11.15</v>
      </c>
      <c r="L704">
        <v>10.9</v>
      </c>
      <c r="M704" s="175">
        <v>0.2</v>
      </c>
      <c r="N704" t="s">
        <v>1629</v>
      </c>
    </row>
    <row r="705" spans="1:14">
      <c r="A705">
        <v>2351</v>
      </c>
      <c r="B705" t="s">
        <v>693</v>
      </c>
      <c r="C705">
        <v>232.5</v>
      </c>
      <c r="D705">
        <v>232.5</v>
      </c>
      <c r="E705" s="178">
        <v>-7</v>
      </c>
      <c r="F705" s="176">
        <v>-2.92</v>
      </c>
      <c r="G705" t="s">
        <v>5300</v>
      </c>
      <c r="H705">
        <v>5467</v>
      </c>
      <c r="I705">
        <v>9126</v>
      </c>
      <c r="J705">
        <v>19.47</v>
      </c>
      <c r="K705">
        <v>239.5</v>
      </c>
      <c r="L705">
        <v>222.5</v>
      </c>
      <c r="M705" s="175">
        <v>3</v>
      </c>
      <c r="N705" t="s">
        <v>3434</v>
      </c>
    </row>
    <row r="706" spans="1:14">
      <c r="A706">
        <v>2352</v>
      </c>
      <c r="B706" t="s">
        <v>4663</v>
      </c>
      <c r="C706">
        <v>28.1</v>
      </c>
      <c r="D706">
        <v>28.35</v>
      </c>
      <c r="E706" s="178">
        <v>0.15</v>
      </c>
      <c r="F706" s="176">
        <v>0.53</v>
      </c>
      <c r="G706" t="s">
        <v>5676</v>
      </c>
      <c r="H706">
        <v>4425</v>
      </c>
      <c r="I706">
        <v>3908</v>
      </c>
      <c r="J706">
        <v>158.05000000000001</v>
      </c>
      <c r="K706">
        <v>28.4</v>
      </c>
      <c r="L706">
        <v>27.85</v>
      </c>
      <c r="M706" s="175">
        <v>0.28000000000000003</v>
      </c>
      <c r="N706" t="s">
        <v>4664</v>
      </c>
    </row>
    <row r="707" spans="1:14">
      <c r="A707">
        <v>2353</v>
      </c>
      <c r="B707" t="s">
        <v>694</v>
      </c>
      <c r="C707">
        <v>30.8</v>
      </c>
      <c r="D707">
        <v>31.5</v>
      </c>
      <c r="E707" s="178">
        <v>0.65</v>
      </c>
      <c r="F707" s="176">
        <v>2.11</v>
      </c>
      <c r="G707" t="s">
        <v>6138</v>
      </c>
      <c r="H707">
        <v>11032</v>
      </c>
      <c r="I707">
        <v>8895</v>
      </c>
      <c r="J707">
        <v>304.79000000000002</v>
      </c>
      <c r="K707">
        <v>31.5</v>
      </c>
      <c r="L707">
        <v>30.55</v>
      </c>
      <c r="M707" s="175">
        <v>0.36</v>
      </c>
      <c r="N707" t="s">
        <v>3317</v>
      </c>
    </row>
    <row r="708" spans="1:14">
      <c r="A708">
        <v>2354</v>
      </c>
      <c r="B708" t="s">
        <v>695</v>
      </c>
      <c r="C708">
        <v>63</v>
      </c>
      <c r="D708">
        <v>64.7</v>
      </c>
      <c r="E708" s="178">
        <v>0.8</v>
      </c>
      <c r="F708" s="176">
        <v>1.25</v>
      </c>
      <c r="G708" t="s">
        <v>6139</v>
      </c>
      <c r="H708">
        <v>13960</v>
      </c>
      <c r="I708">
        <v>12859</v>
      </c>
      <c r="J708">
        <v>141.44999999999999</v>
      </c>
      <c r="K708">
        <v>65.099999999999994</v>
      </c>
      <c r="L708">
        <v>62.6</v>
      </c>
      <c r="M708" s="175">
        <v>0.99</v>
      </c>
      <c r="N708" t="s">
        <v>3514</v>
      </c>
    </row>
    <row r="709" spans="1:14">
      <c r="A709">
        <v>2355</v>
      </c>
      <c r="B709" t="s">
        <v>63</v>
      </c>
      <c r="C709">
        <v>43.9</v>
      </c>
      <c r="D709">
        <v>43.9</v>
      </c>
      <c r="E709" s="178">
        <v>-0.6</v>
      </c>
      <c r="F709" s="176">
        <v>-1.35</v>
      </c>
      <c r="G709" t="s">
        <v>6140</v>
      </c>
      <c r="H709">
        <v>1683</v>
      </c>
      <c r="I709">
        <v>2616</v>
      </c>
      <c r="J709">
        <v>39.75</v>
      </c>
      <c r="K709">
        <v>45.2</v>
      </c>
      <c r="L709">
        <v>43.65</v>
      </c>
      <c r="M709" s="175">
        <v>0.42</v>
      </c>
      <c r="N709" t="s">
        <v>4442</v>
      </c>
    </row>
    <row r="710" spans="1:14">
      <c r="A710">
        <v>2356</v>
      </c>
      <c r="B710" t="s">
        <v>696</v>
      </c>
      <c r="C710">
        <v>64.7</v>
      </c>
      <c r="D710">
        <v>66.7</v>
      </c>
      <c r="E710" s="178">
        <v>1.8</v>
      </c>
      <c r="F710" s="176">
        <v>2.77</v>
      </c>
      <c r="G710" t="s">
        <v>5327</v>
      </c>
      <c r="H710">
        <v>21334</v>
      </c>
      <c r="I710">
        <v>12691</v>
      </c>
      <c r="J710">
        <v>358.75</v>
      </c>
      <c r="K710">
        <v>67.5</v>
      </c>
      <c r="L710">
        <v>63.8</v>
      </c>
      <c r="M710" s="175">
        <v>0.59</v>
      </c>
      <c r="N710" t="s">
        <v>1713</v>
      </c>
    </row>
    <row r="711" spans="1:14">
      <c r="A711">
        <v>2357</v>
      </c>
      <c r="B711" t="s">
        <v>115</v>
      </c>
      <c r="C711">
        <v>962</v>
      </c>
      <c r="D711">
        <v>999</v>
      </c>
      <c r="E711" s="178">
        <v>34</v>
      </c>
      <c r="F711" s="176">
        <v>3.52</v>
      </c>
      <c r="G711" t="s">
        <v>6141</v>
      </c>
      <c r="H711">
        <v>4926</v>
      </c>
      <c r="I711">
        <v>2125</v>
      </c>
      <c r="J711">
        <v>74.28</v>
      </c>
      <c r="K711">
        <v>1005</v>
      </c>
      <c r="L711">
        <v>951</v>
      </c>
      <c r="M711" s="175">
        <v>0.66</v>
      </c>
      <c r="N711" t="s">
        <v>3698</v>
      </c>
    </row>
    <row r="712" spans="1:14">
      <c r="A712">
        <v>2359</v>
      </c>
      <c r="B712" t="s">
        <v>698</v>
      </c>
      <c r="C712">
        <v>146</v>
      </c>
      <c r="D712">
        <v>144.5</v>
      </c>
      <c r="E712" s="178">
        <v>-1</v>
      </c>
      <c r="F712" s="176">
        <v>-0.69</v>
      </c>
      <c r="G712" t="s">
        <v>5432</v>
      </c>
      <c r="H712">
        <v>3177</v>
      </c>
      <c r="I712">
        <v>5479</v>
      </c>
      <c r="J712">
        <v>17.149999999999999</v>
      </c>
      <c r="K712">
        <v>147.5</v>
      </c>
      <c r="L712">
        <v>142.5</v>
      </c>
      <c r="M712" s="175">
        <v>1.85</v>
      </c>
      <c r="N712" t="s">
        <v>4005</v>
      </c>
    </row>
    <row r="713" spans="1:14">
      <c r="A713">
        <v>2360</v>
      </c>
      <c r="B713" t="s">
        <v>699</v>
      </c>
      <c r="C713">
        <v>1970</v>
      </c>
      <c r="D713">
        <v>1960</v>
      </c>
      <c r="E713" s="178">
        <v>-50</v>
      </c>
      <c r="F713" s="176">
        <v>-2.4900000000000002</v>
      </c>
      <c r="G713" t="s">
        <v>6142</v>
      </c>
      <c r="H713">
        <v>2266</v>
      </c>
      <c r="I713">
        <v>2020</v>
      </c>
      <c r="J713">
        <v>42.52</v>
      </c>
      <c r="K713">
        <v>1990</v>
      </c>
      <c r="L713">
        <v>1905</v>
      </c>
      <c r="M713" s="175">
        <v>0.53</v>
      </c>
      <c r="N713" t="s">
        <v>3557</v>
      </c>
    </row>
    <row r="714" spans="1:14">
      <c r="A714">
        <v>2362</v>
      </c>
      <c r="B714" t="s">
        <v>700</v>
      </c>
      <c r="C714">
        <v>47.2</v>
      </c>
      <c r="D714">
        <v>47.75</v>
      </c>
      <c r="E714" s="178">
        <v>0</v>
      </c>
      <c r="F714" s="176">
        <v>0</v>
      </c>
      <c r="G714" t="s">
        <v>6143</v>
      </c>
      <c r="H714">
        <v>803</v>
      </c>
      <c r="I714">
        <v>1071</v>
      </c>
      <c r="J714">
        <v>62.23</v>
      </c>
      <c r="K714">
        <v>48.3</v>
      </c>
      <c r="L714">
        <v>47.2</v>
      </c>
      <c r="M714" s="175">
        <v>0.13</v>
      </c>
      <c r="N714" t="s">
        <v>3207</v>
      </c>
    </row>
    <row r="715" spans="1:14">
      <c r="A715">
        <v>2363</v>
      </c>
      <c r="B715" t="s">
        <v>3973</v>
      </c>
      <c r="C715">
        <v>50.6</v>
      </c>
      <c r="D715">
        <v>51.1</v>
      </c>
      <c r="E715" s="178">
        <v>-0.7</v>
      </c>
      <c r="F715" s="176">
        <v>-1.35</v>
      </c>
      <c r="G715" t="s">
        <v>6144</v>
      </c>
      <c r="H715">
        <v>3133</v>
      </c>
      <c r="I715">
        <v>3465</v>
      </c>
      <c r="J715">
        <v>51.5</v>
      </c>
      <c r="K715">
        <v>51.3</v>
      </c>
      <c r="L715">
        <v>50.4</v>
      </c>
      <c r="M715" s="175">
        <v>0.61</v>
      </c>
      <c r="N715" t="s">
        <v>3974</v>
      </c>
    </row>
    <row r="716" spans="1:14">
      <c r="A716">
        <v>2364</v>
      </c>
      <c r="B716" t="s">
        <v>701</v>
      </c>
      <c r="C716">
        <v>65.599999999999994</v>
      </c>
      <c r="D716">
        <v>66</v>
      </c>
      <c r="E716" s="178">
        <v>-1.6</v>
      </c>
      <c r="F716" s="176">
        <v>-2.37</v>
      </c>
      <c r="G716" t="s">
        <v>6145</v>
      </c>
      <c r="H716">
        <v>474</v>
      </c>
      <c r="I716">
        <v>1105</v>
      </c>
      <c r="J716">
        <v>5.76</v>
      </c>
      <c r="K716">
        <v>67.099999999999994</v>
      </c>
      <c r="L716">
        <v>65</v>
      </c>
      <c r="M716" s="175">
        <v>0.82</v>
      </c>
      <c r="N716" t="s">
        <v>3374</v>
      </c>
    </row>
    <row r="717" spans="1:14">
      <c r="A717">
        <v>2365</v>
      </c>
      <c r="B717" t="s">
        <v>702</v>
      </c>
      <c r="C717">
        <v>29.8</v>
      </c>
      <c r="D717">
        <v>29.5</v>
      </c>
      <c r="E717" s="178">
        <v>-0.5</v>
      </c>
      <c r="F717" s="176">
        <v>-1.67</v>
      </c>
      <c r="G717" t="s">
        <v>5700</v>
      </c>
      <c r="H717">
        <v>544</v>
      </c>
      <c r="I717">
        <v>1223</v>
      </c>
      <c r="J717">
        <v>22.15</v>
      </c>
      <c r="K717">
        <v>29.9</v>
      </c>
      <c r="L717">
        <v>29.4</v>
      </c>
      <c r="M717" s="175">
        <v>0.25</v>
      </c>
      <c r="N717" t="s">
        <v>2182</v>
      </c>
    </row>
    <row r="718" spans="1:14">
      <c r="A718">
        <v>2367</v>
      </c>
      <c r="B718" t="s">
        <v>703</v>
      </c>
      <c r="C718">
        <v>44.55</v>
      </c>
      <c r="D718">
        <v>44.45</v>
      </c>
      <c r="E718" s="178">
        <v>-0.35</v>
      </c>
      <c r="F718" s="176">
        <v>-0.78</v>
      </c>
      <c r="G718" t="s">
        <v>5606</v>
      </c>
      <c r="H718">
        <v>6070</v>
      </c>
      <c r="I718">
        <v>7371</v>
      </c>
      <c r="J718">
        <v>70.63</v>
      </c>
      <c r="K718">
        <v>45.7</v>
      </c>
      <c r="L718">
        <v>43.9</v>
      </c>
      <c r="M718" s="175">
        <v>0.86</v>
      </c>
      <c r="N718" t="s">
        <v>3699</v>
      </c>
    </row>
    <row r="719" spans="1:14">
      <c r="A719">
        <v>2368</v>
      </c>
      <c r="B719" t="s">
        <v>2163</v>
      </c>
      <c r="C719">
        <v>1200</v>
      </c>
      <c r="D719">
        <v>1165</v>
      </c>
      <c r="E719" s="178">
        <v>35</v>
      </c>
      <c r="F719" s="176">
        <v>3.1</v>
      </c>
      <c r="G719" t="s">
        <v>6146</v>
      </c>
      <c r="H719">
        <v>19465</v>
      </c>
      <c r="I719">
        <v>7163</v>
      </c>
      <c r="J719">
        <v>52.73</v>
      </c>
      <c r="K719">
        <v>1240</v>
      </c>
      <c r="L719">
        <v>1140</v>
      </c>
      <c r="M719" s="175">
        <v>3.76</v>
      </c>
      <c r="N719" t="s">
        <v>3026</v>
      </c>
    </row>
    <row r="720" spans="1:14">
      <c r="A720">
        <v>2369</v>
      </c>
      <c r="B720" t="s">
        <v>704</v>
      </c>
      <c r="C720">
        <v>31.6</v>
      </c>
      <c r="D720">
        <v>31.25</v>
      </c>
      <c r="E720" s="178">
        <v>-1.1000000000000001</v>
      </c>
      <c r="F720" s="176">
        <v>-3.4</v>
      </c>
      <c r="G720" t="s">
        <v>6147</v>
      </c>
      <c r="H720">
        <v>5060</v>
      </c>
      <c r="I720">
        <v>6630</v>
      </c>
      <c r="J720">
        <v>38.01</v>
      </c>
      <c r="K720">
        <v>31.7</v>
      </c>
      <c r="L720">
        <v>30.95</v>
      </c>
      <c r="M720" s="175">
        <v>1.33</v>
      </c>
      <c r="N720" t="s">
        <v>4359</v>
      </c>
    </row>
    <row r="721" spans="1:14">
      <c r="A721">
        <v>2371</v>
      </c>
      <c r="B721" t="s">
        <v>705</v>
      </c>
      <c r="C721">
        <v>28.2</v>
      </c>
      <c r="D721">
        <v>28.05</v>
      </c>
      <c r="E721" s="178">
        <v>-0.45</v>
      </c>
      <c r="F721" s="176">
        <v>-1.58</v>
      </c>
      <c r="G721" t="s">
        <v>6148</v>
      </c>
      <c r="H721">
        <v>8583</v>
      </c>
      <c r="I721">
        <v>14846</v>
      </c>
      <c r="J721">
        <v>215.08</v>
      </c>
      <c r="K721">
        <v>28.6</v>
      </c>
      <c r="L721">
        <v>28</v>
      </c>
      <c r="M721" s="175">
        <v>0.4</v>
      </c>
      <c r="N721" t="s">
        <v>3700</v>
      </c>
    </row>
    <row r="722" spans="1:14">
      <c r="A722">
        <v>2373</v>
      </c>
      <c r="B722" t="s">
        <v>706</v>
      </c>
      <c r="C722">
        <v>53.1</v>
      </c>
      <c r="D722">
        <v>53.1</v>
      </c>
      <c r="E722" s="178">
        <v>-0.1</v>
      </c>
      <c r="F722" s="176">
        <v>-0.19</v>
      </c>
      <c r="G722" t="s">
        <v>5183</v>
      </c>
      <c r="H722">
        <v>35</v>
      </c>
      <c r="I722">
        <v>31</v>
      </c>
      <c r="J722">
        <v>23.62</v>
      </c>
      <c r="K722">
        <v>53.2</v>
      </c>
      <c r="L722">
        <v>53.1</v>
      </c>
      <c r="M722" s="175">
        <v>0.01</v>
      </c>
      <c r="N722" t="s">
        <v>3861</v>
      </c>
    </row>
    <row r="723" spans="1:14">
      <c r="A723">
        <v>2374</v>
      </c>
      <c r="B723" t="s">
        <v>707</v>
      </c>
      <c r="C723">
        <v>68.5</v>
      </c>
      <c r="D723">
        <v>68.7</v>
      </c>
      <c r="E723" s="178">
        <v>-0.3</v>
      </c>
      <c r="F723" s="176">
        <v>-0.43</v>
      </c>
      <c r="G723" t="s">
        <v>5227</v>
      </c>
      <c r="H723">
        <v>1883</v>
      </c>
      <c r="I723">
        <v>2821</v>
      </c>
      <c r="J723">
        <v>33.799999999999997</v>
      </c>
      <c r="K723">
        <v>69.599999999999994</v>
      </c>
      <c r="L723">
        <v>68.3</v>
      </c>
      <c r="M723" s="175">
        <v>0.56000000000000005</v>
      </c>
      <c r="N723" t="s">
        <v>3130</v>
      </c>
    </row>
    <row r="724" spans="1:14">
      <c r="A724">
        <v>2375</v>
      </c>
      <c r="B724" t="s">
        <v>2158</v>
      </c>
      <c r="C724">
        <v>130.5</v>
      </c>
      <c r="D724">
        <v>127</v>
      </c>
      <c r="E724" s="178">
        <v>-6</v>
      </c>
      <c r="F724" s="176">
        <v>-4.51</v>
      </c>
      <c r="G724" t="s">
        <v>6149</v>
      </c>
      <c r="H724">
        <v>5180</v>
      </c>
      <c r="I724">
        <v>6340</v>
      </c>
      <c r="J724">
        <v>10.87</v>
      </c>
      <c r="K724">
        <v>135.5</v>
      </c>
      <c r="L724">
        <v>123</v>
      </c>
      <c r="M724" s="175">
        <v>4.7699999999999996</v>
      </c>
      <c r="N724" t="s">
        <v>4182</v>
      </c>
    </row>
    <row r="725" spans="1:14">
      <c r="A725">
        <v>2376</v>
      </c>
      <c r="B725" t="s">
        <v>708</v>
      </c>
      <c r="C725">
        <v>348</v>
      </c>
      <c r="D725">
        <v>358</v>
      </c>
      <c r="E725" s="178">
        <v>9</v>
      </c>
      <c r="F725" s="176">
        <v>2.58</v>
      </c>
      <c r="G725" t="s">
        <v>6150</v>
      </c>
      <c r="H725">
        <v>6302</v>
      </c>
      <c r="I725">
        <v>3753</v>
      </c>
      <c r="J725">
        <v>66.989999999999995</v>
      </c>
      <c r="K725">
        <v>358</v>
      </c>
      <c r="L725">
        <v>345.5</v>
      </c>
      <c r="M725" s="175">
        <v>0.94</v>
      </c>
      <c r="N725" t="s">
        <v>4198</v>
      </c>
    </row>
    <row r="726" spans="1:14">
      <c r="A726">
        <v>2377</v>
      </c>
      <c r="B726" t="s">
        <v>709</v>
      </c>
      <c r="C726">
        <v>145.5</v>
      </c>
      <c r="D726">
        <v>155</v>
      </c>
      <c r="E726" s="178">
        <v>10</v>
      </c>
      <c r="F726" s="176">
        <v>6.9</v>
      </c>
      <c r="G726" t="s">
        <v>6151</v>
      </c>
      <c r="H726">
        <v>17413</v>
      </c>
      <c r="I726">
        <v>6204</v>
      </c>
      <c r="J726">
        <v>84.49</v>
      </c>
      <c r="K726">
        <v>155</v>
      </c>
      <c r="L726">
        <v>145</v>
      </c>
      <c r="M726" s="175">
        <v>2.06</v>
      </c>
      <c r="N726" t="s">
        <v>3318</v>
      </c>
    </row>
    <row r="727" spans="1:14">
      <c r="A727">
        <v>2379</v>
      </c>
      <c r="B727" t="s">
        <v>710</v>
      </c>
      <c r="C727">
        <v>724</v>
      </c>
      <c r="D727">
        <v>721</v>
      </c>
      <c r="E727" s="178">
        <v>-1</v>
      </c>
      <c r="F727" s="176">
        <v>-0.14000000000000001</v>
      </c>
      <c r="G727" t="s">
        <v>6152</v>
      </c>
      <c r="H727">
        <v>2870</v>
      </c>
      <c r="I727">
        <v>1399</v>
      </c>
      <c r="J727">
        <v>51.55</v>
      </c>
      <c r="K727">
        <v>724</v>
      </c>
      <c r="L727">
        <v>709</v>
      </c>
      <c r="M727" s="175">
        <v>0.56000000000000005</v>
      </c>
      <c r="N727" t="s">
        <v>3319</v>
      </c>
    </row>
    <row r="728" spans="1:14">
      <c r="A728">
        <v>2380</v>
      </c>
      <c r="B728" t="s">
        <v>5140</v>
      </c>
      <c r="C728">
        <v>18.95</v>
      </c>
      <c r="D728">
        <v>19.05</v>
      </c>
      <c r="E728" s="178">
        <v>0.05</v>
      </c>
      <c r="F728" s="176">
        <v>0.26</v>
      </c>
      <c r="G728" t="s">
        <v>6153</v>
      </c>
      <c r="H728">
        <v>43</v>
      </c>
      <c r="I728">
        <v>110</v>
      </c>
      <c r="J728">
        <v>6</v>
      </c>
      <c r="K728">
        <v>19.05</v>
      </c>
      <c r="L728">
        <v>18.600000000000001</v>
      </c>
      <c r="M728" s="175">
        <v>7.0000000000000007E-2</v>
      </c>
      <c r="N728" t="s">
        <v>5141</v>
      </c>
    </row>
    <row r="729" spans="1:14">
      <c r="A729">
        <v>2382</v>
      </c>
      <c r="B729" t="s">
        <v>711</v>
      </c>
      <c r="C729">
        <v>329.5</v>
      </c>
      <c r="D729">
        <v>338.5</v>
      </c>
      <c r="E729" s="178">
        <v>6</v>
      </c>
      <c r="F729" s="176">
        <v>1.8</v>
      </c>
      <c r="G729" t="s">
        <v>6154</v>
      </c>
      <c r="H729">
        <v>16008</v>
      </c>
      <c r="I729">
        <v>11250</v>
      </c>
      <c r="J729">
        <v>410.76</v>
      </c>
      <c r="K729">
        <v>338.5</v>
      </c>
      <c r="L729">
        <v>326</v>
      </c>
      <c r="M729" s="175">
        <v>0.39</v>
      </c>
      <c r="N729" t="s">
        <v>1713</v>
      </c>
    </row>
    <row r="730" spans="1:14">
      <c r="A730">
        <v>2383</v>
      </c>
      <c r="B730" t="s">
        <v>712</v>
      </c>
      <c r="C730">
        <v>5300</v>
      </c>
      <c r="D730">
        <v>5485</v>
      </c>
      <c r="E730" s="178">
        <v>-5</v>
      </c>
      <c r="F730" s="176">
        <v>-0.09</v>
      </c>
      <c r="G730" t="s">
        <v>6155</v>
      </c>
      <c r="H730">
        <v>1900</v>
      </c>
      <c r="I730">
        <v>2209</v>
      </c>
      <c r="J730">
        <v>35.83</v>
      </c>
      <c r="K730">
        <v>5500</v>
      </c>
      <c r="L730">
        <v>5300</v>
      </c>
      <c r="M730" s="175">
        <v>0.53</v>
      </c>
      <c r="N730" t="s">
        <v>3208</v>
      </c>
    </row>
    <row r="731" spans="1:14">
      <c r="A731">
        <v>2385</v>
      </c>
      <c r="B731" t="s">
        <v>92</v>
      </c>
      <c r="C731">
        <v>107.5</v>
      </c>
      <c r="D731">
        <v>106.5</v>
      </c>
      <c r="E731" s="178">
        <v>-1.5</v>
      </c>
      <c r="F731" s="176">
        <v>-1.39</v>
      </c>
      <c r="G731" t="s">
        <v>6156</v>
      </c>
      <c r="H731">
        <v>2166</v>
      </c>
      <c r="I731">
        <v>2406</v>
      </c>
      <c r="J731">
        <v>76.569999999999993</v>
      </c>
      <c r="K731">
        <v>107.5</v>
      </c>
      <c r="L731">
        <v>105.5</v>
      </c>
      <c r="M731" s="175">
        <v>0.28000000000000003</v>
      </c>
      <c r="N731" t="s">
        <v>4398</v>
      </c>
    </row>
    <row r="732" spans="1:14">
      <c r="A732">
        <v>2387</v>
      </c>
      <c r="B732" t="s">
        <v>713</v>
      </c>
      <c r="C732">
        <v>36.85</v>
      </c>
      <c r="D732">
        <v>36.6</v>
      </c>
      <c r="E732" s="178">
        <v>-0.2</v>
      </c>
      <c r="F732" s="176">
        <v>-0.54</v>
      </c>
      <c r="G732" t="s">
        <v>6157</v>
      </c>
      <c r="H732">
        <v>155</v>
      </c>
      <c r="I732">
        <v>202</v>
      </c>
      <c r="J732">
        <v>19.53</v>
      </c>
      <c r="K732">
        <v>36.9</v>
      </c>
      <c r="L732">
        <v>36.450000000000003</v>
      </c>
      <c r="M732" s="175">
        <v>0.08</v>
      </c>
      <c r="N732" t="s">
        <v>4399</v>
      </c>
    </row>
    <row r="733" spans="1:14">
      <c r="A733">
        <v>2388</v>
      </c>
      <c r="B733" t="s">
        <v>714</v>
      </c>
      <c r="C733">
        <v>72.900000000000006</v>
      </c>
      <c r="D733">
        <v>72.7</v>
      </c>
      <c r="E733" s="178">
        <v>-0.6</v>
      </c>
      <c r="F733" s="176">
        <v>-0.82</v>
      </c>
      <c r="G733" t="s">
        <v>5256</v>
      </c>
      <c r="H733">
        <v>1978</v>
      </c>
      <c r="I733">
        <v>2204</v>
      </c>
      <c r="J733">
        <v>55.64</v>
      </c>
      <c r="K733">
        <v>73.5</v>
      </c>
      <c r="L733">
        <v>71.5</v>
      </c>
      <c r="M733" s="175">
        <v>0.36</v>
      </c>
      <c r="N733" t="s">
        <v>3320</v>
      </c>
    </row>
    <row r="734" spans="1:14">
      <c r="A734">
        <v>2390</v>
      </c>
      <c r="B734" t="s">
        <v>715</v>
      </c>
      <c r="C734">
        <v>10.5</v>
      </c>
      <c r="D734">
        <v>10.4</v>
      </c>
      <c r="E734" s="178">
        <v>-0.05</v>
      </c>
      <c r="F734" s="176">
        <v>-0.48</v>
      </c>
      <c r="G734" t="s">
        <v>6158</v>
      </c>
      <c r="H734">
        <v>395</v>
      </c>
      <c r="I734">
        <v>506</v>
      </c>
      <c r="J734">
        <v>19.260000000000002</v>
      </c>
      <c r="K734">
        <v>10.5</v>
      </c>
      <c r="L734">
        <v>10.3</v>
      </c>
      <c r="M734" s="175">
        <v>0.21</v>
      </c>
      <c r="N734" t="s">
        <v>3131</v>
      </c>
    </row>
    <row r="735" spans="1:14">
      <c r="A735">
        <v>2392</v>
      </c>
      <c r="B735" t="s">
        <v>716</v>
      </c>
      <c r="C735">
        <v>44.35</v>
      </c>
      <c r="D735">
        <v>45</v>
      </c>
      <c r="E735" s="178">
        <v>0.5</v>
      </c>
      <c r="F735" s="176">
        <v>1.1200000000000001</v>
      </c>
      <c r="G735" t="s">
        <v>6159</v>
      </c>
      <c r="H735">
        <v>14187</v>
      </c>
      <c r="I735">
        <v>6930</v>
      </c>
      <c r="J735">
        <v>51.23</v>
      </c>
      <c r="K735">
        <v>45.85</v>
      </c>
      <c r="L735">
        <v>43.7</v>
      </c>
      <c r="M735" s="175">
        <v>2.77</v>
      </c>
      <c r="N735" t="s">
        <v>2183</v>
      </c>
    </row>
    <row r="736" spans="1:14">
      <c r="A736">
        <v>2393</v>
      </c>
      <c r="B736" t="s">
        <v>410</v>
      </c>
      <c r="C736">
        <v>66</v>
      </c>
      <c r="D736">
        <v>66.099999999999994</v>
      </c>
      <c r="E736" s="178">
        <v>-0.1</v>
      </c>
      <c r="F736" s="176">
        <v>-0.15</v>
      </c>
      <c r="G736" t="s">
        <v>5352</v>
      </c>
      <c r="H736">
        <v>2314</v>
      </c>
      <c r="I736">
        <v>1476</v>
      </c>
      <c r="J736">
        <v>44.34</v>
      </c>
      <c r="K736">
        <v>66.099999999999994</v>
      </c>
      <c r="L736">
        <v>65</v>
      </c>
      <c r="M736" s="175">
        <v>0.52</v>
      </c>
      <c r="N736" t="s">
        <v>3321</v>
      </c>
    </row>
    <row r="737" spans="1:14">
      <c r="A737">
        <v>2395</v>
      </c>
      <c r="B737" t="s">
        <v>717</v>
      </c>
      <c r="C737">
        <v>664</v>
      </c>
      <c r="D737">
        <v>677</v>
      </c>
      <c r="E737" s="178">
        <v>8</v>
      </c>
      <c r="F737" s="176">
        <v>1.2</v>
      </c>
      <c r="G737" t="s">
        <v>6160</v>
      </c>
      <c r="H737">
        <v>3252</v>
      </c>
      <c r="I737">
        <v>1889</v>
      </c>
      <c r="J737">
        <v>86.91</v>
      </c>
      <c r="K737">
        <v>677</v>
      </c>
      <c r="L737">
        <v>656</v>
      </c>
      <c r="M737" s="175">
        <v>0.37</v>
      </c>
      <c r="N737" t="s">
        <v>4128</v>
      </c>
    </row>
    <row r="738" spans="1:14">
      <c r="A738">
        <v>2397</v>
      </c>
      <c r="B738" t="s">
        <v>718</v>
      </c>
      <c r="C738">
        <v>61.6</v>
      </c>
      <c r="D738">
        <v>63</v>
      </c>
      <c r="E738" s="178">
        <v>0.2</v>
      </c>
      <c r="F738" s="176">
        <v>0.32</v>
      </c>
      <c r="G738" t="s">
        <v>6161</v>
      </c>
      <c r="H738">
        <v>181</v>
      </c>
      <c r="I738">
        <v>160</v>
      </c>
      <c r="J738">
        <v>11.45</v>
      </c>
      <c r="K738">
        <v>63</v>
      </c>
      <c r="L738">
        <v>61.3</v>
      </c>
      <c r="M738" s="175">
        <v>0.16</v>
      </c>
      <c r="N738" t="s">
        <v>4183</v>
      </c>
    </row>
    <row r="739" spans="1:14">
      <c r="A739">
        <v>2399</v>
      </c>
      <c r="B739" t="s">
        <v>719</v>
      </c>
      <c r="C739">
        <v>46.65</v>
      </c>
      <c r="D739">
        <v>45.6</v>
      </c>
      <c r="E739" s="178">
        <v>-1.3</v>
      </c>
      <c r="F739" s="176">
        <v>-2.77</v>
      </c>
      <c r="G739" t="s">
        <v>5746</v>
      </c>
      <c r="H739">
        <v>3213</v>
      </c>
      <c r="I739">
        <v>7920</v>
      </c>
      <c r="J739">
        <v>17.809999999999999</v>
      </c>
      <c r="K739">
        <v>47.05</v>
      </c>
      <c r="L739">
        <v>45.1</v>
      </c>
      <c r="M739" s="175">
        <v>1.8</v>
      </c>
      <c r="N739" t="s">
        <v>4437</v>
      </c>
    </row>
    <row r="740" spans="1:14">
      <c r="A740">
        <v>2401</v>
      </c>
      <c r="B740" t="s">
        <v>720</v>
      </c>
      <c r="C740">
        <v>25.65</v>
      </c>
      <c r="D740">
        <v>25.25</v>
      </c>
      <c r="E740" s="178">
        <v>-0.65</v>
      </c>
      <c r="F740" s="176">
        <v>-2.5099999999999998</v>
      </c>
      <c r="G740" t="s">
        <v>5468</v>
      </c>
      <c r="H740">
        <v>1896</v>
      </c>
      <c r="I740">
        <v>1911</v>
      </c>
      <c r="J740">
        <v>59.2</v>
      </c>
      <c r="K740">
        <v>25.65</v>
      </c>
      <c r="L740">
        <v>25.15</v>
      </c>
      <c r="M740" s="175">
        <v>0.32</v>
      </c>
      <c r="N740" t="s">
        <v>3322</v>
      </c>
    </row>
    <row r="741" spans="1:14">
      <c r="A741">
        <v>2402</v>
      </c>
      <c r="B741" t="s">
        <v>721</v>
      </c>
      <c r="C741">
        <v>56.6</v>
      </c>
      <c r="D741">
        <v>59.7</v>
      </c>
      <c r="E741" s="178">
        <v>3.1</v>
      </c>
      <c r="F741" s="176">
        <v>5.48</v>
      </c>
      <c r="G741" t="s">
        <v>6162</v>
      </c>
      <c r="H741">
        <v>7121</v>
      </c>
      <c r="I741">
        <v>1237</v>
      </c>
      <c r="J741">
        <v>30.75</v>
      </c>
      <c r="K741">
        <v>61</v>
      </c>
      <c r="L741">
        <v>56.5</v>
      </c>
      <c r="M741" s="175">
        <v>2.3199999999999998</v>
      </c>
      <c r="N741" t="s">
        <v>3429</v>
      </c>
    </row>
    <row r="742" spans="1:14">
      <c r="A742">
        <v>2404</v>
      </c>
      <c r="B742" t="s">
        <v>722</v>
      </c>
      <c r="C742">
        <v>1065</v>
      </c>
      <c r="D742">
        <v>1060</v>
      </c>
      <c r="E742" s="178">
        <v>-15</v>
      </c>
      <c r="F742" s="176">
        <v>-1.4</v>
      </c>
      <c r="G742" t="s">
        <v>6163</v>
      </c>
      <c r="H742">
        <v>1386</v>
      </c>
      <c r="I742">
        <v>944</v>
      </c>
      <c r="J742">
        <v>19.059999999999999</v>
      </c>
      <c r="K742">
        <v>1065</v>
      </c>
      <c r="L742">
        <v>1035</v>
      </c>
      <c r="M742" s="175">
        <v>0.73</v>
      </c>
      <c r="N742" t="s">
        <v>3862</v>
      </c>
    </row>
    <row r="743" spans="1:14">
      <c r="A743">
        <v>2405</v>
      </c>
      <c r="B743" t="s">
        <v>2151</v>
      </c>
      <c r="C743">
        <v>15.4</v>
      </c>
      <c r="D743">
        <v>15.35</v>
      </c>
      <c r="E743" s="178">
        <v>-0.15</v>
      </c>
      <c r="F743" s="176">
        <v>-0.97</v>
      </c>
      <c r="G743" t="s">
        <v>5308</v>
      </c>
      <c r="H743">
        <v>758</v>
      </c>
      <c r="I743">
        <v>785</v>
      </c>
      <c r="J743">
        <v>34.340000000000003</v>
      </c>
      <c r="K743">
        <v>15.55</v>
      </c>
      <c r="L743">
        <v>15.25</v>
      </c>
      <c r="M743" s="175">
        <v>0.22</v>
      </c>
      <c r="N743" t="s">
        <v>3863</v>
      </c>
    </row>
    <row r="744" spans="1:14">
      <c r="A744">
        <v>2406</v>
      </c>
      <c r="B744" t="s">
        <v>723</v>
      </c>
      <c r="C744">
        <v>28.5</v>
      </c>
      <c r="D744">
        <v>28.05</v>
      </c>
      <c r="E744" s="178">
        <v>-0.6</v>
      </c>
      <c r="F744" s="176">
        <v>-2.09</v>
      </c>
      <c r="G744" t="s">
        <v>6164</v>
      </c>
      <c r="H744">
        <v>3108</v>
      </c>
      <c r="I744">
        <v>3204</v>
      </c>
      <c r="J744">
        <v>35.090000000000003</v>
      </c>
      <c r="K744">
        <v>28.75</v>
      </c>
      <c r="L744">
        <v>27.85</v>
      </c>
      <c r="M744" s="175">
        <v>0.89</v>
      </c>
      <c r="N744" t="s">
        <v>4901</v>
      </c>
    </row>
    <row r="745" spans="1:14">
      <c r="A745">
        <v>2408</v>
      </c>
      <c r="B745" t="s">
        <v>98</v>
      </c>
      <c r="C745">
        <v>546</v>
      </c>
      <c r="D745">
        <v>543</v>
      </c>
      <c r="E745" s="178">
        <v>3</v>
      </c>
      <c r="F745" s="176">
        <v>0.56000000000000005</v>
      </c>
      <c r="G745" t="s">
        <v>6165</v>
      </c>
      <c r="H745">
        <v>157334</v>
      </c>
      <c r="I745">
        <v>72951</v>
      </c>
      <c r="J745">
        <v>345.02</v>
      </c>
      <c r="K745">
        <v>558</v>
      </c>
      <c r="L745">
        <v>531</v>
      </c>
      <c r="M745" s="175">
        <v>5.08</v>
      </c>
      <c r="N745" t="s">
        <v>4443</v>
      </c>
    </row>
    <row r="746" spans="1:14">
      <c r="A746">
        <v>2409</v>
      </c>
      <c r="B746" t="s">
        <v>2184</v>
      </c>
      <c r="C746">
        <v>25.75</v>
      </c>
      <c r="D746">
        <v>26.65</v>
      </c>
      <c r="E746" s="178">
        <v>0.8</v>
      </c>
      <c r="F746" s="176">
        <v>3.09</v>
      </c>
      <c r="G746" t="s">
        <v>5470</v>
      </c>
      <c r="H746">
        <v>161586</v>
      </c>
      <c r="I746">
        <v>84705</v>
      </c>
      <c r="J746">
        <v>754.71</v>
      </c>
      <c r="K746">
        <v>26.65</v>
      </c>
      <c r="L746">
        <v>25.4</v>
      </c>
      <c r="M746" s="175">
        <v>2.14</v>
      </c>
      <c r="N746" t="s">
        <v>3027</v>
      </c>
    </row>
    <row r="747" spans="1:14">
      <c r="A747">
        <v>2412</v>
      </c>
      <c r="B747" t="s">
        <v>724</v>
      </c>
      <c r="C747">
        <v>136</v>
      </c>
      <c r="D747">
        <v>136</v>
      </c>
      <c r="E747" s="178">
        <v>0.5</v>
      </c>
      <c r="F747" s="176">
        <v>0.37</v>
      </c>
      <c r="G747" t="s">
        <v>6166</v>
      </c>
      <c r="H747">
        <v>15371</v>
      </c>
      <c r="I747">
        <v>7338</v>
      </c>
      <c r="J747">
        <v>775.74</v>
      </c>
      <c r="K747">
        <v>136</v>
      </c>
      <c r="L747">
        <v>135</v>
      </c>
      <c r="M747" s="175">
        <v>0.2</v>
      </c>
      <c r="N747" t="s">
        <v>3558</v>
      </c>
    </row>
    <row r="748" spans="1:14">
      <c r="A748">
        <v>2413</v>
      </c>
      <c r="B748" t="s">
        <v>725</v>
      </c>
      <c r="C748">
        <v>43.8</v>
      </c>
      <c r="D748">
        <v>43.2</v>
      </c>
      <c r="E748" s="178">
        <v>-0.65</v>
      </c>
      <c r="F748" s="176">
        <v>-1.48</v>
      </c>
      <c r="G748" t="s">
        <v>6167</v>
      </c>
      <c r="H748">
        <v>345</v>
      </c>
      <c r="I748">
        <v>483</v>
      </c>
      <c r="J748">
        <v>12.74</v>
      </c>
      <c r="K748">
        <v>44.4</v>
      </c>
      <c r="L748">
        <v>43.05</v>
      </c>
      <c r="M748" s="175">
        <v>0.27</v>
      </c>
      <c r="N748" t="s">
        <v>4360</v>
      </c>
    </row>
    <row r="749" spans="1:14">
      <c r="A749">
        <v>2414</v>
      </c>
      <c r="B749" t="s">
        <v>726</v>
      </c>
      <c r="C749">
        <v>51.9</v>
      </c>
      <c r="D749">
        <v>51.8</v>
      </c>
      <c r="E749" s="178">
        <v>-0.1</v>
      </c>
      <c r="F749" s="176">
        <v>-0.19</v>
      </c>
      <c r="G749" t="s">
        <v>6168</v>
      </c>
      <c r="H749">
        <v>116</v>
      </c>
      <c r="I749">
        <v>170</v>
      </c>
      <c r="J749">
        <v>16.170000000000002</v>
      </c>
      <c r="K749">
        <v>52.1</v>
      </c>
      <c r="L749">
        <v>51.6</v>
      </c>
      <c r="M749" s="175">
        <v>7.0000000000000007E-2</v>
      </c>
      <c r="N749" t="s">
        <v>3864</v>
      </c>
    </row>
    <row r="750" spans="1:14">
      <c r="A750">
        <v>2415</v>
      </c>
      <c r="B750" t="s">
        <v>727</v>
      </c>
      <c r="C750">
        <v>28.9</v>
      </c>
      <c r="D750">
        <v>28.95</v>
      </c>
      <c r="E750" s="178">
        <v>-0.45</v>
      </c>
      <c r="F750" s="176">
        <v>-1.53</v>
      </c>
      <c r="G750" t="s">
        <v>5540</v>
      </c>
      <c r="H750">
        <v>151</v>
      </c>
      <c r="I750">
        <v>296</v>
      </c>
      <c r="J750">
        <v>10</v>
      </c>
      <c r="K750">
        <v>29.35</v>
      </c>
      <c r="L750">
        <v>28.65</v>
      </c>
      <c r="M750" s="175">
        <v>0.15</v>
      </c>
      <c r="N750" t="s">
        <v>1632</v>
      </c>
    </row>
    <row r="751" spans="1:14">
      <c r="A751">
        <v>2417</v>
      </c>
      <c r="B751" t="s">
        <v>728</v>
      </c>
      <c r="C751">
        <v>44.15</v>
      </c>
      <c r="D751">
        <v>43.75</v>
      </c>
      <c r="E751" s="178">
        <v>-0.4</v>
      </c>
      <c r="F751" s="176">
        <v>-0.91</v>
      </c>
      <c r="G751" t="s">
        <v>6169</v>
      </c>
      <c r="H751">
        <v>334</v>
      </c>
      <c r="I751">
        <v>695</v>
      </c>
      <c r="J751">
        <v>15.72</v>
      </c>
      <c r="K751">
        <v>44.25</v>
      </c>
      <c r="L751">
        <v>43.15</v>
      </c>
      <c r="M751" s="175">
        <v>0.21</v>
      </c>
      <c r="N751" t="s">
        <v>3559</v>
      </c>
    </row>
    <row r="752" spans="1:14">
      <c r="A752">
        <v>2419</v>
      </c>
      <c r="B752" t="s">
        <v>729</v>
      </c>
      <c r="C752">
        <v>25.15</v>
      </c>
      <c r="D752">
        <v>25.1</v>
      </c>
      <c r="E752" s="178">
        <v>0</v>
      </c>
      <c r="F752" s="176">
        <v>0</v>
      </c>
      <c r="G752" t="s">
        <v>6170</v>
      </c>
      <c r="H752">
        <v>314</v>
      </c>
      <c r="I752">
        <v>327</v>
      </c>
      <c r="J752">
        <v>32.130000000000003</v>
      </c>
      <c r="K752">
        <v>25.45</v>
      </c>
      <c r="L752">
        <v>24.9</v>
      </c>
      <c r="M752" s="175">
        <v>0.1</v>
      </c>
      <c r="N752" t="s">
        <v>3560</v>
      </c>
    </row>
    <row r="753" spans="1:14">
      <c r="A753">
        <v>2420</v>
      </c>
      <c r="B753" t="s">
        <v>730</v>
      </c>
      <c r="C753">
        <v>55.2</v>
      </c>
      <c r="D753">
        <v>54.5</v>
      </c>
      <c r="E753" s="178">
        <v>-0.8</v>
      </c>
      <c r="F753" s="176">
        <v>-1.45</v>
      </c>
      <c r="G753" t="s">
        <v>6171</v>
      </c>
      <c r="H753">
        <v>295</v>
      </c>
      <c r="I753">
        <v>705</v>
      </c>
      <c r="J753">
        <v>15.26</v>
      </c>
      <c r="K753">
        <v>55.2</v>
      </c>
      <c r="L753">
        <v>54.1</v>
      </c>
      <c r="M753" s="175">
        <v>0.19</v>
      </c>
      <c r="N753" t="s">
        <v>1633</v>
      </c>
    </row>
    <row r="754" spans="1:14">
      <c r="A754">
        <v>2421</v>
      </c>
      <c r="B754" t="s">
        <v>731</v>
      </c>
      <c r="C754">
        <v>163.5</v>
      </c>
      <c r="D754">
        <v>179.5</v>
      </c>
      <c r="E754" s="178">
        <v>16</v>
      </c>
      <c r="F754" s="176">
        <v>9.7899999999999991</v>
      </c>
      <c r="G754" t="s">
        <v>6172</v>
      </c>
      <c r="H754">
        <v>20467</v>
      </c>
      <c r="I754">
        <v>5385</v>
      </c>
      <c r="J754">
        <v>28.69</v>
      </c>
      <c r="K754">
        <v>179.5</v>
      </c>
      <c r="L754">
        <v>163</v>
      </c>
      <c r="M754" s="175">
        <v>7.13</v>
      </c>
      <c r="N754" t="s">
        <v>3028</v>
      </c>
    </row>
    <row r="755" spans="1:14">
      <c r="A755">
        <v>2423</v>
      </c>
      <c r="B755" t="s">
        <v>732</v>
      </c>
      <c r="C755">
        <v>73.7</v>
      </c>
      <c r="D755">
        <v>73.7</v>
      </c>
      <c r="E755" s="178">
        <v>-0.9</v>
      </c>
      <c r="F755" s="176">
        <v>-1.21</v>
      </c>
      <c r="G755" t="s">
        <v>6173</v>
      </c>
      <c r="H755">
        <v>67</v>
      </c>
      <c r="I755">
        <v>90</v>
      </c>
      <c r="J755">
        <v>14.5</v>
      </c>
      <c r="K755">
        <v>74.3</v>
      </c>
      <c r="L755">
        <v>73</v>
      </c>
      <c r="M755" s="175">
        <v>0.05</v>
      </c>
      <c r="N755" t="s">
        <v>3865</v>
      </c>
    </row>
    <row r="756" spans="1:14">
      <c r="A756">
        <v>2424</v>
      </c>
      <c r="B756" t="s">
        <v>733</v>
      </c>
      <c r="C756">
        <v>8.1</v>
      </c>
      <c r="D756">
        <v>8.01</v>
      </c>
      <c r="E756" s="178">
        <v>-0.16</v>
      </c>
      <c r="F756" s="176">
        <v>-1.96</v>
      </c>
      <c r="G756" t="s">
        <v>5694</v>
      </c>
      <c r="H756">
        <v>29</v>
      </c>
      <c r="I756">
        <v>17</v>
      </c>
      <c r="J756">
        <v>5.96</v>
      </c>
      <c r="K756">
        <v>8.2899999999999991</v>
      </c>
      <c r="L756">
        <v>7.68</v>
      </c>
      <c r="M756" s="175">
        <v>0.16</v>
      </c>
      <c r="N756" t="s">
        <v>3396</v>
      </c>
    </row>
    <row r="757" spans="1:14">
      <c r="A757">
        <v>2425</v>
      </c>
      <c r="B757" t="s">
        <v>96</v>
      </c>
      <c r="C757">
        <v>38.299999999999997</v>
      </c>
      <c r="D757">
        <v>37.4</v>
      </c>
      <c r="E757" s="178">
        <v>-0.9</v>
      </c>
      <c r="F757" s="176">
        <v>-2.35</v>
      </c>
      <c r="G757" t="s">
        <v>6174</v>
      </c>
      <c r="H757">
        <v>769</v>
      </c>
      <c r="I757">
        <v>912</v>
      </c>
      <c r="J757">
        <v>9.65</v>
      </c>
      <c r="K757">
        <v>38.4</v>
      </c>
      <c r="L757">
        <v>37.4</v>
      </c>
      <c r="M757" s="175">
        <v>0.8</v>
      </c>
      <c r="N757" t="s">
        <v>3346</v>
      </c>
    </row>
    <row r="758" spans="1:14">
      <c r="A758">
        <v>2426</v>
      </c>
      <c r="B758" t="s">
        <v>734</v>
      </c>
      <c r="C758">
        <v>95.1</v>
      </c>
      <c r="D758">
        <v>97.8</v>
      </c>
      <c r="E758" s="178">
        <v>1.7</v>
      </c>
      <c r="F758" s="176">
        <v>1.77</v>
      </c>
      <c r="G758" t="s">
        <v>6175</v>
      </c>
      <c r="H758">
        <v>86283</v>
      </c>
      <c r="I758">
        <v>73025</v>
      </c>
      <c r="J758">
        <v>30.06</v>
      </c>
      <c r="K758">
        <v>100.5</v>
      </c>
      <c r="L758">
        <v>88.4</v>
      </c>
      <c r="M758" s="175">
        <v>28.7</v>
      </c>
      <c r="N758" t="s">
        <v>3614</v>
      </c>
    </row>
    <row r="759" spans="1:14">
      <c r="A759">
        <v>2427</v>
      </c>
      <c r="B759" t="s">
        <v>735</v>
      </c>
      <c r="C759">
        <v>22.65</v>
      </c>
      <c r="D759">
        <v>22.35</v>
      </c>
      <c r="E759" s="178">
        <v>-0.25</v>
      </c>
      <c r="F759" s="176">
        <v>-1.1100000000000001</v>
      </c>
      <c r="G759" t="s">
        <v>5408</v>
      </c>
      <c r="H759">
        <v>200</v>
      </c>
      <c r="I759">
        <v>244</v>
      </c>
      <c r="J759">
        <v>19.8</v>
      </c>
      <c r="K759">
        <v>22.8</v>
      </c>
      <c r="L759">
        <v>22.25</v>
      </c>
      <c r="M759" s="175">
        <v>0.1</v>
      </c>
      <c r="N759" t="s">
        <v>3209</v>
      </c>
    </row>
    <row r="760" spans="1:14">
      <c r="A760">
        <v>2428</v>
      </c>
      <c r="B760" t="s">
        <v>736</v>
      </c>
      <c r="C760">
        <v>260</v>
      </c>
      <c r="D760">
        <v>252</v>
      </c>
      <c r="E760" s="178">
        <v>-10</v>
      </c>
      <c r="F760" s="176">
        <v>-3.82</v>
      </c>
      <c r="G760" t="s">
        <v>6176</v>
      </c>
      <c r="H760">
        <v>2261</v>
      </c>
      <c r="I760">
        <v>1599</v>
      </c>
      <c r="J760">
        <v>12.81</v>
      </c>
      <c r="K760">
        <v>266</v>
      </c>
      <c r="L760">
        <v>250</v>
      </c>
      <c r="M760" s="175">
        <v>1.76</v>
      </c>
      <c r="N760" t="s">
        <v>3701</v>
      </c>
    </row>
    <row r="761" spans="1:14">
      <c r="A761">
        <v>2429</v>
      </c>
      <c r="B761" t="s">
        <v>737</v>
      </c>
      <c r="C761">
        <v>33.25</v>
      </c>
      <c r="D761">
        <v>33.049999999999997</v>
      </c>
      <c r="E761" s="178">
        <v>-0.2</v>
      </c>
      <c r="F761" s="176">
        <v>-0.6</v>
      </c>
      <c r="G761" t="s">
        <v>5259</v>
      </c>
      <c r="H761">
        <v>153</v>
      </c>
      <c r="I761">
        <v>319</v>
      </c>
      <c r="J761">
        <v>8.5500000000000007</v>
      </c>
      <c r="K761">
        <v>33.4</v>
      </c>
      <c r="L761">
        <v>32.799999999999997</v>
      </c>
      <c r="M761" s="175">
        <v>0.18</v>
      </c>
      <c r="N761" t="s">
        <v>2602</v>
      </c>
    </row>
    <row r="762" spans="1:14">
      <c r="A762">
        <v>2430</v>
      </c>
      <c r="B762" t="s">
        <v>2139</v>
      </c>
      <c r="C762">
        <v>17.7</v>
      </c>
      <c r="D762">
        <v>17.8</v>
      </c>
      <c r="E762" s="178">
        <v>0</v>
      </c>
      <c r="F762" s="176">
        <v>0</v>
      </c>
      <c r="G762" t="s">
        <v>5464</v>
      </c>
      <c r="H762">
        <v>18</v>
      </c>
      <c r="I762">
        <v>63</v>
      </c>
      <c r="J762">
        <v>11.68</v>
      </c>
      <c r="K762">
        <v>17.8</v>
      </c>
      <c r="L762">
        <v>17.649999999999999</v>
      </c>
      <c r="M762" s="175">
        <v>0.02</v>
      </c>
      <c r="N762" t="s">
        <v>2140</v>
      </c>
    </row>
    <row r="763" spans="1:14">
      <c r="A763">
        <v>2431</v>
      </c>
      <c r="B763" t="s">
        <v>738</v>
      </c>
      <c r="C763">
        <v>10.35</v>
      </c>
      <c r="D763">
        <v>10.199999999999999</v>
      </c>
      <c r="E763" s="178">
        <v>-0.15</v>
      </c>
      <c r="F763" s="176">
        <v>-1.45</v>
      </c>
      <c r="G763" t="s">
        <v>5463</v>
      </c>
      <c r="H763">
        <v>200</v>
      </c>
      <c r="I763">
        <v>109</v>
      </c>
      <c r="J763">
        <v>11.09</v>
      </c>
      <c r="K763">
        <v>10.45</v>
      </c>
      <c r="L763">
        <v>10.15</v>
      </c>
      <c r="M763" s="175">
        <v>0.18</v>
      </c>
      <c r="N763" t="s">
        <v>4915</v>
      </c>
    </row>
    <row r="764" spans="1:14">
      <c r="A764">
        <v>2433</v>
      </c>
      <c r="B764" t="s">
        <v>739</v>
      </c>
      <c r="C764">
        <v>41.55</v>
      </c>
      <c r="D764">
        <v>41.5</v>
      </c>
      <c r="E764" s="178">
        <v>-0.2</v>
      </c>
      <c r="F764" s="176">
        <v>-0.48</v>
      </c>
      <c r="G764" t="s">
        <v>6177</v>
      </c>
      <c r="H764">
        <v>18</v>
      </c>
      <c r="I764">
        <v>24</v>
      </c>
      <c r="J764">
        <v>14.45</v>
      </c>
      <c r="K764">
        <v>41.55</v>
      </c>
      <c r="L764">
        <v>41.4</v>
      </c>
      <c r="M764" s="175">
        <v>0.01</v>
      </c>
      <c r="N764" t="s">
        <v>3561</v>
      </c>
    </row>
    <row r="765" spans="1:14">
      <c r="A765">
        <v>2434</v>
      </c>
      <c r="B765" t="s">
        <v>740</v>
      </c>
      <c r="C765">
        <v>58.1</v>
      </c>
      <c r="D765">
        <v>62</v>
      </c>
      <c r="E765" s="178">
        <v>5.6</v>
      </c>
      <c r="F765" s="176">
        <v>9.93</v>
      </c>
      <c r="G765" t="s">
        <v>5210</v>
      </c>
      <c r="H765">
        <v>2043</v>
      </c>
      <c r="I765">
        <v>1170</v>
      </c>
      <c r="J765">
        <v>3.7</v>
      </c>
      <c r="K765">
        <v>62</v>
      </c>
      <c r="L765">
        <v>57</v>
      </c>
      <c r="M765" s="175">
        <v>12.02</v>
      </c>
      <c r="N765" t="s">
        <v>3702</v>
      </c>
    </row>
    <row r="766" spans="1:14">
      <c r="A766">
        <v>2436</v>
      </c>
      <c r="B766" t="s">
        <v>741</v>
      </c>
      <c r="C766">
        <v>67.400000000000006</v>
      </c>
      <c r="D766">
        <v>65.7</v>
      </c>
      <c r="E766" s="178">
        <v>-1.8</v>
      </c>
      <c r="F766" s="176">
        <v>-2.67</v>
      </c>
      <c r="G766" t="s">
        <v>6128</v>
      </c>
      <c r="H766">
        <v>3705</v>
      </c>
      <c r="I766">
        <v>6544</v>
      </c>
      <c r="J766">
        <v>20.88</v>
      </c>
      <c r="K766">
        <v>67.400000000000006</v>
      </c>
      <c r="L766">
        <v>65</v>
      </c>
      <c r="M766" s="175">
        <v>1.85</v>
      </c>
      <c r="N766" t="s">
        <v>3866</v>
      </c>
    </row>
    <row r="767" spans="1:14">
      <c r="A767">
        <v>2438</v>
      </c>
      <c r="B767" t="s">
        <v>1634</v>
      </c>
      <c r="C767">
        <v>18.25</v>
      </c>
      <c r="D767">
        <v>18.149999999999999</v>
      </c>
      <c r="E767" s="178">
        <v>0</v>
      </c>
      <c r="F767" s="176">
        <v>0</v>
      </c>
      <c r="G767" t="s">
        <v>6178</v>
      </c>
      <c r="H767">
        <v>25</v>
      </c>
      <c r="I767">
        <v>34</v>
      </c>
      <c r="J767">
        <v>7.12</v>
      </c>
      <c r="K767">
        <v>18.25</v>
      </c>
      <c r="L767">
        <v>18</v>
      </c>
      <c r="M767" s="175">
        <v>0.04</v>
      </c>
      <c r="N767" t="s">
        <v>3167</v>
      </c>
    </row>
    <row r="768" spans="1:14">
      <c r="A768">
        <v>2439</v>
      </c>
      <c r="B768" t="s">
        <v>742</v>
      </c>
      <c r="C768">
        <v>78.5</v>
      </c>
      <c r="D768">
        <v>78.8</v>
      </c>
      <c r="E768" s="178">
        <v>0.3</v>
      </c>
      <c r="F768" s="176">
        <v>0.38</v>
      </c>
      <c r="G768" t="s">
        <v>6179</v>
      </c>
      <c r="H768">
        <v>1023</v>
      </c>
      <c r="I768">
        <v>1810</v>
      </c>
      <c r="J768">
        <v>24.86</v>
      </c>
      <c r="K768">
        <v>79.3</v>
      </c>
      <c r="L768">
        <v>77.8</v>
      </c>
      <c r="M768" s="175">
        <v>0.4</v>
      </c>
      <c r="N768" t="s">
        <v>4444</v>
      </c>
    </row>
    <row r="769" spans="1:14">
      <c r="A769">
        <v>2440</v>
      </c>
      <c r="B769" t="s">
        <v>743</v>
      </c>
      <c r="C769">
        <v>14.4</v>
      </c>
      <c r="D769">
        <v>14.25</v>
      </c>
      <c r="E769" s="178">
        <v>-0.2</v>
      </c>
      <c r="F769" s="176">
        <v>-1.38</v>
      </c>
      <c r="G769" t="s">
        <v>6180</v>
      </c>
      <c r="H769">
        <v>235</v>
      </c>
      <c r="I769">
        <v>208</v>
      </c>
      <c r="J769">
        <v>13.91</v>
      </c>
      <c r="K769">
        <v>14.4</v>
      </c>
      <c r="L769">
        <v>14</v>
      </c>
      <c r="M769" s="175">
        <v>0.17</v>
      </c>
      <c r="N769" t="s">
        <v>3987</v>
      </c>
    </row>
    <row r="770" spans="1:14">
      <c r="A770">
        <v>2441</v>
      </c>
      <c r="B770" t="s">
        <v>744</v>
      </c>
      <c r="C770">
        <v>117</v>
      </c>
      <c r="D770">
        <v>115.5</v>
      </c>
      <c r="E770" s="178">
        <v>-3</v>
      </c>
      <c r="F770" s="176">
        <v>-2.5299999999999998</v>
      </c>
      <c r="G770" t="s">
        <v>6181</v>
      </c>
      <c r="H770">
        <v>4415</v>
      </c>
      <c r="I770">
        <v>4166</v>
      </c>
      <c r="J770">
        <v>56.88</v>
      </c>
      <c r="K770">
        <v>117</v>
      </c>
      <c r="L770">
        <v>113</v>
      </c>
      <c r="M770" s="175">
        <v>0.78</v>
      </c>
      <c r="N770" t="s">
        <v>4984</v>
      </c>
    </row>
    <row r="771" spans="1:14">
      <c r="A771">
        <v>2442</v>
      </c>
      <c r="B771" t="s">
        <v>745</v>
      </c>
      <c r="C771">
        <v>19.399999999999999</v>
      </c>
      <c r="D771">
        <v>19.3</v>
      </c>
      <c r="E771" s="178">
        <v>-0.1</v>
      </c>
      <c r="F771" s="176">
        <v>-0.52</v>
      </c>
      <c r="G771" t="s">
        <v>6182</v>
      </c>
      <c r="H771">
        <v>1534</v>
      </c>
      <c r="I771">
        <v>1369</v>
      </c>
      <c r="J771">
        <v>32.520000000000003</v>
      </c>
      <c r="K771">
        <v>19.399999999999999</v>
      </c>
      <c r="L771">
        <v>19.25</v>
      </c>
      <c r="M771" s="175">
        <v>0.47</v>
      </c>
      <c r="N771" t="s">
        <v>3867</v>
      </c>
    </row>
    <row r="772" spans="1:14">
      <c r="A772">
        <v>2444</v>
      </c>
      <c r="B772" t="s">
        <v>746</v>
      </c>
      <c r="C772">
        <v>10.9</v>
      </c>
      <c r="D772">
        <v>11</v>
      </c>
      <c r="E772" s="178">
        <v>0</v>
      </c>
      <c r="F772" s="176">
        <v>0</v>
      </c>
      <c r="G772" t="s">
        <v>6183</v>
      </c>
      <c r="H772">
        <v>90</v>
      </c>
      <c r="I772">
        <v>106</v>
      </c>
      <c r="J772">
        <v>10.66</v>
      </c>
      <c r="K772">
        <v>11.1</v>
      </c>
      <c r="L772">
        <v>10.9</v>
      </c>
      <c r="M772" s="175">
        <v>0.09</v>
      </c>
      <c r="N772" t="s">
        <v>3515</v>
      </c>
    </row>
    <row r="773" spans="1:14">
      <c r="A773">
        <v>2449</v>
      </c>
      <c r="B773" t="s">
        <v>747</v>
      </c>
      <c r="C773">
        <v>264.5</v>
      </c>
      <c r="D773">
        <v>257</v>
      </c>
      <c r="E773" s="178">
        <v>-13</v>
      </c>
      <c r="F773" s="176">
        <v>-4.8099999999999996</v>
      </c>
      <c r="G773" t="s">
        <v>6184</v>
      </c>
      <c r="H773">
        <v>36215</v>
      </c>
      <c r="I773">
        <v>21210</v>
      </c>
      <c r="J773">
        <v>128.38999999999999</v>
      </c>
      <c r="K773">
        <v>264.5</v>
      </c>
      <c r="L773">
        <v>250</v>
      </c>
      <c r="M773" s="175">
        <v>2.82</v>
      </c>
      <c r="N773" t="s">
        <v>4361</v>
      </c>
    </row>
    <row r="774" spans="1:14">
      <c r="A774">
        <v>2450</v>
      </c>
      <c r="B774" t="s">
        <v>748</v>
      </c>
      <c r="C774">
        <v>28.3</v>
      </c>
      <c r="D774">
        <v>28.1</v>
      </c>
      <c r="E774" s="178">
        <v>-0.2</v>
      </c>
      <c r="F774" s="176">
        <v>-0.71</v>
      </c>
      <c r="G774" t="s">
        <v>5792</v>
      </c>
      <c r="H774">
        <v>88</v>
      </c>
      <c r="I774">
        <v>63</v>
      </c>
      <c r="J774">
        <v>25.83</v>
      </c>
      <c r="K774">
        <v>28.3</v>
      </c>
      <c r="L774">
        <v>28.05</v>
      </c>
      <c r="M774" s="175">
        <v>0.03</v>
      </c>
      <c r="N774" t="s">
        <v>3375</v>
      </c>
    </row>
    <row r="775" spans="1:14">
      <c r="A775">
        <v>2451</v>
      </c>
      <c r="B775" t="s">
        <v>66</v>
      </c>
      <c r="C775">
        <v>291.5</v>
      </c>
      <c r="D775">
        <v>294.5</v>
      </c>
      <c r="E775" s="178">
        <v>0.5</v>
      </c>
      <c r="F775" s="176">
        <v>0.17</v>
      </c>
      <c r="G775" t="s">
        <v>6139</v>
      </c>
      <c r="H775">
        <v>3069</v>
      </c>
      <c r="I775">
        <v>7071</v>
      </c>
      <c r="J775">
        <v>43.13</v>
      </c>
      <c r="K775">
        <v>296.5</v>
      </c>
      <c r="L775">
        <v>289</v>
      </c>
      <c r="M775" s="175">
        <v>0.71</v>
      </c>
      <c r="N775" t="s">
        <v>3868</v>
      </c>
    </row>
    <row r="776" spans="1:14">
      <c r="A776">
        <v>2453</v>
      </c>
      <c r="B776" t="s">
        <v>749</v>
      </c>
      <c r="C776">
        <v>52.1</v>
      </c>
      <c r="D776">
        <v>52.3</v>
      </c>
      <c r="E776" s="178">
        <v>0.2</v>
      </c>
      <c r="F776" s="176">
        <v>0.38</v>
      </c>
      <c r="G776" t="s">
        <v>5437</v>
      </c>
      <c r="H776">
        <v>135</v>
      </c>
      <c r="I776">
        <v>150</v>
      </c>
      <c r="J776">
        <v>10</v>
      </c>
      <c r="K776">
        <v>52.3</v>
      </c>
      <c r="L776">
        <v>52</v>
      </c>
      <c r="M776" s="175">
        <v>0.14000000000000001</v>
      </c>
      <c r="N776" t="s">
        <v>3323</v>
      </c>
    </row>
    <row r="777" spans="1:14">
      <c r="A777">
        <v>2454</v>
      </c>
      <c r="B777" t="s">
        <v>246</v>
      </c>
      <c r="C777">
        <v>3885</v>
      </c>
      <c r="D777">
        <v>3925</v>
      </c>
      <c r="E777" s="178">
        <v>-60</v>
      </c>
      <c r="F777" s="176">
        <v>-1.51</v>
      </c>
      <c r="G777" t="s">
        <v>6185</v>
      </c>
      <c r="H777">
        <v>6700</v>
      </c>
      <c r="I777">
        <v>5572</v>
      </c>
      <c r="J777">
        <v>160.5</v>
      </c>
      <c r="K777">
        <v>3945</v>
      </c>
      <c r="L777">
        <v>3820</v>
      </c>
      <c r="M777" s="175">
        <v>0.42</v>
      </c>
      <c r="N777" t="s">
        <v>3376</v>
      </c>
    </row>
    <row r="778" spans="1:14">
      <c r="A778">
        <v>2455</v>
      </c>
      <c r="B778" t="s">
        <v>750</v>
      </c>
      <c r="C778">
        <v>428</v>
      </c>
      <c r="D778">
        <v>477</v>
      </c>
      <c r="E778" s="178">
        <v>43</v>
      </c>
      <c r="F778" s="176">
        <v>9.91</v>
      </c>
      <c r="G778" t="s">
        <v>6186</v>
      </c>
      <c r="H778">
        <v>31633</v>
      </c>
      <c r="I778">
        <v>3548</v>
      </c>
      <c r="J778">
        <v>18.75</v>
      </c>
      <c r="K778">
        <v>477</v>
      </c>
      <c r="L778">
        <v>428</v>
      </c>
      <c r="M778" s="175">
        <v>17.11</v>
      </c>
      <c r="N778" t="s">
        <v>3324</v>
      </c>
    </row>
    <row r="779" spans="1:14">
      <c r="A779">
        <v>2457</v>
      </c>
      <c r="B779" t="s">
        <v>751</v>
      </c>
      <c r="C779">
        <v>23</v>
      </c>
      <c r="D779">
        <v>23.4</v>
      </c>
      <c r="E779" s="178">
        <v>0.5</v>
      </c>
      <c r="F779" s="176">
        <v>2.1800000000000002</v>
      </c>
      <c r="G779" t="s">
        <v>6187</v>
      </c>
      <c r="H779">
        <v>1257</v>
      </c>
      <c r="I779">
        <v>967</v>
      </c>
      <c r="J779">
        <v>42.48</v>
      </c>
      <c r="K779">
        <v>23.4</v>
      </c>
      <c r="L779">
        <v>22.75</v>
      </c>
      <c r="M779" s="175">
        <v>0.3</v>
      </c>
      <c r="N779" t="s">
        <v>4362</v>
      </c>
    </row>
    <row r="780" spans="1:14">
      <c r="A780">
        <v>2458</v>
      </c>
      <c r="B780" t="s">
        <v>1635</v>
      </c>
      <c r="C780">
        <v>138.5</v>
      </c>
      <c r="D780">
        <v>135.5</v>
      </c>
      <c r="E780" s="178">
        <v>-3</v>
      </c>
      <c r="F780" s="176">
        <v>-2.17</v>
      </c>
      <c r="G780" t="s">
        <v>5366</v>
      </c>
      <c r="H780">
        <v>1543</v>
      </c>
      <c r="I780">
        <v>1242</v>
      </c>
      <c r="J780">
        <v>30.39</v>
      </c>
      <c r="K780">
        <v>138.5</v>
      </c>
      <c r="L780">
        <v>135</v>
      </c>
      <c r="M780" s="175">
        <v>0.51</v>
      </c>
      <c r="N780" t="s">
        <v>2099</v>
      </c>
    </row>
    <row r="781" spans="1:14">
      <c r="A781">
        <v>2459</v>
      </c>
      <c r="B781" t="s">
        <v>752</v>
      </c>
      <c r="C781">
        <v>67.3</v>
      </c>
      <c r="D781">
        <v>66.900000000000006</v>
      </c>
      <c r="E781" s="178">
        <v>-0.2</v>
      </c>
      <c r="F781" s="176">
        <v>-0.3</v>
      </c>
      <c r="G781" t="s">
        <v>5491</v>
      </c>
      <c r="H781">
        <v>29</v>
      </c>
      <c r="I781">
        <v>88</v>
      </c>
      <c r="J781">
        <v>10.56</v>
      </c>
      <c r="K781">
        <v>67.3</v>
      </c>
      <c r="L781">
        <v>66.599999999999994</v>
      </c>
      <c r="M781" s="175">
        <v>0.03</v>
      </c>
      <c r="N781" t="s">
        <v>2156</v>
      </c>
    </row>
    <row r="782" spans="1:14">
      <c r="A782">
        <v>2460</v>
      </c>
      <c r="B782" t="s">
        <v>753</v>
      </c>
      <c r="C782">
        <v>28.85</v>
      </c>
      <c r="D782">
        <v>28.35</v>
      </c>
      <c r="E782" s="178">
        <v>-0.5</v>
      </c>
      <c r="F782" s="176">
        <v>-1.73</v>
      </c>
      <c r="G782" t="s">
        <v>6188</v>
      </c>
      <c r="H782">
        <v>404</v>
      </c>
      <c r="I782">
        <v>233</v>
      </c>
      <c r="J782">
        <v>16.920000000000002</v>
      </c>
      <c r="K782">
        <v>28.85</v>
      </c>
      <c r="L782">
        <v>28</v>
      </c>
      <c r="M782" s="175">
        <v>0.24</v>
      </c>
      <c r="N782" t="s">
        <v>1636</v>
      </c>
    </row>
    <row r="783" spans="1:14">
      <c r="A783">
        <v>2461</v>
      </c>
      <c r="B783" t="s">
        <v>754</v>
      </c>
      <c r="C783">
        <v>18.95</v>
      </c>
      <c r="D783">
        <v>18.600000000000001</v>
      </c>
      <c r="E783" s="178">
        <v>-0.25</v>
      </c>
      <c r="F783" s="176">
        <v>-1.33</v>
      </c>
      <c r="G783" t="s">
        <v>5891</v>
      </c>
      <c r="H783">
        <v>595</v>
      </c>
      <c r="I783">
        <v>1018</v>
      </c>
      <c r="J783">
        <v>19.03</v>
      </c>
      <c r="K783">
        <v>18.95</v>
      </c>
      <c r="L783">
        <v>18.399999999999999</v>
      </c>
      <c r="M783" s="175">
        <v>0.31</v>
      </c>
      <c r="N783" t="s">
        <v>3961</v>
      </c>
    </row>
    <row r="784" spans="1:14">
      <c r="A784">
        <v>2462</v>
      </c>
      <c r="B784" t="s">
        <v>755</v>
      </c>
      <c r="C784">
        <v>20.149999999999999</v>
      </c>
      <c r="D784">
        <v>20.55</v>
      </c>
      <c r="E784" s="178">
        <v>0.4</v>
      </c>
      <c r="F784" s="176">
        <v>1.99</v>
      </c>
      <c r="G784" t="s">
        <v>6189</v>
      </c>
      <c r="H784">
        <v>346</v>
      </c>
      <c r="I784">
        <v>224</v>
      </c>
      <c r="J784">
        <v>15.08</v>
      </c>
      <c r="K784">
        <v>20.65</v>
      </c>
      <c r="L784">
        <v>19.8</v>
      </c>
      <c r="M784" s="175">
        <v>0.23</v>
      </c>
      <c r="N784" t="s">
        <v>4400</v>
      </c>
    </row>
    <row r="785" spans="1:14">
      <c r="A785">
        <v>2464</v>
      </c>
      <c r="B785" t="s">
        <v>756</v>
      </c>
      <c r="C785">
        <v>185</v>
      </c>
      <c r="D785">
        <v>180</v>
      </c>
      <c r="E785" s="178">
        <v>-10</v>
      </c>
      <c r="F785" s="176">
        <v>-5.26</v>
      </c>
      <c r="G785" t="s">
        <v>6190</v>
      </c>
      <c r="H785">
        <v>15356</v>
      </c>
      <c r="I785">
        <v>15121</v>
      </c>
      <c r="J785">
        <v>21.89</v>
      </c>
      <c r="K785">
        <v>187</v>
      </c>
      <c r="L785">
        <v>175</v>
      </c>
      <c r="M785" s="175">
        <v>7.09</v>
      </c>
      <c r="N785" t="s">
        <v>3210</v>
      </c>
    </row>
    <row r="786" spans="1:14">
      <c r="A786">
        <v>2465</v>
      </c>
      <c r="B786" t="s">
        <v>757</v>
      </c>
      <c r="C786">
        <v>93.6</v>
      </c>
      <c r="D786">
        <v>94</v>
      </c>
      <c r="E786" s="178">
        <v>-1</v>
      </c>
      <c r="F786" s="176">
        <v>-1.05</v>
      </c>
      <c r="G786" t="s">
        <v>6191</v>
      </c>
      <c r="H786">
        <v>2360</v>
      </c>
      <c r="I786">
        <v>4069</v>
      </c>
      <c r="J786">
        <v>9.39</v>
      </c>
      <c r="K786">
        <v>96.8</v>
      </c>
      <c r="L786">
        <v>93.1</v>
      </c>
      <c r="M786" s="175">
        <v>2.5099999999999998</v>
      </c>
      <c r="N786" t="s">
        <v>3562</v>
      </c>
    </row>
    <row r="787" spans="1:14">
      <c r="A787">
        <v>2466</v>
      </c>
      <c r="B787" t="s">
        <v>758</v>
      </c>
      <c r="C787">
        <v>105.5</v>
      </c>
      <c r="D787">
        <v>99</v>
      </c>
      <c r="E787" s="178">
        <v>-5.5</v>
      </c>
      <c r="F787" s="176">
        <v>-5.26</v>
      </c>
      <c r="G787" t="s">
        <v>5266</v>
      </c>
      <c r="H787">
        <v>1404</v>
      </c>
      <c r="I787">
        <v>2240</v>
      </c>
      <c r="J787">
        <v>17.350000000000001</v>
      </c>
      <c r="K787">
        <v>106</v>
      </c>
      <c r="L787">
        <v>99</v>
      </c>
      <c r="M787" s="175">
        <v>0.82</v>
      </c>
      <c r="N787" t="s">
        <v>4582</v>
      </c>
    </row>
    <row r="788" spans="1:14">
      <c r="A788">
        <v>2467</v>
      </c>
      <c r="B788" t="s">
        <v>759</v>
      </c>
      <c r="C788">
        <v>595</v>
      </c>
      <c r="D788">
        <v>613</v>
      </c>
      <c r="E788" s="178">
        <v>3</v>
      </c>
      <c r="F788" s="176">
        <v>0.49</v>
      </c>
      <c r="G788" t="s">
        <v>6192</v>
      </c>
      <c r="H788">
        <v>1296</v>
      </c>
      <c r="I788">
        <v>1342</v>
      </c>
      <c r="J788">
        <v>16.29</v>
      </c>
      <c r="K788">
        <v>616</v>
      </c>
      <c r="L788">
        <v>570</v>
      </c>
      <c r="M788" s="175">
        <v>0.83</v>
      </c>
      <c r="N788" t="s">
        <v>4914</v>
      </c>
    </row>
    <row r="789" spans="1:14">
      <c r="A789">
        <v>2468</v>
      </c>
      <c r="B789" t="s">
        <v>760</v>
      </c>
      <c r="C789">
        <v>33.6</v>
      </c>
      <c r="D789">
        <v>33.6</v>
      </c>
      <c r="E789" s="178">
        <v>-0.3</v>
      </c>
      <c r="F789" s="176">
        <v>-0.88</v>
      </c>
      <c r="G789" t="s">
        <v>5378</v>
      </c>
      <c r="H789">
        <v>140</v>
      </c>
      <c r="I789">
        <v>171</v>
      </c>
      <c r="J789">
        <v>7</v>
      </c>
      <c r="K789">
        <v>33.85</v>
      </c>
      <c r="L789">
        <v>33.4</v>
      </c>
      <c r="M789" s="175">
        <v>0.2</v>
      </c>
      <c r="N789" t="s">
        <v>1637</v>
      </c>
    </row>
    <row r="790" spans="1:14">
      <c r="A790">
        <v>2471</v>
      </c>
      <c r="B790" t="s">
        <v>761</v>
      </c>
      <c r="C790">
        <v>49.8</v>
      </c>
      <c r="D790">
        <v>50.5</v>
      </c>
      <c r="E790" s="178">
        <v>0.65</v>
      </c>
      <c r="F790" s="176">
        <v>1.3</v>
      </c>
      <c r="G790" t="s">
        <v>5942</v>
      </c>
      <c r="H790">
        <v>164</v>
      </c>
      <c r="I790">
        <v>76</v>
      </c>
      <c r="J790">
        <v>4.7300000000000004</v>
      </c>
      <c r="K790">
        <v>50.5</v>
      </c>
      <c r="L790">
        <v>49.8</v>
      </c>
      <c r="M790" s="175">
        <v>0.35</v>
      </c>
      <c r="N790" t="s">
        <v>1638</v>
      </c>
    </row>
    <row r="791" spans="1:14">
      <c r="A791">
        <v>2472</v>
      </c>
      <c r="B791" t="s">
        <v>762</v>
      </c>
      <c r="C791">
        <v>229.5</v>
      </c>
      <c r="D791">
        <v>224</v>
      </c>
      <c r="E791" s="178">
        <v>-8.5</v>
      </c>
      <c r="F791" s="176">
        <v>-3.66</v>
      </c>
      <c r="G791" t="s">
        <v>6193</v>
      </c>
      <c r="H791">
        <v>3115</v>
      </c>
      <c r="I791">
        <v>2629</v>
      </c>
      <c r="J791">
        <v>16.47</v>
      </c>
      <c r="K791">
        <v>236.5</v>
      </c>
      <c r="L791">
        <v>215</v>
      </c>
      <c r="M791" s="175">
        <v>1.89</v>
      </c>
      <c r="N791" t="s">
        <v>3516</v>
      </c>
    </row>
    <row r="792" spans="1:14">
      <c r="A792">
        <v>2474</v>
      </c>
      <c r="B792" t="s">
        <v>763</v>
      </c>
      <c r="C792">
        <v>206</v>
      </c>
      <c r="D792">
        <v>208.5</v>
      </c>
      <c r="E792" s="178">
        <v>2</v>
      </c>
      <c r="F792" s="176">
        <v>0.97</v>
      </c>
      <c r="G792" t="s">
        <v>6194</v>
      </c>
      <c r="H792">
        <v>3713</v>
      </c>
      <c r="I792">
        <v>2488</v>
      </c>
      <c r="J792">
        <v>53.88</v>
      </c>
      <c r="K792">
        <v>208.5</v>
      </c>
      <c r="L792">
        <v>205.5</v>
      </c>
      <c r="M792" s="175">
        <v>0.69</v>
      </c>
      <c r="N792" t="s">
        <v>3703</v>
      </c>
    </row>
    <row r="793" spans="1:14">
      <c r="A793">
        <v>2476</v>
      </c>
      <c r="B793" t="s">
        <v>764</v>
      </c>
      <c r="C793">
        <v>124.5</v>
      </c>
      <c r="D793">
        <v>125.5</v>
      </c>
      <c r="E793" s="178">
        <v>0</v>
      </c>
      <c r="F793" s="176">
        <v>0</v>
      </c>
      <c r="G793" t="s">
        <v>5586</v>
      </c>
      <c r="H793">
        <v>1322</v>
      </c>
      <c r="I793">
        <v>2226</v>
      </c>
      <c r="J793">
        <v>22.01</v>
      </c>
      <c r="K793">
        <v>126</v>
      </c>
      <c r="L793">
        <v>122.5</v>
      </c>
      <c r="M793" s="175">
        <v>0.61</v>
      </c>
      <c r="N793" t="s">
        <v>4401</v>
      </c>
    </row>
    <row r="794" spans="1:14">
      <c r="A794">
        <v>2477</v>
      </c>
      <c r="B794" t="s">
        <v>2229</v>
      </c>
      <c r="C794">
        <v>20.7</v>
      </c>
      <c r="D794">
        <v>21.9</v>
      </c>
      <c r="E794" s="178">
        <v>1.2</v>
      </c>
      <c r="F794" s="176">
        <v>5.8</v>
      </c>
      <c r="G794" t="s">
        <v>6195</v>
      </c>
      <c r="H794">
        <v>1227</v>
      </c>
      <c r="I794">
        <v>68</v>
      </c>
      <c r="J794">
        <v>15.86</v>
      </c>
      <c r="K794">
        <v>22.75</v>
      </c>
      <c r="L794">
        <v>20.2</v>
      </c>
      <c r="M794" s="175">
        <v>0.77</v>
      </c>
      <c r="N794" t="s">
        <v>2230</v>
      </c>
    </row>
    <row r="795" spans="1:14">
      <c r="A795">
        <v>2478</v>
      </c>
      <c r="B795" t="s">
        <v>765</v>
      </c>
      <c r="C795">
        <v>126.5</v>
      </c>
      <c r="D795">
        <v>123.5</v>
      </c>
      <c r="E795" s="178">
        <v>-6</v>
      </c>
      <c r="F795" s="176">
        <v>-4.63</v>
      </c>
      <c r="G795" t="s">
        <v>6196</v>
      </c>
      <c r="H795">
        <v>4224</v>
      </c>
      <c r="I795">
        <v>5524</v>
      </c>
      <c r="J795">
        <v>14.47</v>
      </c>
      <c r="K795">
        <v>133.5</v>
      </c>
      <c r="L795">
        <v>120</v>
      </c>
      <c r="M795" s="175">
        <v>2.92</v>
      </c>
      <c r="N795" t="s">
        <v>1639</v>
      </c>
    </row>
    <row r="796" spans="1:14">
      <c r="A796">
        <v>2480</v>
      </c>
      <c r="B796" t="s">
        <v>766</v>
      </c>
      <c r="C796">
        <v>156.5</v>
      </c>
      <c r="D796">
        <v>157</v>
      </c>
      <c r="E796" s="178">
        <v>0</v>
      </c>
      <c r="F796" s="176">
        <v>0</v>
      </c>
      <c r="G796" t="s">
        <v>6197</v>
      </c>
      <c r="H796">
        <v>107</v>
      </c>
      <c r="I796">
        <v>137</v>
      </c>
      <c r="J796">
        <v>10.64</v>
      </c>
      <c r="K796">
        <v>157</v>
      </c>
      <c r="L796">
        <v>155</v>
      </c>
      <c r="M796" s="175">
        <v>0.1</v>
      </c>
      <c r="N796" t="s">
        <v>4902</v>
      </c>
    </row>
    <row r="797" spans="1:14">
      <c r="A797">
        <v>2481</v>
      </c>
      <c r="B797" t="s">
        <v>767</v>
      </c>
      <c r="C797">
        <v>150.5</v>
      </c>
      <c r="D797">
        <v>151</v>
      </c>
      <c r="E797" s="178">
        <v>-3</v>
      </c>
      <c r="F797" s="176">
        <v>-1.95</v>
      </c>
      <c r="G797" t="s">
        <v>6198</v>
      </c>
      <c r="H797">
        <v>21837</v>
      </c>
      <c r="I797">
        <v>27334</v>
      </c>
      <c r="J797">
        <v>38.21</v>
      </c>
      <c r="K797">
        <v>155.5</v>
      </c>
      <c r="L797">
        <v>146.5</v>
      </c>
      <c r="M797" s="175">
        <v>5.71</v>
      </c>
      <c r="N797" t="s">
        <v>3950</v>
      </c>
    </row>
    <row r="798" spans="1:14">
      <c r="A798">
        <v>2482</v>
      </c>
      <c r="B798" t="s">
        <v>768</v>
      </c>
      <c r="C798">
        <v>15.85</v>
      </c>
      <c r="D798">
        <v>16</v>
      </c>
      <c r="E798" s="178">
        <v>0</v>
      </c>
      <c r="F798" s="176">
        <v>0</v>
      </c>
      <c r="G798" t="s">
        <v>6199</v>
      </c>
      <c r="H798">
        <v>63</v>
      </c>
      <c r="I798">
        <v>101</v>
      </c>
      <c r="J798">
        <v>7.79</v>
      </c>
      <c r="K798">
        <v>16.149999999999999</v>
      </c>
      <c r="L798">
        <v>15.8</v>
      </c>
      <c r="M798" s="175">
        <v>0.08</v>
      </c>
      <c r="N798" t="s">
        <v>1640</v>
      </c>
    </row>
    <row r="799" spans="1:14">
      <c r="A799">
        <v>2483</v>
      </c>
      <c r="B799" t="s">
        <v>769</v>
      </c>
      <c r="C799">
        <v>36</v>
      </c>
      <c r="D799">
        <v>35.200000000000003</v>
      </c>
      <c r="E799" s="178">
        <v>-1.4</v>
      </c>
      <c r="F799" s="176">
        <v>-3.83</v>
      </c>
      <c r="G799" t="s">
        <v>6200</v>
      </c>
      <c r="H799">
        <v>1225</v>
      </c>
      <c r="I799">
        <v>1010</v>
      </c>
      <c r="J799">
        <v>10.79</v>
      </c>
      <c r="K799">
        <v>36.65</v>
      </c>
      <c r="L799">
        <v>34.75</v>
      </c>
      <c r="M799" s="175">
        <v>1.1399999999999999</v>
      </c>
      <c r="N799" t="s">
        <v>3064</v>
      </c>
    </row>
    <row r="800" spans="1:14">
      <c r="A800">
        <v>2484</v>
      </c>
      <c r="B800" t="s">
        <v>770</v>
      </c>
      <c r="C800">
        <v>75.5</v>
      </c>
      <c r="D800">
        <v>74</v>
      </c>
      <c r="E800" s="178">
        <v>-2.1</v>
      </c>
      <c r="F800" s="176">
        <v>-2.76</v>
      </c>
      <c r="G800" t="s">
        <v>6201</v>
      </c>
      <c r="H800">
        <v>6526</v>
      </c>
      <c r="I800">
        <v>20165</v>
      </c>
      <c r="J800">
        <v>15.94</v>
      </c>
      <c r="K800">
        <v>76.2</v>
      </c>
      <c r="L800">
        <v>73.599999999999994</v>
      </c>
      <c r="M800" s="175">
        <v>4.09</v>
      </c>
      <c r="N800" t="s">
        <v>1641</v>
      </c>
    </row>
    <row r="801" spans="1:14">
      <c r="A801">
        <v>2485</v>
      </c>
      <c r="B801" t="s">
        <v>771</v>
      </c>
      <c r="C801">
        <v>42</v>
      </c>
      <c r="D801">
        <v>42.75</v>
      </c>
      <c r="E801" s="178">
        <v>-0.25</v>
      </c>
      <c r="F801" s="176">
        <v>-0.57999999999999996</v>
      </c>
      <c r="G801" t="s">
        <v>5398</v>
      </c>
      <c r="H801">
        <v>3736</v>
      </c>
      <c r="I801">
        <v>5158</v>
      </c>
      <c r="J801">
        <v>31.77</v>
      </c>
      <c r="K801">
        <v>44.05</v>
      </c>
      <c r="L801">
        <v>42</v>
      </c>
      <c r="M801" s="175">
        <v>1.18</v>
      </c>
      <c r="N801" t="s">
        <v>3325</v>
      </c>
    </row>
    <row r="802" spans="1:14">
      <c r="A802">
        <v>2486</v>
      </c>
      <c r="B802" t="s">
        <v>772</v>
      </c>
      <c r="C802">
        <v>260</v>
      </c>
      <c r="D802">
        <v>263</v>
      </c>
      <c r="E802" s="178">
        <v>2</v>
      </c>
      <c r="F802" s="176">
        <v>0.77</v>
      </c>
      <c r="G802" t="s">
        <v>6202</v>
      </c>
      <c r="H802">
        <v>2340</v>
      </c>
      <c r="I802">
        <v>10475</v>
      </c>
      <c r="J802">
        <v>24.07</v>
      </c>
      <c r="K802">
        <v>263.5</v>
      </c>
      <c r="L802">
        <v>259.5</v>
      </c>
      <c r="M802" s="175">
        <v>1</v>
      </c>
      <c r="N802" t="s">
        <v>4363</v>
      </c>
    </row>
    <row r="803" spans="1:14">
      <c r="A803">
        <v>2488</v>
      </c>
      <c r="B803" t="s">
        <v>773</v>
      </c>
      <c r="C803">
        <v>48.1</v>
      </c>
      <c r="D803">
        <v>48.5</v>
      </c>
      <c r="E803" s="178">
        <v>0</v>
      </c>
      <c r="F803" s="176">
        <v>0</v>
      </c>
      <c r="G803" t="s">
        <v>5717</v>
      </c>
      <c r="H803">
        <v>57</v>
      </c>
      <c r="I803">
        <v>76</v>
      </c>
      <c r="J803">
        <v>8</v>
      </c>
      <c r="K803">
        <v>48.5</v>
      </c>
      <c r="L803">
        <v>48.1</v>
      </c>
      <c r="M803" s="175">
        <v>7.0000000000000007E-2</v>
      </c>
      <c r="N803" t="s">
        <v>1642</v>
      </c>
    </row>
    <row r="804" spans="1:14">
      <c r="A804">
        <v>2489</v>
      </c>
      <c r="B804" t="s">
        <v>4665</v>
      </c>
      <c r="C804">
        <v>40</v>
      </c>
      <c r="D804">
        <v>42.2</v>
      </c>
      <c r="E804" s="178">
        <v>2</v>
      </c>
      <c r="F804" s="176">
        <v>4.9800000000000004</v>
      </c>
      <c r="G804" t="s">
        <v>6203</v>
      </c>
      <c r="H804">
        <v>89397</v>
      </c>
      <c r="I804">
        <v>73613</v>
      </c>
      <c r="J804">
        <v>61</v>
      </c>
      <c r="K804">
        <v>44.2</v>
      </c>
      <c r="L804">
        <v>40</v>
      </c>
      <c r="M804" s="175">
        <v>14.66</v>
      </c>
      <c r="N804" t="s">
        <v>4666</v>
      </c>
    </row>
    <row r="805" spans="1:14">
      <c r="A805">
        <v>2491</v>
      </c>
      <c r="B805" t="s">
        <v>774</v>
      </c>
      <c r="C805">
        <v>50.8</v>
      </c>
      <c r="D805">
        <v>50.8</v>
      </c>
      <c r="E805" s="178">
        <v>-5.6</v>
      </c>
      <c r="F805" s="176">
        <v>-9.93</v>
      </c>
      <c r="G805" t="s">
        <v>6204</v>
      </c>
      <c r="H805">
        <v>623</v>
      </c>
      <c r="I805">
        <v>3852</v>
      </c>
      <c r="J805">
        <v>8.1999999999999993</v>
      </c>
      <c r="K805">
        <v>50.8</v>
      </c>
      <c r="L805">
        <v>50.8</v>
      </c>
      <c r="M805" s="175">
        <v>0.76</v>
      </c>
      <c r="N805" t="s">
        <v>3517</v>
      </c>
    </row>
    <row r="806" spans="1:14">
      <c r="A806">
        <v>2492</v>
      </c>
      <c r="B806" t="s">
        <v>775</v>
      </c>
      <c r="C806">
        <v>308</v>
      </c>
      <c r="D806">
        <v>295</v>
      </c>
      <c r="E806" s="178">
        <v>-18.5</v>
      </c>
      <c r="F806" s="176">
        <v>-5.9</v>
      </c>
      <c r="G806" t="s">
        <v>6205</v>
      </c>
      <c r="H806">
        <v>57049</v>
      </c>
      <c r="I806">
        <v>23951</v>
      </c>
      <c r="J806">
        <v>48.52</v>
      </c>
      <c r="K806">
        <v>316.5</v>
      </c>
      <c r="L806">
        <v>282.5</v>
      </c>
      <c r="M806" s="175">
        <v>11.76</v>
      </c>
      <c r="N806" t="s">
        <v>1643</v>
      </c>
    </row>
    <row r="807" spans="1:14">
      <c r="A807">
        <v>2493</v>
      </c>
      <c r="B807" t="s">
        <v>776</v>
      </c>
      <c r="C807">
        <v>178</v>
      </c>
      <c r="D807">
        <v>179.5</v>
      </c>
      <c r="E807" s="178">
        <v>-2</v>
      </c>
      <c r="F807" s="176">
        <v>-1.1000000000000001</v>
      </c>
      <c r="G807" t="s">
        <v>5803</v>
      </c>
      <c r="H807">
        <v>1732</v>
      </c>
      <c r="I807">
        <v>1804</v>
      </c>
      <c r="J807">
        <v>12.68</v>
      </c>
      <c r="K807">
        <v>183</v>
      </c>
      <c r="L807">
        <v>173.5</v>
      </c>
      <c r="M807" s="175">
        <v>1.37</v>
      </c>
      <c r="N807" t="s">
        <v>3211</v>
      </c>
    </row>
    <row r="808" spans="1:14">
      <c r="A808">
        <v>2495</v>
      </c>
      <c r="B808" t="s">
        <v>777</v>
      </c>
      <c r="C808">
        <v>38</v>
      </c>
      <c r="D808">
        <v>38.35</v>
      </c>
      <c r="E808" s="178">
        <v>-0.05</v>
      </c>
      <c r="F808" s="176">
        <v>-0.13</v>
      </c>
      <c r="G808" t="s">
        <v>6206</v>
      </c>
      <c r="H808">
        <v>801</v>
      </c>
      <c r="I808">
        <v>1219</v>
      </c>
      <c r="J808">
        <v>27.36</v>
      </c>
      <c r="K808">
        <v>38.799999999999997</v>
      </c>
      <c r="L808">
        <v>37.85</v>
      </c>
      <c r="M808" s="175">
        <v>0.28999999999999998</v>
      </c>
      <c r="N808" t="s">
        <v>1644</v>
      </c>
    </row>
    <row r="809" spans="1:14">
      <c r="A809">
        <v>2496</v>
      </c>
      <c r="B809" t="s">
        <v>778</v>
      </c>
      <c r="C809">
        <v>55</v>
      </c>
      <c r="D809">
        <v>54.5</v>
      </c>
      <c r="E809" s="178">
        <v>-0.1</v>
      </c>
      <c r="F809" s="176">
        <v>-0.18</v>
      </c>
      <c r="G809" t="s">
        <v>5626</v>
      </c>
      <c r="H809">
        <v>12</v>
      </c>
      <c r="I809">
        <v>23</v>
      </c>
      <c r="J809">
        <v>2.0099999999999998</v>
      </c>
      <c r="K809">
        <v>55</v>
      </c>
      <c r="L809">
        <v>54.5</v>
      </c>
      <c r="M809" s="175">
        <v>0.06</v>
      </c>
      <c r="N809" t="s">
        <v>1645</v>
      </c>
    </row>
    <row r="810" spans="1:14">
      <c r="A810">
        <v>2497</v>
      </c>
      <c r="B810" t="s">
        <v>779</v>
      </c>
      <c r="C810">
        <v>44.4</v>
      </c>
      <c r="D810">
        <v>45</v>
      </c>
      <c r="E810" s="178">
        <v>-0.65</v>
      </c>
      <c r="F810" s="176">
        <v>-1.42</v>
      </c>
      <c r="G810" t="s">
        <v>6062</v>
      </c>
      <c r="H810">
        <v>138</v>
      </c>
      <c r="I810">
        <v>198</v>
      </c>
      <c r="J810">
        <v>13.09</v>
      </c>
      <c r="K810">
        <v>45.15</v>
      </c>
      <c r="L810">
        <v>44.4</v>
      </c>
      <c r="M810" s="175">
        <v>0.12</v>
      </c>
      <c r="N810" t="s">
        <v>1646</v>
      </c>
    </row>
    <row r="811" spans="1:14">
      <c r="A811">
        <v>2498</v>
      </c>
      <c r="B811" t="s">
        <v>780</v>
      </c>
      <c r="C811">
        <v>40.65</v>
      </c>
      <c r="D811">
        <v>40.200000000000003</v>
      </c>
      <c r="E811" s="178">
        <v>-0.35</v>
      </c>
      <c r="F811" s="176">
        <v>-0.86</v>
      </c>
      <c r="G811" t="s">
        <v>5148</v>
      </c>
      <c r="H811">
        <v>3261</v>
      </c>
      <c r="I811">
        <v>2292</v>
      </c>
      <c r="J811">
        <v>83.61</v>
      </c>
      <c r="K811">
        <v>40.9</v>
      </c>
      <c r="L811">
        <v>40.15</v>
      </c>
      <c r="M811" s="175">
        <v>0.39</v>
      </c>
      <c r="N811" t="s">
        <v>3326</v>
      </c>
    </row>
    <row r="812" spans="1:14">
      <c r="A812">
        <v>2501</v>
      </c>
      <c r="B812" t="s">
        <v>781</v>
      </c>
      <c r="C812">
        <v>22.5</v>
      </c>
      <c r="D812">
        <v>22.35</v>
      </c>
      <c r="E812" s="178">
        <v>-0.15</v>
      </c>
      <c r="F812" s="176">
        <v>-0.67</v>
      </c>
      <c r="G812" t="s">
        <v>6207</v>
      </c>
      <c r="H812">
        <v>1461</v>
      </c>
      <c r="I812">
        <v>1369</v>
      </c>
      <c r="J812">
        <v>115.96</v>
      </c>
      <c r="K812">
        <v>22.6</v>
      </c>
      <c r="L812">
        <v>22.3</v>
      </c>
      <c r="M812" s="175">
        <v>0.13</v>
      </c>
      <c r="N812" t="s">
        <v>3327</v>
      </c>
    </row>
    <row r="813" spans="1:14">
      <c r="A813">
        <v>2504</v>
      </c>
      <c r="B813" t="s">
        <v>782</v>
      </c>
      <c r="C813">
        <v>31.7</v>
      </c>
      <c r="D813">
        <v>31.2</v>
      </c>
      <c r="E813" s="178">
        <v>-0.5</v>
      </c>
      <c r="F813" s="176">
        <v>-1.58</v>
      </c>
      <c r="G813" t="s">
        <v>6208</v>
      </c>
      <c r="H813">
        <v>1771</v>
      </c>
      <c r="I813">
        <v>1778</v>
      </c>
      <c r="J813">
        <v>118</v>
      </c>
      <c r="K813">
        <v>31.75</v>
      </c>
      <c r="L813">
        <v>31.2</v>
      </c>
      <c r="M813" s="175">
        <v>0.15</v>
      </c>
      <c r="N813" t="s">
        <v>3869</v>
      </c>
    </row>
    <row r="814" spans="1:14">
      <c r="A814">
        <v>2505</v>
      </c>
      <c r="B814" t="s">
        <v>1509</v>
      </c>
      <c r="C814">
        <v>17.3</v>
      </c>
      <c r="D814">
        <v>17</v>
      </c>
      <c r="E814" s="178">
        <v>-0.3</v>
      </c>
      <c r="F814" s="176">
        <v>-1.73</v>
      </c>
      <c r="G814" t="s">
        <v>6209</v>
      </c>
      <c r="H814">
        <v>342</v>
      </c>
      <c r="I814">
        <v>194</v>
      </c>
      <c r="J814">
        <v>38</v>
      </c>
      <c r="K814">
        <v>17.3</v>
      </c>
      <c r="L814">
        <v>17</v>
      </c>
      <c r="M814" s="175">
        <v>0.09</v>
      </c>
      <c r="N814" t="s">
        <v>3168</v>
      </c>
    </row>
    <row r="815" spans="1:14">
      <c r="A815">
        <v>2506</v>
      </c>
      <c r="B815" t="s">
        <v>783</v>
      </c>
      <c r="C815">
        <v>8.5500000000000007</v>
      </c>
      <c r="D815">
        <v>8.56</v>
      </c>
      <c r="E815" s="178">
        <v>-0.01</v>
      </c>
      <c r="F815" s="176">
        <v>-0.12</v>
      </c>
      <c r="G815" t="s">
        <v>5190</v>
      </c>
      <c r="H815">
        <v>183</v>
      </c>
      <c r="I815">
        <v>111</v>
      </c>
      <c r="J815">
        <v>38.700000000000003</v>
      </c>
      <c r="K815">
        <v>8.57</v>
      </c>
      <c r="L815">
        <v>8.48</v>
      </c>
      <c r="M815" s="175">
        <v>0.05</v>
      </c>
      <c r="N815" t="s">
        <v>3518</v>
      </c>
    </row>
    <row r="816" spans="1:14">
      <c r="A816">
        <v>2509</v>
      </c>
      <c r="B816" t="s">
        <v>784</v>
      </c>
      <c r="C816">
        <v>15.45</v>
      </c>
      <c r="D816">
        <v>15.4</v>
      </c>
      <c r="E816" s="178">
        <v>0</v>
      </c>
      <c r="F816" s="176">
        <v>0</v>
      </c>
      <c r="G816" t="s">
        <v>5368</v>
      </c>
      <c r="H816">
        <v>130</v>
      </c>
      <c r="I816">
        <v>178</v>
      </c>
      <c r="J816">
        <v>22.46</v>
      </c>
      <c r="K816">
        <v>15.45</v>
      </c>
      <c r="L816">
        <v>15.2</v>
      </c>
      <c r="M816" s="175">
        <v>0.06</v>
      </c>
      <c r="N816" t="s">
        <v>1647</v>
      </c>
    </row>
    <row r="817" spans="1:14">
      <c r="A817">
        <v>2511</v>
      </c>
      <c r="B817" t="s">
        <v>785</v>
      </c>
      <c r="C817">
        <v>8.32</v>
      </c>
      <c r="D817">
        <v>8.3000000000000007</v>
      </c>
      <c r="E817" s="178">
        <v>-0.02</v>
      </c>
      <c r="F817" s="176">
        <v>-0.24</v>
      </c>
      <c r="G817" t="s">
        <v>6210</v>
      </c>
      <c r="H817">
        <v>934</v>
      </c>
      <c r="I817">
        <v>582</v>
      </c>
      <c r="J817">
        <v>162.33000000000001</v>
      </c>
      <c r="K817">
        <v>8.32</v>
      </c>
      <c r="L817">
        <v>8.24</v>
      </c>
      <c r="M817" s="175">
        <v>0.06</v>
      </c>
      <c r="N817" t="s">
        <v>1648</v>
      </c>
    </row>
    <row r="818" spans="1:14">
      <c r="A818">
        <v>2514</v>
      </c>
      <c r="B818" t="s">
        <v>786</v>
      </c>
      <c r="C818">
        <v>11.8</v>
      </c>
      <c r="D818">
        <v>11.7</v>
      </c>
      <c r="E818" s="178">
        <v>-0.25</v>
      </c>
      <c r="F818" s="176">
        <v>-2.09</v>
      </c>
      <c r="G818" t="s">
        <v>6211</v>
      </c>
      <c r="H818">
        <v>71</v>
      </c>
      <c r="I818">
        <v>186</v>
      </c>
      <c r="J818">
        <v>39.47</v>
      </c>
      <c r="K818">
        <v>11.85</v>
      </c>
      <c r="L818">
        <v>11.7</v>
      </c>
      <c r="M818" s="175">
        <v>0.02</v>
      </c>
      <c r="N818" t="s">
        <v>3910</v>
      </c>
    </row>
    <row r="819" spans="1:14">
      <c r="A819">
        <v>2515</v>
      </c>
      <c r="B819" t="s">
        <v>787</v>
      </c>
      <c r="C819">
        <v>11.95</v>
      </c>
      <c r="D819">
        <v>12.05</v>
      </c>
      <c r="E819" s="178">
        <v>0.1</v>
      </c>
      <c r="F819" s="176">
        <v>0.84</v>
      </c>
      <c r="G819" t="s">
        <v>6212</v>
      </c>
      <c r="H819">
        <v>5894</v>
      </c>
      <c r="I819">
        <v>5027</v>
      </c>
      <c r="J819">
        <v>168.85</v>
      </c>
      <c r="K819">
        <v>12.05</v>
      </c>
      <c r="L819">
        <v>11.95</v>
      </c>
      <c r="M819" s="175">
        <v>0.35</v>
      </c>
      <c r="N819" t="s">
        <v>4184</v>
      </c>
    </row>
    <row r="820" spans="1:14">
      <c r="A820">
        <v>2516</v>
      </c>
      <c r="B820" t="s">
        <v>788</v>
      </c>
      <c r="C820">
        <v>14.15</v>
      </c>
      <c r="D820">
        <v>14</v>
      </c>
      <c r="E820" s="178">
        <v>-0.15</v>
      </c>
      <c r="F820" s="176">
        <v>-1.06</v>
      </c>
      <c r="G820" t="s">
        <v>6213</v>
      </c>
      <c r="H820">
        <v>55</v>
      </c>
      <c r="I820">
        <v>70</v>
      </c>
      <c r="J820">
        <v>22.63</v>
      </c>
      <c r="K820">
        <v>14.2</v>
      </c>
      <c r="L820">
        <v>14</v>
      </c>
      <c r="M820" s="175">
        <v>0.02</v>
      </c>
      <c r="N820" t="s">
        <v>1649</v>
      </c>
    </row>
    <row r="821" spans="1:14">
      <c r="A821">
        <v>2520</v>
      </c>
      <c r="B821" t="s">
        <v>789</v>
      </c>
      <c r="C821">
        <v>35.299999999999997</v>
      </c>
      <c r="D821">
        <v>36.450000000000003</v>
      </c>
      <c r="E821" s="178">
        <v>1.1499999999999999</v>
      </c>
      <c r="F821" s="176">
        <v>3.26</v>
      </c>
      <c r="G821" t="s">
        <v>6214</v>
      </c>
      <c r="H821">
        <v>2095</v>
      </c>
      <c r="I821">
        <v>1240</v>
      </c>
      <c r="J821">
        <v>60.95</v>
      </c>
      <c r="K821">
        <v>36.450000000000003</v>
      </c>
      <c r="L821">
        <v>34.950000000000003</v>
      </c>
      <c r="M821" s="175">
        <v>0.34</v>
      </c>
      <c r="N821" t="s">
        <v>3519</v>
      </c>
    </row>
    <row r="822" spans="1:14">
      <c r="A822">
        <v>2524</v>
      </c>
      <c r="B822" t="s">
        <v>790</v>
      </c>
      <c r="C822">
        <v>35.15</v>
      </c>
      <c r="D822">
        <v>34.75</v>
      </c>
      <c r="E822" s="178">
        <v>-0.45</v>
      </c>
      <c r="F822" s="176">
        <v>-1.28</v>
      </c>
      <c r="G822" t="s">
        <v>5976</v>
      </c>
      <c r="H822">
        <v>57</v>
      </c>
      <c r="I822">
        <v>52</v>
      </c>
      <c r="J822">
        <v>36.619999999999997</v>
      </c>
      <c r="K822">
        <v>35.15</v>
      </c>
      <c r="L822">
        <v>34.4</v>
      </c>
      <c r="M822" s="175">
        <v>0.02</v>
      </c>
      <c r="N822" t="s">
        <v>1650</v>
      </c>
    </row>
    <row r="823" spans="1:14">
      <c r="A823">
        <v>2527</v>
      </c>
      <c r="B823" t="s">
        <v>791</v>
      </c>
      <c r="C823">
        <v>43.75</v>
      </c>
      <c r="D823">
        <v>42.8</v>
      </c>
      <c r="E823" s="178">
        <v>-1.1000000000000001</v>
      </c>
      <c r="F823" s="176">
        <v>-2.5099999999999998</v>
      </c>
      <c r="G823" t="s">
        <v>6215</v>
      </c>
      <c r="H823">
        <v>452</v>
      </c>
      <c r="I823">
        <v>612</v>
      </c>
      <c r="J823">
        <v>27.03</v>
      </c>
      <c r="K823">
        <v>43.75</v>
      </c>
      <c r="L823">
        <v>42.45</v>
      </c>
      <c r="M823" s="175">
        <v>0.17</v>
      </c>
      <c r="N823" t="s">
        <v>4985</v>
      </c>
    </row>
    <row r="824" spans="1:14">
      <c r="A824">
        <v>2528</v>
      </c>
      <c r="B824" t="s">
        <v>792</v>
      </c>
      <c r="C824">
        <v>20.5</v>
      </c>
      <c r="D824">
        <v>20</v>
      </c>
      <c r="E824" s="178">
        <v>-0.4</v>
      </c>
      <c r="F824" s="176">
        <v>-1.96</v>
      </c>
      <c r="G824" t="s">
        <v>6216</v>
      </c>
      <c r="H824">
        <v>302</v>
      </c>
      <c r="I824">
        <v>235</v>
      </c>
      <c r="J824">
        <v>50.11</v>
      </c>
      <c r="K824">
        <v>20.5</v>
      </c>
      <c r="L824">
        <v>19.899999999999999</v>
      </c>
      <c r="M824" s="175">
        <v>0.06</v>
      </c>
      <c r="N824" t="s">
        <v>1651</v>
      </c>
    </row>
    <row r="825" spans="1:14">
      <c r="A825">
        <v>2530</v>
      </c>
      <c r="B825" t="s">
        <v>793</v>
      </c>
      <c r="C825">
        <v>19.2</v>
      </c>
      <c r="D825">
        <v>18.8</v>
      </c>
      <c r="E825" s="178">
        <v>-0.45</v>
      </c>
      <c r="F825" s="176">
        <v>-2.34</v>
      </c>
      <c r="G825" t="s">
        <v>5586</v>
      </c>
      <c r="H825">
        <v>8727</v>
      </c>
      <c r="I825">
        <v>623</v>
      </c>
      <c r="J825">
        <v>84.13</v>
      </c>
      <c r="K825">
        <v>19.25</v>
      </c>
      <c r="L825">
        <v>18.75</v>
      </c>
      <c r="M825" s="175">
        <v>1.04</v>
      </c>
      <c r="N825" t="s">
        <v>1647</v>
      </c>
    </row>
    <row r="826" spans="1:14">
      <c r="A826">
        <v>2534</v>
      </c>
      <c r="B826" t="s">
        <v>794</v>
      </c>
      <c r="C826">
        <v>17.55</v>
      </c>
      <c r="D826">
        <v>17.399999999999999</v>
      </c>
      <c r="E826" s="178">
        <v>-0.1</v>
      </c>
      <c r="F826" s="176">
        <v>-0.56999999999999995</v>
      </c>
      <c r="G826" t="s">
        <v>5773</v>
      </c>
      <c r="H826">
        <v>307</v>
      </c>
      <c r="I826">
        <v>364</v>
      </c>
      <c r="J826">
        <v>47.42</v>
      </c>
      <c r="K826">
        <v>17.600000000000001</v>
      </c>
      <c r="L826">
        <v>17.2</v>
      </c>
      <c r="M826" s="175">
        <v>0.06</v>
      </c>
      <c r="N826" t="s">
        <v>1652</v>
      </c>
    </row>
    <row r="827" spans="1:14">
      <c r="A827">
        <v>2535</v>
      </c>
      <c r="B827" t="s">
        <v>795</v>
      </c>
      <c r="C827">
        <v>90.9</v>
      </c>
      <c r="D827">
        <v>90.3</v>
      </c>
      <c r="E827" s="178">
        <v>-0.7</v>
      </c>
      <c r="F827" s="176">
        <v>-0.77</v>
      </c>
      <c r="G827" t="s">
        <v>5591</v>
      </c>
      <c r="H827">
        <v>230</v>
      </c>
      <c r="I827">
        <v>197</v>
      </c>
      <c r="J827">
        <v>27.08</v>
      </c>
      <c r="K827">
        <v>90.9</v>
      </c>
      <c r="L827">
        <v>88.6</v>
      </c>
      <c r="M827" s="175">
        <v>0.08</v>
      </c>
      <c r="N827" t="s">
        <v>1653</v>
      </c>
    </row>
    <row r="828" spans="1:14">
      <c r="A828">
        <v>2536</v>
      </c>
      <c r="B828" t="s">
        <v>796</v>
      </c>
      <c r="C828">
        <v>20.7</v>
      </c>
      <c r="D828">
        <v>20.8</v>
      </c>
      <c r="E828" s="178">
        <v>0</v>
      </c>
      <c r="F828" s="176">
        <v>0</v>
      </c>
      <c r="G828" t="s">
        <v>6217</v>
      </c>
      <c r="H828">
        <v>1991</v>
      </c>
      <c r="I828">
        <v>1523</v>
      </c>
      <c r="J828">
        <v>33.28</v>
      </c>
      <c r="K828">
        <v>20.85</v>
      </c>
      <c r="L828">
        <v>20.399999999999999</v>
      </c>
      <c r="M828" s="175">
        <v>0.6</v>
      </c>
      <c r="N828" t="s">
        <v>1654</v>
      </c>
    </row>
    <row r="829" spans="1:14">
      <c r="A829">
        <v>2537</v>
      </c>
      <c r="B829" t="s">
        <v>797</v>
      </c>
      <c r="C829">
        <v>11.45</v>
      </c>
      <c r="D829">
        <v>11.5</v>
      </c>
      <c r="E829" s="178">
        <v>0.05</v>
      </c>
      <c r="F829" s="176">
        <v>0.44</v>
      </c>
      <c r="G829" t="s">
        <v>5658</v>
      </c>
      <c r="H829">
        <v>618</v>
      </c>
      <c r="I829">
        <v>650</v>
      </c>
      <c r="J829">
        <v>30.06</v>
      </c>
      <c r="K829">
        <v>11.6</v>
      </c>
      <c r="L829">
        <v>11.4</v>
      </c>
      <c r="M829" s="175">
        <v>0.21</v>
      </c>
      <c r="N829" t="s">
        <v>4986</v>
      </c>
    </row>
    <row r="830" spans="1:14">
      <c r="A830">
        <v>2538</v>
      </c>
      <c r="B830" t="s">
        <v>798</v>
      </c>
      <c r="C830">
        <v>8.8800000000000008</v>
      </c>
      <c r="D830">
        <v>8.84</v>
      </c>
      <c r="E830" s="178">
        <v>-0.06</v>
      </c>
      <c r="F830" s="176">
        <v>-0.67</v>
      </c>
      <c r="G830" t="s">
        <v>6218</v>
      </c>
      <c r="H830">
        <v>714</v>
      </c>
      <c r="I830">
        <v>535</v>
      </c>
      <c r="J830">
        <v>44.5</v>
      </c>
      <c r="K830">
        <v>8.91</v>
      </c>
      <c r="L830">
        <v>8.81</v>
      </c>
      <c r="M830" s="175">
        <v>0.16</v>
      </c>
      <c r="N830" t="s">
        <v>1654</v>
      </c>
    </row>
    <row r="831" spans="1:14">
      <c r="A831">
        <v>2539</v>
      </c>
      <c r="B831" t="s">
        <v>799</v>
      </c>
      <c r="C831">
        <v>34.4</v>
      </c>
      <c r="D831">
        <v>36.15</v>
      </c>
      <c r="E831" s="178">
        <v>1.8</v>
      </c>
      <c r="F831" s="176">
        <v>5.24</v>
      </c>
      <c r="G831" t="s">
        <v>5524</v>
      </c>
      <c r="H831">
        <v>1651</v>
      </c>
      <c r="I831">
        <v>1111</v>
      </c>
      <c r="J831">
        <v>145.56</v>
      </c>
      <c r="K831">
        <v>36.15</v>
      </c>
      <c r="L831">
        <v>34.1</v>
      </c>
      <c r="M831" s="175">
        <v>0.11</v>
      </c>
      <c r="N831" t="s">
        <v>1655</v>
      </c>
    </row>
    <row r="832" spans="1:14">
      <c r="A832">
        <v>2540</v>
      </c>
      <c r="B832" t="s">
        <v>800</v>
      </c>
      <c r="C832">
        <v>48.2</v>
      </c>
      <c r="D832">
        <v>49.9</v>
      </c>
      <c r="E832" s="178">
        <v>1.7</v>
      </c>
      <c r="F832" s="176">
        <v>3.53</v>
      </c>
      <c r="G832" t="s">
        <v>6219</v>
      </c>
      <c r="H832">
        <v>1626</v>
      </c>
      <c r="I832">
        <v>784</v>
      </c>
      <c r="J832">
        <v>94.49</v>
      </c>
      <c r="K832">
        <v>49.9</v>
      </c>
      <c r="L832">
        <v>47.2</v>
      </c>
      <c r="M832" s="175">
        <v>0.17</v>
      </c>
      <c r="N832" t="s">
        <v>3704</v>
      </c>
    </row>
    <row r="833" spans="1:14">
      <c r="A833">
        <v>2542</v>
      </c>
      <c r="B833" t="s">
        <v>801</v>
      </c>
      <c r="C833">
        <v>46.9</v>
      </c>
      <c r="D833">
        <v>46.65</v>
      </c>
      <c r="E833" s="178">
        <v>-0.35</v>
      </c>
      <c r="F833" s="176">
        <v>-0.74</v>
      </c>
      <c r="G833" t="s">
        <v>5599</v>
      </c>
      <c r="H833">
        <v>5470</v>
      </c>
      <c r="I833">
        <v>5728</v>
      </c>
      <c r="J833">
        <v>215.31</v>
      </c>
      <c r="K833">
        <v>47.15</v>
      </c>
      <c r="L833">
        <v>46.5</v>
      </c>
      <c r="M833" s="175">
        <v>0.25</v>
      </c>
      <c r="N833" t="s">
        <v>3169</v>
      </c>
    </row>
    <row r="834" spans="1:14">
      <c r="A834">
        <v>2543</v>
      </c>
      <c r="B834" t="s">
        <v>802</v>
      </c>
      <c r="C834">
        <v>38.35</v>
      </c>
      <c r="D834">
        <v>39.799999999999997</v>
      </c>
      <c r="E834" s="178">
        <v>1.5</v>
      </c>
      <c r="F834" s="176">
        <v>3.92</v>
      </c>
      <c r="G834" t="s">
        <v>6220</v>
      </c>
      <c r="H834">
        <v>1332</v>
      </c>
      <c r="I834">
        <v>490</v>
      </c>
      <c r="J834">
        <v>52.85</v>
      </c>
      <c r="K834">
        <v>39.799999999999997</v>
      </c>
      <c r="L834">
        <v>38.049999999999997</v>
      </c>
      <c r="M834" s="175">
        <v>0.25</v>
      </c>
      <c r="N834" t="s">
        <v>1656</v>
      </c>
    </row>
    <row r="835" spans="1:14">
      <c r="A835">
        <v>2545</v>
      </c>
      <c r="B835" t="s">
        <v>803</v>
      </c>
      <c r="C835">
        <v>34.950000000000003</v>
      </c>
      <c r="D835">
        <v>34.25</v>
      </c>
      <c r="E835" s="178">
        <v>-0.7</v>
      </c>
      <c r="F835" s="176">
        <v>-2</v>
      </c>
      <c r="G835" t="s">
        <v>6221</v>
      </c>
      <c r="H835">
        <v>225</v>
      </c>
      <c r="I835">
        <v>195</v>
      </c>
      <c r="J835">
        <v>37.97</v>
      </c>
      <c r="K835">
        <v>34.950000000000003</v>
      </c>
      <c r="L835">
        <v>34.1</v>
      </c>
      <c r="M835" s="175">
        <v>0.06</v>
      </c>
      <c r="N835" t="s">
        <v>3212</v>
      </c>
    </row>
    <row r="836" spans="1:14">
      <c r="A836">
        <v>2546</v>
      </c>
      <c r="B836" t="s">
        <v>804</v>
      </c>
      <c r="C836">
        <v>105.5</v>
      </c>
      <c r="D836">
        <v>106.5</v>
      </c>
      <c r="E836" s="178">
        <v>0</v>
      </c>
      <c r="F836" s="176">
        <v>0</v>
      </c>
      <c r="G836" t="s">
        <v>6222</v>
      </c>
      <c r="H836">
        <v>153</v>
      </c>
      <c r="I836">
        <v>250</v>
      </c>
      <c r="J836">
        <v>14.62</v>
      </c>
      <c r="K836">
        <v>107</v>
      </c>
      <c r="L836">
        <v>104.5</v>
      </c>
      <c r="M836" s="175">
        <v>0.1</v>
      </c>
      <c r="N836" t="s">
        <v>4185</v>
      </c>
    </row>
    <row r="837" spans="1:14">
      <c r="A837">
        <v>2547</v>
      </c>
      <c r="B837" t="s">
        <v>805</v>
      </c>
      <c r="C837">
        <v>10</v>
      </c>
      <c r="D837">
        <v>9.9600000000000009</v>
      </c>
      <c r="E837" s="178">
        <v>-0.04</v>
      </c>
      <c r="F837" s="176">
        <v>-0.4</v>
      </c>
      <c r="G837" t="s">
        <v>6223</v>
      </c>
      <c r="H837">
        <v>2047</v>
      </c>
      <c r="I837">
        <v>929</v>
      </c>
      <c r="J837">
        <v>103.51</v>
      </c>
      <c r="K837">
        <v>10</v>
      </c>
      <c r="L837">
        <v>9.9499999999999993</v>
      </c>
      <c r="M837" s="175">
        <v>0.2</v>
      </c>
      <c r="N837" t="s">
        <v>1657</v>
      </c>
    </row>
    <row r="838" spans="1:14">
      <c r="A838">
        <v>2548</v>
      </c>
      <c r="B838" t="s">
        <v>806</v>
      </c>
      <c r="C838">
        <v>94.5</v>
      </c>
      <c r="D838">
        <v>92.9</v>
      </c>
      <c r="E838" s="178">
        <v>-0.9</v>
      </c>
      <c r="F838" s="176">
        <v>-0.96</v>
      </c>
      <c r="G838" t="s">
        <v>6224</v>
      </c>
      <c r="H838">
        <v>1554</v>
      </c>
      <c r="I838">
        <v>778</v>
      </c>
      <c r="J838">
        <v>33.57</v>
      </c>
      <c r="K838">
        <v>94.5</v>
      </c>
      <c r="L838">
        <v>92.9</v>
      </c>
      <c r="M838" s="175">
        <v>0.46</v>
      </c>
      <c r="N838" t="s">
        <v>1658</v>
      </c>
    </row>
    <row r="839" spans="1:14">
      <c r="A839">
        <v>2596</v>
      </c>
      <c r="B839" t="s">
        <v>807</v>
      </c>
      <c r="C839">
        <v>34.85</v>
      </c>
      <c r="D839">
        <v>34.75</v>
      </c>
      <c r="E839" s="178">
        <v>0</v>
      </c>
      <c r="F839" s="176">
        <v>0</v>
      </c>
      <c r="G839" t="s">
        <v>5367</v>
      </c>
      <c r="H839">
        <v>49</v>
      </c>
      <c r="I839">
        <v>111</v>
      </c>
      <c r="J839">
        <v>10</v>
      </c>
      <c r="K839">
        <v>34.9</v>
      </c>
      <c r="L839">
        <v>34.5</v>
      </c>
      <c r="M839" s="175">
        <v>0.05</v>
      </c>
      <c r="N839" t="s">
        <v>1659</v>
      </c>
    </row>
    <row r="840" spans="1:14">
      <c r="A840">
        <v>2597</v>
      </c>
      <c r="B840" t="s">
        <v>808</v>
      </c>
      <c r="C840">
        <v>172</v>
      </c>
      <c r="D840">
        <v>171</v>
      </c>
      <c r="E840" s="178">
        <v>-1</v>
      </c>
      <c r="F840" s="176">
        <v>-0.57999999999999996</v>
      </c>
      <c r="G840" t="s">
        <v>6225</v>
      </c>
      <c r="H840">
        <v>166</v>
      </c>
      <c r="I840">
        <v>166</v>
      </c>
      <c r="J840">
        <v>31.07</v>
      </c>
      <c r="K840">
        <v>172</v>
      </c>
      <c r="L840">
        <v>169</v>
      </c>
      <c r="M840" s="175">
        <v>0.05</v>
      </c>
      <c r="N840" t="s">
        <v>4186</v>
      </c>
    </row>
    <row r="841" spans="1:14">
      <c r="A841">
        <v>2601</v>
      </c>
      <c r="B841" t="s">
        <v>809</v>
      </c>
      <c r="C841">
        <v>6.8</v>
      </c>
      <c r="D841">
        <v>6.8</v>
      </c>
      <c r="E841" s="178">
        <v>0.02</v>
      </c>
      <c r="F841" s="176">
        <v>0.28999999999999998</v>
      </c>
      <c r="G841" t="s">
        <v>6226</v>
      </c>
      <c r="H841">
        <v>1879</v>
      </c>
      <c r="I841">
        <v>7908</v>
      </c>
      <c r="J841">
        <v>82.48</v>
      </c>
      <c r="K841">
        <v>6.9</v>
      </c>
      <c r="L841">
        <v>6.76</v>
      </c>
      <c r="M841" s="175">
        <v>0.23</v>
      </c>
      <c r="N841" t="s">
        <v>1660</v>
      </c>
    </row>
    <row r="842" spans="1:14">
      <c r="A842">
        <v>2603</v>
      </c>
      <c r="B842" t="s">
        <v>241</v>
      </c>
      <c r="C842">
        <v>234</v>
      </c>
      <c r="D842">
        <v>233.5</v>
      </c>
      <c r="E842" s="178">
        <v>2</v>
      </c>
      <c r="F842" s="176">
        <v>0.86</v>
      </c>
      <c r="G842" t="s">
        <v>6227</v>
      </c>
      <c r="H842">
        <v>10660</v>
      </c>
      <c r="I842">
        <v>20798</v>
      </c>
      <c r="J842">
        <v>216.5</v>
      </c>
      <c r="K842">
        <v>234.5</v>
      </c>
      <c r="L842">
        <v>230.5</v>
      </c>
      <c r="M842" s="175">
        <v>0.49</v>
      </c>
      <c r="N842" t="s">
        <v>3870</v>
      </c>
    </row>
    <row r="843" spans="1:14">
      <c r="A843">
        <v>2605</v>
      </c>
      <c r="B843" t="s">
        <v>810</v>
      </c>
      <c r="C843">
        <v>35.299999999999997</v>
      </c>
      <c r="D843">
        <v>35.35</v>
      </c>
      <c r="E843" s="178">
        <v>0.3</v>
      </c>
      <c r="F843" s="176">
        <v>0.86</v>
      </c>
      <c r="G843" t="s">
        <v>5730</v>
      </c>
      <c r="H843">
        <v>8848</v>
      </c>
      <c r="I843">
        <v>23826</v>
      </c>
      <c r="J843">
        <v>58.54</v>
      </c>
      <c r="K843">
        <v>35.65</v>
      </c>
      <c r="L843">
        <v>34.950000000000003</v>
      </c>
      <c r="M843" s="175">
        <v>1.51</v>
      </c>
      <c r="N843" t="s">
        <v>3615</v>
      </c>
    </row>
    <row r="844" spans="1:14">
      <c r="A844">
        <v>2606</v>
      </c>
      <c r="B844" t="s">
        <v>811</v>
      </c>
      <c r="C844">
        <v>72.900000000000006</v>
      </c>
      <c r="D844">
        <v>76.099999999999994</v>
      </c>
      <c r="E844" s="178">
        <v>3.9</v>
      </c>
      <c r="F844" s="176">
        <v>5.4</v>
      </c>
      <c r="G844" t="s">
        <v>6090</v>
      </c>
      <c r="H844">
        <v>11343</v>
      </c>
      <c r="I844">
        <v>22497</v>
      </c>
      <c r="J844">
        <v>84.51</v>
      </c>
      <c r="K844">
        <v>77.7</v>
      </c>
      <c r="L844">
        <v>71.900000000000006</v>
      </c>
      <c r="M844" s="175">
        <v>1.34</v>
      </c>
      <c r="N844" t="s">
        <v>3520</v>
      </c>
    </row>
    <row r="845" spans="1:14">
      <c r="A845">
        <v>2607</v>
      </c>
      <c r="B845" t="s">
        <v>4667</v>
      </c>
      <c r="C845">
        <v>52.3</v>
      </c>
      <c r="D845">
        <v>52.7</v>
      </c>
      <c r="E845" s="178">
        <v>1</v>
      </c>
      <c r="F845" s="176">
        <v>1.93</v>
      </c>
      <c r="G845" t="s">
        <v>6228</v>
      </c>
      <c r="H845">
        <v>1071</v>
      </c>
      <c r="I845">
        <v>553</v>
      </c>
      <c r="J845">
        <v>53.36</v>
      </c>
      <c r="K845">
        <v>52.7</v>
      </c>
      <c r="L845">
        <v>51.7</v>
      </c>
      <c r="M845" s="175">
        <v>0.2</v>
      </c>
      <c r="N845" t="s">
        <v>4668</v>
      </c>
    </row>
    <row r="846" spans="1:14">
      <c r="A846">
        <v>2608</v>
      </c>
      <c r="B846" t="s">
        <v>812</v>
      </c>
      <c r="C846">
        <v>28.6</v>
      </c>
      <c r="D846">
        <v>28.55</v>
      </c>
      <c r="E846" s="178">
        <v>-0.05</v>
      </c>
      <c r="F846" s="176">
        <v>-0.17</v>
      </c>
      <c r="G846" t="s">
        <v>6229</v>
      </c>
      <c r="H846">
        <v>161</v>
      </c>
      <c r="I846">
        <v>217</v>
      </c>
      <c r="J846">
        <v>46.7</v>
      </c>
      <c r="K846">
        <v>28.65</v>
      </c>
      <c r="L846">
        <v>28.45</v>
      </c>
      <c r="M846" s="175">
        <v>0.03</v>
      </c>
      <c r="N846" t="s">
        <v>2100</v>
      </c>
    </row>
    <row r="847" spans="1:14">
      <c r="A847">
        <v>2609</v>
      </c>
      <c r="B847" t="s">
        <v>813</v>
      </c>
      <c r="C847">
        <v>57.2</v>
      </c>
      <c r="D847">
        <v>59.5</v>
      </c>
      <c r="E847" s="178">
        <v>3.3</v>
      </c>
      <c r="F847" s="176">
        <v>5.87</v>
      </c>
      <c r="G847" t="s">
        <v>6230</v>
      </c>
      <c r="H847">
        <v>218652</v>
      </c>
      <c r="I847">
        <v>124863</v>
      </c>
      <c r="J847">
        <v>349.21</v>
      </c>
      <c r="K847">
        <v>59.5</v>
      </c>
      <c r="L847">
        <v>56.3</v>
      </c>
      <c r="M847" s="175">
        <v>6.26</v>
      </c>
      <c r="N847" t="s">
        <v>3521</v>
      </c>
    </row>
    <row r="848" spans="1:14">
      <c r="A848">
        <v>2610</v>
      </c>
      <c r="B848" t="s">
        <v>247</v>
      </c>
      <c r="C848">
        <v>20.3</v>
      </c>
      <c r="D848">
        <v>20.25</v>
      </c>
      <c r="E848" s="178">
        <v>-0.1</v>
      </c>
      <c r="F848" s="176">
        <v>-0.49</v>
      </c>
      <c r="G848" t="s">
        <v>6231</v>
      </c>
      <c r="H848">
        <v>22174</v>
      </c>
      <c r="I848">
        <v>30782</v>
      </c>
      <c r="J848">
        <v>614.5</v>
      </c>
      <c r="K848">
        <v>20.5</v>
      </c>
      <c r="L848">
        <v>20.100000000000001</v>
      </c>
      <c r="M848" s="175">
        <v>0.36</v>
      </c>
      <c r="N848" t="s">
        <v>2080</v>
      </c>
    </row>
    <row r="849" spans="1:14">
      <c r="A849">
        <v>2611</v>
      </c>
      <c r="B849" t="s">
        <v>814</v>
      </c>
      <c r="C849">
        <v>14.9</v>
      </c>
      <c r="D849">
        <v>14.85</v>
      </c>
      <c r="E849" s="178">
        <v>-0.05</v>
      </c>
      <c r="F849" s="176">
        <v>-0.34</v>
      </c>
      <c r="G849" t="s">
        <v>6232</v>
      </c>
      <c r="H849">
        <v>902</v>
      </c>
      <c r="I849">
        <v>2744</v>
      </c>
      <c r="J849">
        <v>18.899999999999999</v>
      </c>
      <c r="K849">
        <v>15.25</v>
      </c>
      <c r="L849">
        <v>14.65</v>
      </c>
      <c r="M849" s="175">
        <v>0.48</v>
      </c>
      <c r="N849" t="s">
        <v>3435</v>
      </c>
    </row>
    <row r="850" spans="1:14">
      <c r="A850">
        <v>2612</v>
      </c>
      <c r="B850" t="s">
        <v>815</v>
      </c>
      <c r="C850">
        <v>60.6</v>
      </c>
      <c r="D850">
        <v>60.5</v>
      </c>
      <c r="E850" s="178">
        <v>0.3</v>
      </c>
      <c r="F850" s="176">
        <v>0.5</v>
      </c>
      <c r="G850" t="s">
        <v>6233</v>
      </c>
      <c r="H850">
        <v>1469</v>
      </c>
      <c r="I850">
        <v>3356</v>
      </c>
      <c r="J850">
        <v>19.75</v>
      </c>
      <c r="K850">
        <v>63</v>
      </c>
      <c r="L850">
        <v>59.6</v>
      </c>
      <c r="M850" s="175">
        <v>0.74</v>
      </c>
      <c r="N850" t="s">
        <v>3871</v>
      </c>
    </row>
    <row r="851" spans="1:14">
      <c r="A851">
        <v>2613</v>
      </c>
      <c r="B851" t="s">
        <v>816</v>
      </c>
      <c r="C851">
        <v>22.9</v>
      </c>
      <c r="D851">
        <v>22.7</v>
      </c>
      <c r="E851" s="178">
        <v>0</v>
      </c>
      <c r="F851" s="176">
        <v>0</v>
      </c>
      <c r="G851" t="s">
        <v>6234</v>
      </c>
      <c r="H851">
        <v>889</v>
      </c>
      <c r="I851">
        <v>4710</v>
      </c>
      <c r="J851">
        <v>14.84</v>
      </c>
      <c r="K851">
        <v>23.5</v>
      </c>
      <c r="L851">
        <v>22.65</v>
      </c>
      <c r="M851" s="175">
        <v>0.6</v>
      </c>
      <c r="N851" t="s">
        <v>1661</v>
      </c>
    </row>
    <row r="852" spans="1:14">
      <c r="A852">
        <v>2614</v>
      </c>
      <c r="B852" t="s">
        <v>3061</v>
      </c>
      <c r="C852">
        <v>18.25</v>
      </c>
      <c r="D852">
        <v>18.350000000000001</v>
      </c>
      <c r="E852" s="178">
        <v>0.1</v>
      </c>
      <c r="F852" s="176">
        <v>0.55000000000000004</v>
      </c>
      <c r="G852" t="s">
        <v>6235</v>
      </c>
      <c r="H852">
        <v>557</v>
      </c>
      <c r="I852">
        <v>664</v>
      </c>
      <c r="J852">
        <v>32.729999999999997</v>
      </c>
      <c r="K852">
        <v>18.350000000000001</v>
      </c>
      <c r="L852">
        <v>18.100000000000001</v>
      </c>
      <c r="M852" s="175">
        <v>0.17</v>
      </c>
      <c r="N852" t="s">
        <v>3616</v>
      </c>
    </row>
    <row r="853" spans="1:14">
      <c r="A853">
        <v>2615</v>
      </c>
      <c r="B853" t="s">
        <v>248</v>
      </c>
      <c r="C853">
        <v>116</v>
      </c>
      <c r="D853">
        <v>114</v>
      </c>
      <c r="E853" s="178">
        <v>2.5</v>
      </c>
      <c r="F853" s="176">
        <v>2.2400000000000002</v>
      </c>
      <c r="G853" t="s">
        <v>6236</v>
      </c>
      <c r="H853">
        <v>40247</v>
      </c>
      <c r="I853">
        <v>65689</v>
      </c>
      <c r="J853">
        <v>280.61</v>
      </c>
      <c r="K853">
        <v>116</v>
      </c>
      <c r="L853">
        <v>110</v>
      </c>
      <c r="M853" s="175">
        <v>1.43</v>
      </c>
      <c r="N853" t="s">
        <v>3328</v>
      </c>
    </row>
    <row r="854" spans="1:14">
      <c r="A854">
        <v>2616</v>
      </c>
      <c r="B854" t="s">
        <v>817</v>
      </c>
      <c r="C854">
        <v>13.45</v>
      </c>
      <c r="D854">
        <v>13.45</v>
      </c>
      <c r="E854" s="178">
        <v>0.05</v>
      </c>
      <c r="F854" s="176">
        <v>0.37</v>
      </c>
      <c r="G854" t="s">
        <v>6237</v>
      </c>
      <c r="H854">
        <v>51</v>
      </c>
      <c r="I854">
        <v>77</v>
      </c>
      <c r="J854">
        <v>13.73</v>
      </c>
      <c r="K854">
        <v>13.45</v>
      </c>
      <c r="L854">
        <v>13.35</v>
      </c>
      <c r="M854" s="175">
        <v>0.04</v>
      </c>
      <c r="N854" t="s">
        <v>3872</v>
      </c>
    </row>
    <row r="855" spans="1:14">
      <c r="A855">
        <v>2617</v>
      </c>
      <c r="B855" t="s">
        <v>818</v>
      </c>
      <c r="C855">
        <v>30.45</v>
      </c>
      <c r="D855">
        <v>30.95</v>
      </c>
      <c r="E855" s="178">
        <v>0.5</v>
      </c>
      <c r="F855" s="176">
        <v>1.64</v>
      </c>
      <c r="G855" t="s">
        <v>6238</v>
      </c>
      <c r="H855">
        <v>1045</v>
      </c>
      <c r="I855">
        <v>2820</v>
      </c>
      <c r="J855">
        <v>41.73</v>
      </c>
      <c r="K855">
        <v>31.3</v>
      </c>
      <c r="L855">
        <v>30.4</v>
      </c>
      <c r="M855" s="175">
        <v>0.25</v>
      </c>
      <c r="N855" t="s">
        <v>4987</v>
      </c>
    </row>
    <row r="856" spans="1:14">
      <c r="A856">
        <v>2618</v>
      </c>
      <c r="B856" t="s">
        <v>1662</v>
      </c>
      <c r="C856">
        <v>41.75</v>
      </c>
      <c r="D856">
        <v>42</v>
      </c>
      <c r="E856" s="178">
        <v>0.2</v>
      </c>
      <c r="F856" s="176">
        <v>0.48</v>
      </c>
      <c r="G856" t="s">
        <v>6239</v>
      </c>
      <c r="H856">
        <v>20912</v>
      </c>
      <c r="I856">
        <v>21129</v>
      </c>
      <c r="J856">
        <v>540.04</v>
      </c>
      <c r="K856">
        <v>42.05</v>
      </c>
      <c r="L856">
        <v>41.45</v>
      </c>
      <c r="M856" s="175">
        <v>0.39</v>
      </c>
      <c r="N856" t="s">
        <v>2080</v>
      </c>
    </row>
    <row r="857" spans="1:14">
      <c r="A857">
        <v>2630</v>
      </c>
      <c r="B857" t="s">
        <v>388</v>
      </c>
      <c r="C857">
        <v>50.6</v>
      </c>
      <c r="D857">
        <v>51.3</v>
      </c>
      <c r="E857" s="178">
        <v>-0.5</v>
      </c>
      <c r="F857" s="176">
        <v>-0.97</v>
      </c>
      <c r="G857" t="s">
        <v>6240</v>
      </c>
      <c r="H857">
        <v>1196</v>
      </c>
      <c r="I857">
        <v>4226</v>
      </c>
      <c r="J857">
        <v>20.94</v>
      </c>
      <c r="K857">
        <v>52</v>
      </c>
      <c r="L857">
        <v>50.6</v>
      </c>
      <c r="M857" s="175">
        <v>0.56999999999999995</v>
      </c>
      <c r="N857" t="s">
        <v>3873</v>
      </c>
    </row>
    <row r="858" spans="1:14">
      <c r="A858">
        <v>2633</v>
      </c>
      <c r="B858" t="s">
        <v>819</v>
      </c>
      <c r="C858">
        <v>26.25</v>
      </c>
      <c r="D858">
        <v>26</v>
      </c>
      <c r="E858" s="178">
        <v>-0.25</v>
      </c>
      <c r="F858" s="176">
        <v>-0.95</v>
      </c>
      <c r="G858" t="s">
        <v>5236</v>
      </c>
      <c r="H858">
        <v>5254</v>
      </c>
      <c r="I858">
        <v>2217</v>
      </c>
      <c r="J858">
        <v>562.83000000000004</v>
      </c>
      <c r="K858">
        <v>26.25</v>
      </c>
      <c r="L858">
        <v>26</v>
      </c>
      <c r="M858" s="175">
        <v>0.2</v>
      </c>
      <c r="N858" t="s">
        <v>3563</v>
      </c>
    </row>
    <row r="859" spans="1:14">
      <c r="A859">
        <v>2634</v>
      </c>
      <c r="B859" t="s">
        <v>249</v>
      </c>
      <c r="C859">
        <v>67.099999999999994</v>
      </c>
      <c r="D859">
        <v>66.900000000000006</v>
      </c>
      <c r="E859" s="178">
        <v>-0.9</v>
      </c>
      <c r="F859" s="176">
        <v>-1.33</v>
      </c>
      <c r="G859" t="s">
        <v>5862</v>
      </c>
      <c r="H859">
        <v>17576</v>
      </c>
      <c r="I859">
        <v>48945</v>
      </c>
      <c r="J859">
        <v>94.19</v>
      </c>
      <c r="K859">
        <v>68.099999999999994</v>
      </c>
      <c r="L859">
        <v>66.599999999999994</v>
      </c>
      <c r="M859" s="175">
        <v>1.87</v>
      </c>
      <c r="N859" t="s">
        <v>3874</v>
      </c>
    </row>
    <row r="860" spans="1:14">
      <c r="A860">
        <v>2636</v>
      </c>
      <c r="B860" t="s">
        <v>4034</v>
      </c>
      <c r="C860">
        <v>69.2</v>
      </c>
      <c r="D860">
        <v>68.8</v>
      </c>
      <c r="E860" s="178">
        <v>-0.1</v>
      </c>
      <c r="F860" s="176">
        <v>-0.15</v>
      </c>
      <c r="G860" t="s">
        <v>6241</v>
      </c>
      <c r="H860">
        <v>748</v>
      </c>
      <c r="I860">
        <v>1990</v>
      </c>
      <c r="J860">
        <v>14.18</v>
      </c>
      <c r="K860">
        <v>70</v>
      </c>
      <c r="L860">
        <v>68.8</v>
      </c>
      <c r="M860" s="175">
        <v>0.53</v>
      </c>
      <c r="N860" t="s">
        <v>3564</v>
      </c>
    </row>
    <row r="861" spans="1:14">
      <c r="A861">
        <v>2637</v>
      </c>
      <c r="B861" t="s">
        <v>1663</v>
      </c>
      <c r="C861">
        <v>92.9</v>
      </c>
      <c r="D861">
        <v>94.1</v>
      </c>
      <c r="E861" s="178">
        <v>2</v>
      </c>
      <c r="F861" s="176">
        <v>2.17</v>
      </c>
      <c r="G861" t="s">
        <v>5518</v>
      </c>
      <c r="H861">
        <v>4917</v>
      </c>
      <c r="I861">
        <v>15938</v>
      </c>
      <c r="J861">
        <v>74.64</v>
      </c>
      <c r="K861">
        <v>94.5</v>
      </c>
      <c r="L861">
        <v>91</v>
      </c>
      <c r="M861" s="175">
        <v>0.66</v>
      </c>
      <c r="N861" t="s">
        <v>3329</v>
      </c>
    </row>
    <row r="862" spans="1:14">
      <c r="A862">
        <v>2640</v>
      </c>
      <c r="B862" t="s">
        <v>820</v>
      </c>
      <c r="C862">
        <v>156.5</v>
      </c>
      <c r="D862">
        <v>157</v>
      </c>
      <c r="E862" s="178">
        <v>-1</v>
      </c>
      <c r="F862" s="176">
        <v>-0.63</v>
      </c>
      <c r="G862" t="s">
        <v>6072</v>
      </c>
      <c r="H862">
        <v>33</v>
      </c>
      <c r="I862">
        <v>23</v>
      </c>
      <c r="J862">
        <v>5.93</v>
      </c>
      <c r="K862">
        <v>158</v>
      </c>
      <c r="L862">
        <v>155.5</v>
      </c>
      <c r="M862" s="175">
        <v>0.06</v>
      </c>
      <c r="N862" t="s">
        <v>2101</v>
      </c>
    </row>
    <row r="863" spans="1:14">
      <c r="A863">
        <v>2641</v>
      </c>
      <c r="B863" t="s">
        <v>4632</v>
      </c>
      <c r="C863">
        <v>18.149999999999999</v>
      </c>
      <c r="D863">
        <v>17.899999999999999</v>
      </c>
      <c r="E863" s="178">
        <v>-0.1</v>
      </c>
      <c r="F863" s="176">
        <v>-0.56000000000000005</v>
      </c>
      <c r="G863" t="s">
        <v>6242</v>
      </c>
      <c r="H863">
        <v>2324</v>
      </c>
      <c r="I863">
        <v>9303</v>
      </c>
      <c r="J863">
        <v>33.03</v>
      </c>
      <c r="K863">
        <v>18.3</v>
      </c>
      <c r="L863">
        <v>17.899999999999999</v>
      </c>
      <c r="M863" s="175">
        <v>0.7</v>
      </c>
      <c r="N863" t="s">
        <v>4633</v>
      </c>
    </row>
    <row r="864" spans="1:14">
      <c r="A864">
        <v>2642</v>
      </c>
      <c r="B864" t="s">
        <v>821</v>
      </c>
      <c r="C864">
        <v>20.55</v>
      </c>
      <c r="D864">
        <v>20.5</v>
      </c>
      <c r="E864" s="178">
        <v>-0.1</v>
      </c>
      <c r="F864" s="176">
        <v>-0.49</v>
      </c>
      <c r="G864" t="s">
        <v>5637</v>
      </c>
      <c r="H864">
        <v>26</v>
      </c>
      <c r="I864">
        <v>75</v>
      </c>
      <c r="J864">
        <v>9.5500000000000007</v>
      </c>
      <c r="K864">
        <v>20.6</v>
      </c>
      <c r="L864">
        <v>20.399999999999999</v>
      </c>
      <c r="M864" s="175">
        <v>0.03</v>
      </c>
      <c r="N864" t="s">
        <v>3522</v>
      </c>
    </row>
    <row r="865" spans="1:14">
      <c r="A865">
        <v>2643</v>
      </c>
      <c r="B865" t="s">
        <v>822</v>
      </c>
      <c r="C865">
        <v>63.1</v>
      </c>
      <c r="D865">
        <v>62</v>
      </c>
      <c r="E865" s="178">
        <v>-1.1000000000000001</v>
      </c>
      <c r="F865" s="176">
        <v>-1.74</v>
      </c>
      <c r="G865" t="s">
        <v>6243</v>
      </c>
      <c r="H865">
        <v>8</v>
      </c>
      <c r="I865">
        <v>8</v>
      </c>
      <c r="J865">
        <v>3.5</v>
      </c>
      <c r="K865">
        <v>63.1</v>
      </c>
      <c r="L865">
        <v>62</v>
      </c>
      <c r="M865" s="175">
        <v>0.02</v>
      </c>
      <c r="N865" t="s">
        <v>3436</v>
      </c>
    </row>
    <row r="866" spans="1:14">
      <c r="A866">
        <v>2645</v>
      </c>
      <c r="B866" t="s">
        <v>2244</v>
      </c>
      <c r="C866">
        <v>172.5</v>
      </c>
      <c r="D866">
        <v>173</v>
      </c>
      <c r="E866" s="178">
        <v>-1</v>
      </c>
      <c r="F866" s="176">
        <v>-0.56999999999999995</v>
      </c>
      <c r="G866" t="s">
        <v>6244</v>
      </c>
      <c r="H866">
        <v>1704</v>
      </c>
      <c r="I866">
        <v>4536</v>
      </c>
      <c r="J866">
        <v>37.46</v>
      </c>
      <c r="K866">
        <v>175.5</v>
      </c>
      <c r="L866">
        <v>171.5</v>
      </c>
      <c r="M866" s="175">
        <v>0.45</v>
      </c>
      <c r="N866" t="s">
        <v>4553</v>
      </c>
    </row>
    <row r="867" spans="1:14">
      <c r="A867">
        <v>2646</v>
      </c>
      <c r="B867" t="s">
        <v>4082</v>
      </c>
      <c r="C867">
        <v>20.85</v>
      </c>
      <c r="D867">
        <v>20.9</v>
      </c>
      <c r="E867" s="178">
        <v>0.05</v>
      </c>
      <c r="F867" s="176">
        <v>0.24</v>
      </c>
      <c r="G867" t="s">
        <v>6245</v>
      </c>
      <c r="H867">
        <v>2830</v>
      </c>
      <c r="I867">
        <v>2546</v>
      </c>
      <c r="J867">
        <v>300.87</v>
      </c>
      <c r="K867">
        <v>20.95</v>
      </c>
      <c r="L867">
        <v>20.65</v>
      </c>
      <c r="M867" s="175">
        <v>0.09</v>
      </c>
      <c r="N867" t="s">
        <v>4083</v>
      </c>
    </row>
    <row r="868" spans="1:14">
      <c r="A868">
        <v>2701</v>
      </c>
      <c r="B868" t="s">
        <v>823</v>
      </c>
      <c r="C868">
        <v>10.6</v>
      </c>
      <c r="D868">
        <v>10.65</v>
      </c>
      <c r="E868" s="178">
        <v>0.05</v>
      </c>
      <c r="F868" s="176">
        <v>0.47</v>
      </c>
      <c r="G868" t="s">
        <v>6246</v>
      </c>
      <c r="H868">
        <v>73</v>
      </c>
      <c r="I868">
        <v>51</v>
      </c>
      <c r="J868">
        <v>45</v>
      </c>
      <c r="K868">
        <v>10.65</v>
      </c>
      <c r="L868">
        <v>10.55</v>
      </c>
      <c r="M868" s="175">
        <v>0.02</v>
      </c>
      <c r="N868" t="s">
        <v>3875</v>
      </c>
    </row>
    <row r="869" spans="1:14">
      <c r="A869">
        <v>2702</v>
      </c>
      <c r="B869" t="s">
        <v>824</v>
      </c>
      <c r="C869">
        <v>12.65</v>
      </c>
      <c r="D869">
        <v>12.75</v>
      </c>
      <c r="E869" s="178">
        <v>0.05</v>
      </c>
      <c r="F869" s="176">
        <v>0.39</v>
      </c>
      <c r="G869" t="s">
        <v>6247</v>
      </c>
      <c r="H869">
        <v>46</v>
      </c>
      <c r="I869">
        <v>37</v>
      </c>
      <c r="J869">
        <v>15.66</v>
      </c>
      <c r="K869">
        <v>12.9</v>
      </c>
      <c r="L869">
        <v>12.6</v>
      </c>
      <c r="M869" s="175">
        <v>0.03</v>
      </c>
      <c r="N869" t="s">
        <v>3876</v>
      </c>
    </row>
    <row r="870" spans="1:14">
      <c r="A870">
        <v>2704</v>
      </c>
      <c r="B870" t="s">
        <v>825</v>
      </c>
      <c r="C870">
        <v>45.3</v>
      </c>
      <c r="D870">
        <v>44.4</v>
      </c>
      <c r="E870" s="178">
        <v>-0.95</v>
      </c>
      <c r="F870" s="176">
        <v>-2.09</v>
      </c>
      <c r="G870" t="s">
        <v>5290</v>
      </c>
      <c r="H870">
        <v>3949</v>
      </c>
      <c r="I870">
        <v>108</v>
      </c>
      <c r="J870">
        <v>36.69</v>
      </c>
      <c r="K870">
        <v>45.55</v>
      </c>
      <c r="L870">
        <v>44.4</v>
      </c>
      <c r="M870" s="175">
        <v>1.08</v>
      </c>
      <c r="N870" t="s">
        <v>3965</v>
      </c>
    </row>
    <row r="871" spans="1:14">
      <c r="A871">
        <v>2705</v>
      </c>
      <c r="B871" t="s">
        <v>826</v>
      </c>
      <c r="C871">
        <v>15.65</v>
      </c>
      <c r="D871">
        <v>15.8</v>
      </c>
      <c r="E871" s="178">
        <v>0.1</v>
      </c>
      <c r="F871" s="176">
        <v>0.64</v>
      </c>
      <c r="G871" t="s">
        <v>6248</v>
      </c>
      <c r="H871">
        <v>61</v>
      </c>
      <c r="I871">
        <v>61</v>
      </c>
      <c r="J871">
        <v>19.13</v>
      </c>
      <c r="K871">
        <v>15.8</v>
      </c>
      <c r="L871">
        <v>15.6</v>
      </c>
      <c r="M871" s="175">
        <v>0.03</v>
      </c>
      <c r="N871" t="s">
        <v>4494</v>
      </c>
    </row>
    <row r="872" spans="1:14">
      <c r="A872">
        <v>2706</v>
      </c>
      <c r="B872" t="s">
        <v>827</v>
      </c>
      <c r="C872">
        <v>12.6</v>
      </c>
      <c r="D872">
        <v>12.6</v>
      </c>
      <c r="E872" s="178">
        <v>0.1</v>
      </c>
      <c r="F872" s="176">
        <v>0.8</v>
      </c>
      <c r="G872" t="s">
        <v>6249</v>
      </c>
      <c r="H872">
        <v>101</v>
      </c>
      <c r="I872">
        <v>94</v>
      </c>
      <c r="J872">
        <v>50</v>
      </c>
      <c r="K872">
        <v>12.6</v>
      </c>
      <c r="L872">
        <v>12.45</v>
      </c>
      <c r="M872" s="175">
        <v>0.02</v>
      </c>
      <c r="N872" t="s">
        <v>4187</v>
      </c>
    </row>
    <row r="873" spans="1:14">
      <c r="A873">
        <v>2707</v>
      </c>
      <c r="B873" t="s">
        <v>828</v>
      </c>
      <c r="C873">
        <v>180</v>
      </c>
      <c r="D873">
        <v>177</v>
      </c>
      <c r="E873" s="178">
        <v>-2.5</v>
      </c>
      <c r="F873" s="176">
        <v>-1.39</v>
      </c>
      <c r="G873" t="s">
        <v>6250</v>
      </c>
      <c r="H873">
        <v>385</v>
      </c>
      <c r="I873">
        <v>89</v>
      </c>
      <c r="J873">
        <v>12.74</v>
      </c>
      <c r="K873">
        <v>180</v>
      </c>
      <c r="L873">
        <v>176.5</v>
      </c>
      <c r="M873" s="175">
        <v>0.3</v>
      </c>
      <c r="N873" t="s">
        <v>3565</v>
      </c>
    </row>
    <row r="874" spans="1:14">
      <c r="A874">
        <v>2712</v>
      </c>
      <c r="B874" t="s">
        <v>829</v>
      </c>
      <c r="C874">
        <v>14.3</v>
      </c>
      <c r="D874">
        <v>14.25</v>
      </c>
      <c r="E874" s="178">
        <v>-0.1</v>
      </c>
      <c r="F874" s="176">
        <v>-0.7</v>
      </c>
      <c r="G874" t="s">
        <v>6251</v>
      </c>
      <c r="H874">
        <v>2</v>
      </c>
      <c r="I874">
        <v>6</v>
      </c>
      <c r="J874">
        <v>10.5</v>
      </c>
      <c r="K874">
        <v>14.3</v>
      </c>
      <c r="L874">
        <v>14.25</v>
      </c>
      <c r="M874" s="175">
        <v>0</v>
      </c>
      <c r="N874" t="s">
        <v>4188</v>
      </c>
    </row>
    <row r="875" spans="1:14">
      <c r="A875">
        <v>2718</v>
      </c>
      <c r="B875" t="s">
        <v>4164</v>
      </c>
      <c r="C875">
        <v>41.7</v>
      </c>
      <c r="D875">
        <v>41.7</v>
      </c>
      <c r="E875" s="178">
        <v>-0.2</v>
      </c>
      <c r="F875" s="176">
        <v>-0.48</v>
      </c>
      <c r="G875" t="s">
        <v>6066</v>
      </c>
      <c r="H875">
        <v>37</v>
      </c>
      <c r="I875">
        <v>130</v>
      </c>
      <c r="J875">
        <v>8.76</v>
      </c>
      <c r="K875">
        <v>42.65</v>
      </c>
      <c r="L875">
        <v>41.5</v>
      </c>
      <c r="M875" s="175">
        <v>0.04</v>
      </c>
      <c r="N875" t="s">
        <v>3213</v>
      </c>
    </row>
    <row r="876" spans="1:14">
      <c r="A876">
        <v>2719</v>
      </c>
      <c r="B876" t="s">
        <v>2134</v>
      </c>
      <c r="C876">
        <v>20.350000000000001</v>
      </c>
      <c r="D876">
        <v>20.350000000000001</v>
      </c>
      <c r="E876" s="178">
        <v>0.05</v>
      </c>
      <c r="F876" s="176">
        <v>0.25</v>
      </c>
      <c r="G876" t="s">
        <v>6252</v>
      </c>
      <c r="H876">
        <v>5</v>
      </c>
      <c r="I876">
        <v>14</v>
      </c>
      <c r="J876">
        <v>6.92</v>
      </c>
      <c r="K876">
        <v>20.350000000000001</v>
      </c>
      <c r="L876">
        <v>20.350000000000001</v>
      </c>
      <c r="M876" s="175">
        <v>0.01</v>
      </c>
      <c r="N876" t="s">
        <v>3214</v>
      </c>
    </row>
    <row r="877" spans="1:14">
      <c r="A877">
        <v>2722</v>
      </c>
      <c r="B877" t="s">
        <v>830</v>
      </c>
      <c r="C877">
        <v>21.65</v>
      </c>
      <c r="D877">
        <v>21.6</v>
      </c>
      <c r="E877" s="178">
        <v>0.05</v>
      </c>
      <c r="F877" s="176">
        <v>0.23</v>
      </c>
      <c r="G877" t="s">
        <v>6253</v>
      </c>
      <c r="H877">
        <v>31</v>
      </c>
      <c r="I877">
        <v>48</v>
      </c>
      <c r="J877">
        <v>14.32</v>
      </c>
      <c r="K877">
        <v>21.75</v>
      </c>
      <c r="L877">
        <v>21.55</v>
      </c>
      <c r="M877" s="175">
        <v>0.02</v>
      </c>
      <c r="N877" t="s">
        <v>1664</v>
      </c>
    </row>
    <row r="878" spans="1:14">
      <c r="A878">
        <v>2723</v>
      </c>
      <c r="B878" t="s">
        <v>831</v>
      </c>
      <c r="C878">
        <v>76.5</v>
      </c>
      <c r="D878">
        <v>82</v>
      </c>
      <c r="E878" s="178">
        <v>4.8</v>
      </c>
      <c r="F878" s="176">
        <v>6.22</v>
      </c>
      <c r="G878" t="s">
        <v>5163</v>
      </c>
      <c r="H878">
        <v>1243</v>
      </c>
      <c r="I878">
        <v>1159</v>
      </c>
      <c r="J878">
        <v>18</v>
      </c>
      <c r="K878">
        <v>82.3</v>
      </c>
      <c r="L878">
        <v>75.900000000000006</v>
      </c>
      <c r="M878" s="175">
        <v>0.69</v>
      </c>
      <c r="N878" t="s">
        <v>4746</v>
      </c>
    </row>
    <row r="879" spans="1:14">
      <c r="A879">
        <v>2724</v>
      </c>
      <c r="B879" t="s">
        <v>3355</v>
      </c>
      <c r="C879">
        <v>10.8</v>
      </c>
      <c r="D879">
        <v>10.8</v>
      </c>
      <c r="E879" s="178">
        <v>0.15</v>
      </c>
      <c r="F879" s="176">
        <v>1.41</v>
      </c>
      <c r="G879" t="s">
        <v>6254</v>
      </c>
      <c r="H879">
        <v>1</v>
      </c>
      <c r="I879">
        <v>33</v>
      </c>
      <c r="J879">
        <v>5.97</v>
      </c>
      <c r="K879">
        <v>10.8</v>
      </c>
      <c r="L879">
        <v>10.8</v>
      </c>
      <c r="M879" s="175">
        <v>0</v>
      </c>
      <c r="N879" t="s">
        <v>4332</v>
      </c>
    </row>
    <row r="880" spans="1:14">
      <c r="A880">
        <v>2726</v>
      </c>
      <c r="B880" t="s">
        <v>3093</v>
      </c>
      <c r="C880">
        <v>8.2200000000000006</v>
      </c>
      <c r="D880">
        <v>8.2200000000000006</v>
      </c>
      <c r="E880" s="178">
        <v>0</v>
      </c>
      <c r="F880" s="176">
        <v>0</v>
      </c>
      <c r="G880" t="s">
        <v>5438</v>
      </c>
      <c r="H880">
        <v>181</v>
      </c>
      <c r="I880">
        <v>45</v>
      </c>
      <c r="J880">
        <v>3.79</v>
      </c>
      <c r="K880">
        <v>8.27</v>
      </c>
      <c r="L880">
        <v>7.97</v>
      </c>
      <c r="M880" s="175">
        <v>0.48</v>
      </c>
      <c r="N880" t="s">
        <v>3094</v>
      </c>
    </row>
    <row r="881" spans="1:14">
      <c r="A881">
        <v>2727</v>
      </c>
      <c r="B881" t="s">
        <v>832</v>
      </c>
      <c r="C881">
        <v>234</v>
      </c>
      <c r="D881">
        <v>235.5</v>
      </c>
      <c r="E881" s="178">
        <v>1.5</v>
      </c>
      <c r="F881" s="176">
        <v>0.64</v>
      </c>
      <c r="G881" t="s">
        <v>5505</v>
      </c>
      <c r="H881">
        <v>258</v>
      </c>
      <c r="I881">
        <v>222</v>
      </c>
      <c r="J881">
        <v>8.2899999999999991</v>
      </c>
      <c r="K881">
        <v>235.5</v>
      </c>
      <c r="L881">
        <v>233</v>
      </c>
      <c r="M881" s="175">
        <v>0.31</v>
      </c>
      <c r="N881" t="s">
        <v>3705</v>
      </c>
    </row>
    <row r="882" spans="1:14">
      <c r="A882">
        <v>2729</v>
      </c>
      <c r="B882" t="s">
        <v>833</v>
      </c>
      <c r="C882">
        <v>154</v>
      </c>
      <c r="D882">
        <v>155.5</v>
      </c>
      <c r="E882" s="178">
        <v>0</v>
      </c>
      <c r="F882" s="176">
        <v>0</v>
      </c>
      <c r="G882" t="s">
        <v>5427</v>
      </c>
      <c r="H882">
        <v>15</v>
      </c>
      <c r="I882">
        <v>44</v>
      </c>
      <c r="J882">
        <v>4.3</v>
      </c>
      <c r="K882">
        <v>155.5</v>
      </c>
      <c r="L882">
        <v>154</v>
      </c>
      <c r="M882" s="175">
        <v>0.03</v>
      </c>
      <c r="N882" t="s">
        <v>3330</v>
      </c>
    </row>
    <row r="883" spans="1:14">
      <c r="A883">
        <v>2731</v>
      </c>
      <c r="B883" t="s">
        <v>834</v>
      </c>
      <c r="C883">
        <v>145</v>
      </c>
      <c r="D883">
        <v>144</v>
      </c>
      <c r="E883" s="178">
        <v>-1</v>
      </c>
      <c r="F883" s="176">
        <v>-0.69</v>
      </c>
      <c r="G883" t="s">
        <v>6255</v>
      </c>
      <c r="H883">
        <v>192</v>
      </c>
      <c r="I883">
        <v>172</v>
      </c>
      <c r="J883">
        <v>9.33</v>
      </c>
      <c r="K883">
        <v>145.5</v>
      </c>
      <c r="L883">
        <v>144</v>
      </c>
      <c r="M883" s="175">
        <v>0.21</v>
      </c>
      <c r="N883" t="s">
        <v>3523</v>
      </c>
    </row>
    <row r="884" spans="1:14">
      <c r="A884">
        <v>2732</v>
      </c>
      <c r="B884" t="s">
        <v>835</v>
      </c>
      <c r="C884">
        <v>64.8</v>
      </c>
      <c r="D884">
        <v>64.3</v>
      </c>
      <c r="E884" s="178">
        <v>-0.5</v>
      </c>
      <c r="F884" s="176">
        <v>-0.77</v>
      </c>
      <c r="G884" t="s">
        <v>5223</v>
      </c>
      <c r="H884">
        <v>17</v>
      </c>
      <c r="I884">
        <v>21</v>
      </c>
      <c r="J884">
        <v>4.6500000000000004</v>
      </c>
      <c r="K884">
        <v>65.099999999999994</v>
      </c>
      <c r="L884">
        <v>64.2</v>
      </c>
      <c r="M884" s="175">
        <v>0.04</v>
      </c>
      <c r="N884" t="s">
        <v>1665</v>
      </c>
    </row>
    <row r="885" spans="1:14">
      <c r="A885">
        <v>2734</v>
      </c>
      <c r="B885" t="s">
        <v>836</v>
      </c>
      <c r="C885">
        <v>14.85</v>
      </c>
      <c r="D885">
        <v>15</v>
      </c>
      <c r="E885" s="178">
        <v>0.15</v>
      </c>
      <c r="F885" s="176">
        <v>1.01</v>
      </c>
      <c r="G885" t="s">
        <v>5286</v>
      </c>
      <c r="H885">
        <v>96</v>
      </c>
      <c r="I885">
        <v>55</v>
      </c>
      <c r="J885">
        <v>5.73</v>
      </c>
      <c r="K885">
        <v>15</v>
      </c>
      <c r="L885">
        <v>14.6</v>
      </c>
      <c r="M885" s="175">
        <v>0.17</v>
      </c>
      <c r="N885" t="s">
        <v>4747</v>
      </c>
    </row>
    <row r="886" spans="1:14">
      <c r="A886">
        <v>2736</v>
      </c>
      <c r="B886" t="s">
        <v>2052</v>
      </c>
      <c r="C886">
        <v>12.15</v>
      </c>
      <c r="D886">
        <v>12</v>
      </c>
      <c r="E886" s="178">
        <v>-0.05</v>
      </c>
      <c r="F886" s="176">
        <v>-0.41</v>
      </c>
      <c r="G886" t="s">
        <v>6256</v>
      </c>
      <c r="H886">
        <v>54</v>
      </c>
      <c r="I886">
        <v>121</v>
      </c>
      <c r="J886">
        <v>8</v>
      </c>
      <c r="K886">
        <v>12.2</v>
      </c>
      <c r="L886">
        <v>11.95</v>
      </c>
      <c r="M886" s="175">
        <v>7.0000000000000007E-2</v>
      </c>
      <c r="N886" t="s">
        <v>1666</v>
      </c>
    </row>
    <row r="887" spans="1:14">
      <c r="A887">
        <v>2739</v>
      </c>
      <c r="B887" t="s">
        <v>2146</v>
      </c>
      <c r="C887">
        <v>37.9</v>
      </c>
      <c r="D887">
        <v>37.85</v>
      </c>
      <c r="E887" s="178">
        <v>0.1</v>
      </c>
      <c r="F887" s="176">
        <v>0.26</v>
      </c>
      <c r="G887" t="s">
        <v>5396</v>
      </c>
      <c r="H887">
        <v>60</v>
      </c>
      <c r="I887">
        <v>174</v>
      </c>
      <c r="J887">
        <v>9.15</v>
      </c>
      <c r="K887">
        <v>37.9</v>
      </c>
      <c r="L887">
        <v>37.049999999999997</v>
      </c>
      <c r="M887" s="175">
        <v>7.0000000000000007E-2</v>
      </c>
      <c r="N887" t="s">
        <v>2147</v>
      </c>
    </row>
    <row r="888" spans="1:14">
      <c r="A888">
        <v>2740</v>
      </c>
      <c r="B888" t="s">
        <v>4955</v>
      </c>
      <c r="C888">
        <v>30.5</v>
      </c>
      <c r="D888">
        <v>30.95</v>
      </c>
      <c r="E888" s="178">
        <v>0.05</v>
      </c>
      <c r="F888" s="176">
        <v>0.16</v>
      </c>
      <c r="G888" t="s">
        <v>6257</v>
      </c>
      <c r="H888">
        <v>2</v>
      </c>
      <c r="I888">
        <v>3</v>
      </c>
      <c r="J888">
        <v>1.68</v>
      </c>
      <c r="K888">
        <v>30.95</v>
      </c>
      <c r="L888">
        <v>30.5</v>
      </c>
      <c r="M888" s="175">
        <v>0.01</v>
      </c>
      <c r="N888" t="s">
        <v>4988</v>
      </c>
    </row>
    <row r="889" spans="1:14">
      <c r="A889">
        <v>2743</v>
      </c>
      <c r="B889" t="s">
        <v>837</v>
      </c>
      <c r="C889">
        <v>58.8</v>
      </c>
      <c r="D889">
        <v>58.8</v>
      </c>
      <c r="E889" s="178">
        <v>-0.5</v>
      </c>
      <c r="F889" s="176">
        <v>-0.84</v>
      </c>
      <c r="G889" t="s">
        <v>5491</v>
      </c>
      <c r="H889">
        <v>33</v>
      </c>
      <c r="I889">
        <v>100</v>
      </c>
      <c r="J889">
        <v>4.68</v>
      </c>
      <c r="K889">
        <v>59.2</v>
      </c>
      <c r="L889">
        <v>58.5</v>
      </c>
      <c r="M889" s="175">
        <v>7.0000000000000007E-2</v>
      </c>
      <c r="N889" t="s">
        <v>3926</v>
      </c>
    </row>
    <row r="890" spans="1:14">
      <c r="A890">
        <v>2745</v>
      </c>
      <c r="B890" t="s">
        <v>375</v>
      </c>
      <c r="C890">
        <v>89.8</v>
      </c>
      <c r="D890">
        <v>89</v>
      </c>
      <c r="E890" s="178">
        <v>-0.4</v>
      </c>
      <c r="F890" s="176">
        <v>-0.45</v>
      </c>
      <c r="G890" t="s">
        <v>6258</v>
      </c>
      <c r="H890">
        <v>39</v>
      </c>
      <c r="I890">
        <v>58</v>
      </c>
      <c r="J890">
        <v>3.38</v>
      </c>
      <c r="K890">
        <v>89.8</v>
      </c>
      <c r="L890">
        <v>88.1</v>
      </c>
      <c r="M890" s="175">
        <v>0.12</v>
      </c>
      <c r="N890" t="s">
        <v>2241</v>
      </c>
    </row>
    <row r="891" spans="1:14">
      <c r="A891">
        <v>2748</v>
      </c>
      <c r="B891" t="s">
        <v>838</v>
      </c>
      <c r="C891">
        <v>38.85</v>
      </c>
      <c r="D891">
        <v>38.799999999999997</v>
      </c>
      <c r="E891" s="178">
        <v>0.05</v>
      </c>
      <c r="F891" s="176">
        <v>0.13</v>
      </c>
      <c r="G891" t="s">
        <v>5385</v>
      </c>
      <c r="H891">
        <v>78</v>
      </c>
      <c r="I891">
        <v>50</v>
      </c>
      <c r="J891">
        <v>10.58</v>
      </c>
      <c r="K891">
        <v>38.9</v>
      </c>
      <c r="L891">
        <v>38.549999999999997</v>
      </c>
      <c r="M891" s="175">
        <v>7.0000000000000007E-2</v>
      </c>
      <c r="N891" t="s">
        <v>3331</v>
      </c>
    </row>
    <row r="892" spans="1:14">
      <c r="A892">
        <v>2751</v>
      </c>
      <c r="B892" t="s">
        <v>4025</v>
      </c>
      <c r="C892">
        <v>52.7</v>
      </c>
      <c r="D892">
        <v>51.9</v>
      </c>
      <c r="E892" s="178">
        <v>-1.6</v>
      </c>
      <c r="F892" s="176">
        <v>-2.99</v>
      </c>
      <c r="G892" t="s">
        <v>5145</v>
      </c>
      <c r="H892">
        <v>22</v>
      </c>
      <c r="I892">
        <v>9</v>
      </c>
      <c r="J892">
        <v>1.98</v>
      </c>
      <c r="K892">
        <v>52.7</v>
      </c>
      <c r="L892">
        <v>51.9</v>
      </c>
      <c r="M892" s="175">
        <v>0.11</v>
      </c>
      <c r="N892" t="s">
        <v>4026</v>
      </c>
    </row>
    <row r="893" spans="1:14">
      <c r="A893">
        <v>2752</v>
      </c>
      <c r="B893" t="s">
        <v>380</v>
      </c>
      <c r="C893">
        <v>180</v>
      </c>
      <c r="D893">
        <v>179</v>
      </c>
      <c r="E893" s="178">
        <v>-1</v>
      </c>
      <c r="F893" s="176">
        <v>-0.56000000000000005</v>
      </c>
      <c r="G893" t="s">
        <v>5289</v>
      </c>
      <c r="H893">
        <v>6</v>
      </c>
      <c r="I893">
        <v>3</v>
      </c>
      <c r="J893">
        <v>2.67</v>
      </c>
      <c r="K893">
        <v>180</v>
      </c>
      <c r="L893">
        <v>179</v>
      </c>
      <c r="M893" s="175">
        <v>0.02</v>
      </c>
      <c r="N893" t="s">
        <v>3332</v>
      </c>
    </row>
    <row r="894" spans="1:14">
      <c r="A894">
        <v>2753</v>
      </c>
      <c r="B894" t="s">
        <v>1668</v>
      </c>
      <c r="C894">
        <v>179</v>
      </c>
      <c r="D894">
        <v>182</v>
      </c>
      <c r="E894" s="178">
        <v>2</v>
      </c>
      <c r="F894" s="176">
        <v>1.1100000000000001</v>
      </c>
      <c r="G894" t="s">
        <v>6259</v>
      </c>
      <c r="H894">
        <v>140</v>
      </c>
      <c r="I894">
        <v>175</v>
      </c>
      <c r="J894">
        <v>7</v>
      </c>
      <c r="K894">
        <v>182.5</v>
      </c>
      <c r="L894">
        <v>179</v>
      </c>
      <c r="M894" s="175">
        <v>0.2</v>
      </c>
      <c r="N894" t="s">
        <v>3333</v>
      </c>
    </row>
    <row r="895" spans="1:14">
      <c r="A895">
        <v>2754</v>
      </c>
      <c r="B895" t="s">
        <v>839</v>
      </c>
      <c r="C895">
        <v>69.599999999999994</v>
      </c>
      <c r="D895">
        <v>68.599999999999994</v>
      </c>
      <c r="E895" s="178">
        <v>-1.3</v>
      </c>
      <c r="F895" s="176">
        <v>-1.86</v>
      </c>
      <c r="G895" t="s">
        <v>5594</v>
      </c>
      <c r="H895">
        <v>14</v>
      </c>
      <c r="I895">
        <v>19</v>
      </c>
      <c r="J895">
        <v>4.6900000000000004</v>
      </c>
      <c r="K895">
        <v>69.599999999999994</v>
      </c>
      <c r="L895">
        <v>68.599999999999994</v>
      </c>
      <c r="M895" s="175">
        <v>0.03</v>
      </c>
      <c r="N895" t="s">
        <v>3215</v>
      </c>
    </row>
    <row r="896" spans="1:14">
      <c r="A896">
        <v>2755</v>
      </c>
      <c r="B896" t="s">
        <v>840</v>
      </c>
      <c r="C896">
        <v>102</v>
      </c>
      <c r="D896">
        <v>102</v>
      </c>
      <c r="E896" s="178">
        <v>0</v>
      </c>
      <c r="F896" s="176">
        <v>0</v>
      </c>
      <c r="G896" t="s">
        <v>5229</v>
      </c>
      <c r="H896">
        <v>14</v>
      </c>
      <c r="I896">
        <v>21</v>
      </c>
      <c r="J896">
        <v>4.68</v>
      </c>
      <c r="K896">
        <v>102</v>
      </c>
      <c r="L896">
        <v>101.5</v>
      </c>
      <c r="M896" s="175">
        <v>0.03</v>
      </c>
      <c r="N896" t="s">
        <v>4989</v>
      </c>
    </row>
    <row r="897" spans="1:14">
      <c r="A897">
        <v>2756</v>
      </c>
      <c r="B897" t="s">
        <v>2069</v>
      </c>
      <c r="C897">
        <v>62.4</v>
      </c>
      <c r="D897">
        <v>62.3</v>
      </c>
      <c r="E897" s="178">
        <v>-1.1000000000000001</v>
      </c>
      <c r="F897" s="176">
        <v>-1.74</v>
      </c>
      <c r="G897" t="s">
        <v>5384</v>
      </c>
      <c r="H897">
        <v>9</v>
      </c>
      <c r="I897">
        <v>13</v>
      </c>
      <c r="J897">
        <v>2.46</v>
      </c>
      <c r="K897">
        <v>62.7</v>
      </c>
      <c r="L897">
        <v>60.5</v>
      </c>
      <c r="M897" s="175">
        <v>0.04</v>
      </c>
      <c r="N897" t="s">
        <v>4990</v>
      </c>
    </row>
    <row r="898" spans="1:14">
      <c r="A898">
        <v>2762</v>
      </c>
      <c r="B898" t="s">
        <v>3356</v>
      </c>
      <c r="C898">
        <v>83.3</v>
      </c>
      <c r="D898">
        <v>82.1</v>
      </c>
      <c r="E898" s="178">
        <v>-2</v>
      </c>
      <c r="F898" s="176">
        <v>-2.38</v>
      </c>
      <c r="G898" t="s">
        <v>6260</v>
      </c>
      <c r="H898">
        <v>132</v>
      </c>
      <c r="I898">
        <v>88</v>
      </c>
      <c r="J898">
        <v>11.25</v>
      </c>
      <c r="K898">
        <v>83.6</v>
      </c>
      <c r="L898">
        <v>81.900000000000006</v>
      </c>
      <c r="M898" s="175">
        <v>0.12</v>
      </c>
      <c r="N898" t="s">
        <v>3566</v>
      </c>
    </row>
    <row r="899" spans="1:14">
      <c r="A899">
        <v>2801</v>
      </c>
      <c r="B899" t="s">
        <v>841</v>
      </c>
      <c r="C899">
        <v>24.75</v>
      </c>
      <c r="D899">
        <v>25.15</v>
      </c>
      <c r="E899" s="178">
        <v>0.3</v>
      </c>
      <c r="F899" s="176">
        <v>1.21</v>
      </c>
      <c r="G899" t="s">
        <v>6261</v>
      </c>
      <c r="H899">
        <v>27909</v>
      </c>
      <c r="I899">
        <v>16332</v>
      </c>
      <c r="J899">
        <v>1206.02</v>
      </c>
      <c r="K899">
        <v>25.15</v>
      </c>
      <c r="L899">
        <v>24.65</v>
      </c>
      <c r="M899" s="175">
        <v>0.23</v>
      </c>
      <c r="N899" t="s">
        <v>3877</v>
      </c>
    </row>
    <row r="900" spans="1:14">
      <c r="A900">
        <v>2812</v>
      </c>
      <c r="B900" t="s">
        <v>842</v>
      </c>
      <c r="C900">
        <v>18.8</v>
      </c>
      <c r="D900">
        <v>19.05</v>
      </c>
      <c r="E900" s="178">
        <v>0.2</v>
      </c>
      <c r="F900" s="176">
        <v>1.06</v>
      </c>
      <c r="G900" t="s">
        <v>5935</v>
      </c>
      <c r="H900">
        <v>13588</v>
      </c>
      <c r="I900">
        <v>8545</v>
      </c>
      <c r="J900">
        <v>642.51</v>
      </c>
      <c r="K900">
        <v>19.05</v>
      </c>
      <c r="L900">
        <v>18.75</v>
      </c>
      <c r="M900" s="175">
        <v>0.21</v>
      </c>
      <c r="N900" t="s">
        <v>3524</v>
      </c>
    </row>
    <row r="901" spans="1:14">
      <c r="A901">
        <v>2816</v>
      </c>
      <c r="B901" t="s">
        <v>843</v>
      </c>
      <c r="C901">
        <v>38.299999999999997</v>
      </c>
      <c r="D901">
        <v>39.049999999999997</v>
      </c>
      <c r="E901" s="178">
        <v>0.15</v>
      </c>
      <c r="F901" s="176">
        <v>0.39</v>
      </c>
      <c r="G901" t="s">
        <v>6262</v>
      </c>
      <c r="H901">
        <v>911</v>
      </c>
      <c r="I901">
        <v>1402</v>
      </c>
      <c r="J901">
        <v>22.36</v>
      </c>
      <c r="K901">
        <v>39.049999999999997</v>
      </c>
      <c r="L901">
        <v>37.450000000000003</v>
      </c>
      <c r="M901" s="175">
        <v>0.41</v>
      </c>
      <c r="N901" t="s">
        <v>3567</v>
      </c>
    </row>
    <row r="902" spans="1:14">
      <c r="A902">
        <v>2820</v>
      </c>
      <c r="B902" t="s">
        <v>844</v>
      </c>
      <c r="C902">
        <v>16.600000000000001</v>
      </c>
      <c r="D902">
        <v>16.5</v>
      </c>
      <c r="E902" s="178">
        <v>-0.15</v>
      </c>
      <c r="F902" s="176">
        <v>-0.9</v>
      </c>
      <c r="G902" t="s">
        <v>6263</v>
      </c>
      <c r="H902">
        <v>2886</v>
      </c>
      <c r="I902">
        <v>2401</v>
      </c>
      <c r="J902">
        <v>134.30000000000001</v>
      </c>
      <c r="K902">
        <v>16.649999999999999</v>
      </c>
      <c r="L902">
        <v>16.5</v>
      </c>
      <c r="M902" s="175">
        <v>0.21</v>
      </c>
      <c r="N902" t="s">
        <v>3911</v>
      </c>
    </row>
    <row r="903" spans="1:14">
      <c r="A903">
        <v>2832</v>
      </c>
      <c r="B903" t="s">
        <v>845</v>
      </c>
      <c r="C903">
        <v>59.6</v>
      </c>
      <c r="D903">
        <v>58.3</v>
      </c>
      <c r="E903" s="178">
        <v>-1.6</v>
      </c>
      <c r="F903" s="176">
        <v>-2.67</v>
      </c>
      <c r="G903" t="s">
        <v>6264</v>
      </c>
      <c r="H903">
        <v>606</v>
      </c>
      <c r="I903">
        <v>146</v>
      </c>
      <c r="J903">
        <v>25.35</v>
      </c>
      <c r="K903">
        <v>59.6</v>
      </c>
      <c r="L903">
        <v>57.2</v>
      </c>
      <c r="M903" s="175">
        <v>0.24</v>
      </c>
      <c r="N903" t="s">
        <v>4705</v>
      </c>
    </row>
    <row r="904" spans="1:14">
      <c r="A904">
        <v>2834</v>
      </c>
      <c r="B904" t="s">
        <v>846</v>
      </c>
      <c r="C904">
        <v>16.5</v>
      </c>
      <c r="D904">
        <v>16.95</v>
      </c>
      <c r="E904" s="178">
        <v>0.5</v>
      </c>
      <c r="F904" s="176">
        <v>3.04</v>
      </c>
      <c r="G904" t="s">
        <v>6265</v>
      </c>
      <c r="H904">
        <v>705730</v>
      </c>
      <c r="I904">
        <v>29698</v>
      </c>
      <c r="J904">
        <v>1039.83</v>
      </c>
      <c r="K904">
        <v>16.95</v>
      </c>
      <c r="L904">
        <v>16.45</v>
      </c>
      <c r="M904" s="175">
        <v>6.79</v>
      </c>
      <c r="N904" t="s">
        <v>1669</v>
      </c>
    </row>
    <row r="905" spans="1:14">
      <c r="A905">
        <v>2836</v>
      </c>
      <c r="B905" t="s">
        <v>847</v>
      </c>
      <c r="C905">
        <v>12.05</v>
      </c>
      <c r="D905">
        <v>11.85</v>
      </c>
      <c r="E905" s="178">
        <v>-0.2</v>
      </c>
      <c r="F905" s="176">
        <v>-1.66</v>
      </c>
      <c r="G905" t="s">
        <v>6266</v>
      </c>
      <c r="H905">
        <v>2749</v>
      </c>
      <c r="I905">
        <v>698</v>
      </c>
      <c r="J905">
        <v>185.83</v>
      </c>
      <c r="K905">
        <v>12.05</v>
      </c>
      <c r="L905">
        <v>11.85</v>
      </c>
      <c r="M905" s="175">
        <v>0.15</v>
      </c>
      <c r="N905" t="s">
        <v>2136</v>
      </c>
    </row>
    <row r="906" spans="1:14">
      <c r="A906">
        <v>2838</v>
      </c>
      <c r="B906" t="s">
        <v>848</v>
      </c>
      <c r="C906">
        <v>20.2</v>
      </c>
      <c r="D906">
        <v>20.25</v>
      </c>
      <c r="E906" s="178">
        <v>0.05</v>
      </c>
      <c r="F906" s="176">
        <v>0.25</v>
      </c>
      <c r="G906" t="s">
        <v>6267</v>
      </c>
      <c r="H906">
        <v>2925</v>
      </c>
      <c r="I906">
        <v>1798</v>
      </c>
      <c r="J906">
        <v>460.78</v>
      </c>
      <c r="K906">
        <v>20.3</v>
      </c>
      <c r="L906">
        <v>20.05</v>
      </c>
      <c r="M906" s="175">
        <v>0.06</v>
      </c>
      <c r="N906" t="s">
        <v>1670</v>
      </c>
    </row>
    <row r="907" spans="1:14">
      <c r="A907">
        <v>2845</v>
      </c>
      <c r="B907" t="s">
        <v>849</v>
      </c>
      <c r="C907">
        <v>13.4</v>
      </c>
      <c r="D907">
        <v>13.5</v>
      </c>
      <c r="E907" s="178">
        <v>0.1</v>
      </c>
      <c r="F907" s="176">
        <v>0.75</v>
      </c>
      <c r="G907" t="s">
        <v>5798</v>
      </c>
      <c r="H907">
        <v>24300</v>
      </c>
      <c r="I907">
        <v>13483</v>
      </c>
      <c r="J907">
        <v>486.53</v>
      </c>
      <c r="K907">
        <v>13.5</v>
      </c>
      <c r="L907">
        <v>13.35</v>
      </c>
      <c r="M907" s="175">
        <v>0.5</v>
      </c>
      <c r="N907" t="s">
        <v>1671</v>
      </c>
    </row>
    <row r="908" spans="1:14">
      <c r="A908">
        <v>2849</v>
      </c>
      <c r="B908" t="s">
        <v>850</v>
      </c>
      <c r="C908">
        <v>14.35</v>
      </c>
      <c r="D908">
        <v>14.2</v>
      </c>
      <c r="E908" s="178">
        <v>-0.2</v>
      </c>
      <c r="F908" s="176">
        <v>-1.39</v>
      </c>
      <c r="G908" t="s">
        <v>5516</v>
      </c>
      <c r="H908">
        <v>431</v>
      </c>
      <c r="I908">
        <v>80</v>
      </c>
      <c r="J908">
        <v>195.76</v>
      </c>
      <c r="K908">
        <v>14.4</v>
      </c>
      <c r="L908">
        <v>14.05</v>
      </c>
      <c r="M908" s="175">
        <v>0.03</v>
      </c>
      <c r="N908" t="s">
        <v>1672</v>
      </c>
    </row>
    <row r="909" spans="1:14">
      <c r="A909">
        <v>2850</v>
      </c>
      <c r="B909" t="s">
        <v>851</v>
      </c>
      <c r="C909">
        <v>160</v>
      </c>
      <c r="D909">
        <v>159</v>
      </c>
      <c r="E909" s="178">
        <v>-1.5</v>
      </c>
      <c r="F909" s="176">
        <v>-0.93</v>
      </c>
      <c r="G909" t="s">
        <v>6268</v>
      </c>
      <c r="H909">
        <v>331</v>
      </c>
      <c r="I909">
        <v>200</v>
      </c>
      <c r="J909">
        <v>31.6</v>
      </c>
      <c r="K909">
        <v>160</v>
      </c>
      <c r="L909">
        <v>158</v>
      </c>
      <c r="M909" s="175">
        <v>0.1</v>
      </c>
      <c r="N909" t="s">
        <v>3878</v>
      </c>
    </row>
    <row r="910" spans="1:14">
      <c r="A910">
        <v>2851</v>
      </c>
      <c r="B910" t="s">
        <v>852</v>
      </c>
      <c r="C910">
        <v>44.6</v>
      </c>
      <c r="D910">
        <v>46.2</v>
      </c>
      <c r="E910" s="178">
        <v>1.1000000000000001</v>
      </c>
      <c r="F910" s="176">
        <v>2.44</v>
      </c>
      <c r="G910" t="s">
        <v>5383</v>
      </c>
      <c r="H910">
        <v>4592</v>
      </c>
      <c r="I910">
        <v>5180</v>
      </c>
      <c r="J910">
        <v>80.040000000000006</v>
      </c>
      <c r="K910">
        <v>46.2</v>
      </c>
      <c r="L910">
        <v>44.25</v>
      </c>
      <c r="M910" s="175">
        <v>0.56999999999999995</v>
      </c>
      <c r="N910" t="s">
        <v>3525</v>
      </c>
    </row>
    <row r="911" spans="1:14">
      <c r="A911">
        <v>2852</v>
      </c>
      <c r="B911" t="s">
        <v>853</v>
      </c>
      <c r="C911">
        <v>27.95</v>
      </c>
      <c r="D911">
        <v>28.15</v>
      </c>
      <c r="E911" s="178">
        <v>0.05</v>
      </c>
      <c r="F911" s="176">
        <v>0.18</v>
      </c>
      <c r="G911" t="s">
        <v>6269</v>
      </c>
      <c r="H911">
        <v>519</v>
      </c>
      <c r="I911">
        <v>1168</v>
      </c>
      <c r="J911">
        <v>30.12</v>
      </c>
      <c r="K911">
        <v>28.15</v>
      </c>
      <c r="L911">
        <v>27.85</v>
      </c>
      <c r="M911" s="175">
        <v>0.17</v>
      </c>
      <c r="N911" t="s">
        <v>3216</v>
      </c>
    </row>
    <row r="912" spans="1:14">
      <c r="A912">
        <v>2855</v>
      </c>
      <c r="B912" t="s">
        <v>854</v>
      </c>
      <c r="C912">
        <v>48.3</v>
      </c>
      <c r="D912">
        <v>49.55</v>
      </c>
      <c r="E912" s="178">
        <v>1</v>
      </c>
      <c r="F912" s="176">
        <v>2.06</v>
      </c>
      <c r="G912" t="s">
        <v>5500</v>
      </c>
      <c r="H912">
        <v>3511</v>
      </c>
      <c r="I912">
        <v>3398</v>
      </c>
      <c r="J912">
        <v>160.13999999999999</v>
      </c>
      <c r="K912">
        <v>49.55</v>
      </c>
      <c r="L912">
        <v>47.75</v>
      </c>
      <c r="M912" s="175">
        <v>0.22</v>
      </c>
      <c r="N912" t="s">
        <v>3334</v>
      </c>
    </row>
    <row r="913" spans="1:14">
      <c r="A913">
        <v>2880</v>
      </c>
      <c r="B913" t="s">
        <v>855</v>
      </c>
      <c r="C913">
        <v>40.25</v>
      </c>
      <c r="D913">
        <v>41.35</v>
      </c>
      <c r="E913" s="178">
        <v>1.1000000000000001</v>
      </c>
      <c r="F913" s="176">
        <v>2.73</v>
      </c>
      <c r="G913" t="s">
        <v>5682</v>
      </c>
      <c r="H913">
        <v>48355</v>
      </c>
      <c r="I913">
        <v>16805</v>
      </c>
      <c r="J913">
        <v>1405.61</v>
      </c>
      <c r="K913">
        <v>41.4</v>
      </c>
      <c r="L913">
        <v>40.200000000000003</v>
      </c>
      <c r="M913" s="175">
        <v>0.34</v>
      </c>
      <c r="N913" t="s">
        <v>3217</v>
      </c>
    </row>
    <row r="914" spans="1:14">
      <c r="A914">
        <v>2881</v>
      </c>
      <c r="B914" t="s">
        <v>1673</v>
      </c>
      <c r="C914">
        <v>143</v>
      </c>
      <c r="D914">
        <v>144</v>
      </c>
      <c r="E914" s="178">
        <v>0</v>
      </c>
      <c r="F914" s="176">
        <v>0</v>
      </c>
      <c r="G914" t="s">
        <v>6270</v>
      </c>
      <c r="H914">
        <v>33170</v>
      </c>
      <c r="I914">
        <v>25532</v>
      </c>
      <c r="J914">
        <v>1400.74</v>
      </c>
      <c r="K914">
        <v>145</v>
      </c>
      <c r="L914">
        <v>142</v>
      </c>
      <c r="M914" s="175">
        <v>0.24</v>
      </c>
      <c r="N914" t="s">
        <v>2102</v>
      </c>
    </row>
    <row r="915" spans="1:14">
      <c r="A915">
        <v>2882</v>
      </c>
      <c r="B915" t="s">
        <v>250</v>
      </c>
      <c r="C915">
        <v>106.5</v>
      </c>
      <c r="D915">
        <v>110.5</v>
      </c>
      <c r="E915" s="178">
        <v>5</v>
      </c>
      <c r="F915" s="176">
        <v>4.74</v>
      </c>
      <c r="G915" t="s">
        <v>6271</v>
      </c>
      <c r="H915">
        <v>59520</v>
      </c>
      <c r="I915">
        <v>20395</v>
      </c>
      <c r="J915">
        <v>1466.92</v>
      </c>
      <c r="K915">
        <v>111</v>
      </c>
      <c r="L915">
        <v>105.5</v>
      </c>
      <c r="M915" s="175">
        <v>0.41</v>
      </c>
      <c r="N915" t="s">
        <v>2103</v>
      </c>
    </row>
    <row r="916" spans="1:14">
      <c r="A916">
        <v>2883</v>
      </c>
      <c r="B916" t="s">
        <v>4068</v>
      </c>
      <c r="C916">
        <v>32.700000000000003</v>
      </c>
      <c r="D916">
        <v>33.85</v>
      </c>
      <c r="E916" s="178">
        <v>1.1000000000000001</v>
      </c>
      <c r="F916" s="176">
        <v>3.36</v>
      </c>
      <c r="G916" t="s">
        <v>6272</v>
      </c>
      <c r="H916">
        <v>101213</v>
      </c>
      <c r="I916">
        <v>39185</v>
      </c>
      <c r="J916">
        <v>1697.46</v>
      </c>
      <c r="K916">
        <v>33.85</v>
      </c>
      <c r="L916">
        <v>32.549999999999997</v>
      </c>
      <c r="M916" s="175">
        <v>0.6</v>
      </c>
      <c r="N916" t="s">
        <v>1674</v>
      </c>
    </row>
    <row r="917" spans="1:14">
      <c r="A917">
        <v>2884</v>
      </c>
      <c r="B917" t="s">
        <v>398</v>
      </c>
      <c r="C917">
        <v>38.5</v>
      </c>
      <c r="D917">
        <v>39.75</v>
      </c>
      <c r="E917" s="178">
        <v>1</v>
      </c>
      <c r="F917" s="176">
        <v>2.58</v>
      </c>
      <c r="G917" t="s">
        <v>6273</v>
      </c>
      <c r="H917">
        <v>74335</v>
      </c>
      <c r="I917">
        <v>27119</v>
      </c>
      <c r="J917">
        <v>1619.2</v>
      </c>
      <c r="K917">
        <v>39.75</v>
      </c>
      <c r="L917">
        <v>38.5</v>
      </c>
      <c r="M917" s="175">
        <v>0.42</v>
      </c>
      <c r="N917" t="s">
        <v>2093</v>
      </c>
    </row>
    <row r="918" spans="1:14">
      <c r="A918">
        <v>2885</v>
      </c>
      <c r="B918" t="s">
        <v>856</v>
      </c>
      <c r="C918">
        <v>63.6</v>
      </c>
      <c r="D918">
        <v>65.400000000000006</v>
      </c>
      <c r="E918" s="178">
        <v>1.4</v>
      </c>
      <c r="F918" s="176">
        <v>2.19</v>
      </c>
      <c r="G918" t="s">
        <v>6274</v>
      </c>
      <c r="H918">
        <v>55679</v>
      </c>
      <c r="I918">
        <v>15510</v>
      </c>
      <c r="J918">
        <v>1386.44</v>
      </c>
      <c r="K918">
        <v>65.400000000000006</v>
      </c>
      <c r="L918">
        <v>63.4</v>
      </c>
      <c r="M918" s="175">
        <v>0.4</v>
      </c>
      <c r="N918" t="s">
        <v>2104</v>
      </c>
    </row>
    <row r="919" spans="1:14">
      <c r="A919">
        <v>2886</v>
      </c>
      <c r="B919" t="s">
        <v>857</v>
      </c>
      <c r="C919">
        <v>47.9</v>
      </c>
      <c r="D919">
        <v>48.55</v>
      </c>
      <c r="E919" s="178">
        <v>0.35</v>
      </c>
      <c r="F919" s="176">
        <v>0.73</v>
      </c>
      <c r="G919" t="s">
        <v>6275</v>
      </c>
      <c r="H919">
        <v>33764</v>
      </c>
      <c r="I919">
        <v>30428</v>
      </c>
      <c r="J919">
        <v>1483.34</v>
      </c>
      <c r="K919">
        <v>48.6</v>
      </c>
      <c r="L919">
        <v>47.75</v>
      </c>
      <c r="M919" s="175">
        <v>0.23</v>
      </c>
      <c r="N919" t="s">
        <v>2091</v>
      </c>
    </row>
    <row r="920" spans="1:14">
      <c r="A920">
        <v>2887</v>
      </c>
      <c r="B920" t="s">
        <v>4601</v>
      </c>
      <c r="C920">
        <v>37.5</v>
      </c>
      <c r="D920">
        <v>38.549999999999997</v>
      </c>
      <c r="E920" s="178">
        <v>1.05</v>
      </c>
      <c r="F920" s="176">
        <v>2.8</v>
      </c>
      <c r="G920" t="s">
        <v>6276</v>
      </c>
      <c r="H920">
        <v>177297</v>
      </c>
      <c r="I920">
        <v>36183</v>
      </c>
      <c r="J920">
        <v>2511.5100000000002</v>
      </c>
      <c r="K920">
        <v>38.799999999999997</v>
      </c>
      <c r="L920">
        <v>37.35</v>
      </c>
      <c r="M920" s="175">
        <v>0.71</v>
      </c>
      <c r="N920" t="s">
        <v>1675</v>
      </c>
    </row>
    <row r="921" spans="1:14">
      <c r="A921">
        <v>2889</v>
      </c>
      <c r="B921" t="s">
        <v>858</v>
      </c>
      <c r="C921">
        <v>15.9</v>
      </c>
      <c r="D921">
        <v>15.95</v>
      </c>
      <c r="E921" s="178">
        <v>0.05</v>
      </c>
      <c r="F921" s="176">
        <v>0.31</v>
      </c>
      <c r="G921" t="s">
        <v>5777</v>
      </c>
      <c r="H921">
        <v>29016</v>
      </c>
      <c r="I921">
        <v>18441</v>
      </c>
      <c r="J921">
        <v>363.36</v>
      </c>
      <c r="K921">
        <v>16.05</v>
      </c>
      <c r="L921">
        <v>15.8</v>
      </c>
      <c r="M921" s="175">
        <v>0.79</v>
      </c>
      <c r="N921" t="s">
        <v>1676</v>
      </c>
    </row>
    <row r="922" spans="1:14">
      <c r="A922">
        <v>2890</v>
      </c>
      <c r="B922" t="s">
        <v>859</v>
      </c>
      <c r="C922">
        <v>39.65</v>
      </c>
      <c r="D922">
        <v>41.1</v>
      </c>
      <c r="E922" s="178">
        <v>1.3</v>
      </c>
      <c r="F922" s="176">
        <v>3.27</v>
      </c>
      <c r="G922" t="s">
        <v>6277</v>
      </c>
      <c r="H922">
        <v>62608</v>
      </c>
      <c r="I922">
        <v>18078</v>
      </c>
      <c r="J922">
        <v>1478.22</v>
      </c>
      <c r="K922">
        <v>41.1</v>
      </c>
      <c r="L922">
        <v>39.6</v>
      </c>
      <c r="M922" s="175">
        <v>0.42</v>
      </c>
      <c r="N922" t="s">
        <v>1677</v>
      </c>
    </row>
    <row r="923" spans="1:14">
      <c r="A923">
        <v>2891</v>
      </c>
      <c r="B923" t="s">
        <v>860</v>
      </c>
      <c r="C923">
        <v>63.5</v>
      </c>
      <c r="D923">
        <v>64.7</v>
      </c>
      <c r="E923" s="178">
        <v>0.3</v>
      </c>
      <c r="F923" s="176">
        <v>0.47</v>
      </c>
      <c r="G923" t="s">
        <v>6277</v>
      </c>
      <c r="H923">
        <v>39440</v>
      </c>
      <c r="I923">
        <v>25550</v>
      </c>
      <c r="J923">
        <v>1967.59</v>
      </c>
      <c r="K923">
        <v>65</v>
      </c>
      <c r="L923">
        <v>63.5</v>
      </c>
      <c r="M923" s="175">
        <v>0.2</v>
      </c>
      <c r="N923" t="s">
        <v>1678</v>
      </c>
    </row>
    <row r="924" spans="1:14">
      <c r="A924">
        <v>2892</v>
      </c>
      <c r="B924" t="s">
        <v>861</v>
      </c>
      <c r="C924">
        <v>34.299999999999997</v>
      </c>
      <c r="D924">
        <v>35.299999999999997</v>
      </c>
      <c r="E924" s="178">
        <v>0.9</v>
      </c>
      <c r="F924" s="176">
        <v>2.62</v>
      </c>
      <c r="G924" t="s">
        <v>6278</v>
      </c>
      <c r="H924">
        <v>87667</v>
      </c>
      <c r="I924">
        <v>37254</v>
      </c>
      <c r="J924">
        <v>1437.95</v>
      </c>
      <c r="K924">
        <v>35.299999999999997</v>
      </c>
      <c r="L924">
        <v>34.299999999999997</v>
      </c>
      <c r="M924" s="175">
        <v>0.61</v>
      </c>
      <c r="N924" t="s">
        <v>1679</v>
      </c>
    </row>
    <row r="925" spans="1:14">
      <c r="A925">
        <v>2897</v>
      </c>
      <c r="B925" t="s">
        <v>322</v>
      </c>
      <c r="C925">
        <v>10.35</v>
      </c>
      <c r="D925">
        <v>10.35</v>
      </c>
      <c r="E925" s="178">
        <v>0</v>
      </c>
      <c r="F925" s="176">
        <v>0</v>
      </c>
      <c r="G925" t="s">
        <v>6279</v>
      </c>
      <c r="H925">
        <v>2582</v>
      </c>
      <c r="I925">
        <v>3971</v>
      </c>
      <c r="J925">
        <v>280.54000000000002</v>
      </c>
      <c r="K925">
        <v>10.45</v>
      </c>
      <c r="L925">
        <v>10.35</v>
      </c>
      <c r="M925" s="175">
        <v>0.09</v>
      </c>
      <c r="N925" t="s">
        <v>3132</v>
      </c>
    </row>
    <row r="926" spans="1:14">
      <c r="A926">
        <v>2901</v>
      </c>
      <c r="B926" t="s">
        <v>862</v>
      </c>
      <c r="C926">
        <v>23.8</v>
      </c>
      <c r="D926">
        <v>23.4</v>
      </c>
      <c r="E926" s="178">
        <v>-0.25</v>
      </c>
      <c r="F926" s="176">
        <v>-1.06</v>
      </c>
      <c r="G926" t="s">
        <v>6280</v>
      </c>
      <c r="H926">
        <v>12</v>
      </c>
      <c r="I926">
        <v>6</v>
      </c>
      <c r="J926">
        <v>7.3</v>
      </c>
      <c r="K926">
        <v>23.8</v>
      </c>
      <c r="L926">
        <v>23.4</v>
      </c>
      <c r="M926" s="175">
        <v>0.02</v>
      </c>
      <c r="N926" t="s">
        <v>1680</v>
      </c>
    </row>
    <row r="927" spans="1:14">
      <c r="A927">
        <v>2903</v>
      </c>
      <c r="B927" t="s">
        <v>863</v>
      </c>
      <c r="C927">
        <v>22.4</v>
      </c>
      <c r="D927">
        <v>22.35</v>
      </c>
      <c r="E927" s="178">
        <v>0.25</v>
      </c>
      <c r="F927" s="176">
        <v>1.1299999999999999</v>
      </c>
      <c r="G927" t="s">
        <v>5879</v>
      </c>
      <c r="H927">
        <v>2214</v>
      </c>
      <c r="I927">
        <v>1595</v>
      </c>
      <c r="J927">
        <v>141.69</v>
      </c>
      <c r="K927">
        <v>22.55</v>
      </c>
      <c r="L927">
        <v>22.2</v>
      </c>
      <c r="M927" s="175">
        <v>0.16</v>
      </c>
      <c r="N927" t="s">
        <v>4189</v>
      </c>
    </row>
    <row r="928" spans="1:14">
      <c r="A928">
        <v>2904</v>
      </c>
      <c r="B928" t="s">
        <v>864</v>
      </c>
      <c r="C928">
        <v>13</v>
      </c>
      <c r="D928">
        <v>12.9</v>
      </c>
      <c r="E928" s="178">
        <v>-0.05</v>
      </c>
      <c r="F928" s="176">
        <v>-0.39</v>
      </c>
      <c r="G928" t="s">
        <v>6281</v>
      </c>
      <c r="H928">
        <v>34</v>
      </c>
      <c r="I928">
        <v>38</v>
      </c>
      <c r="J928">
        <v>7.78</v>
      </c>
      <c r="K928">
        <v>13.05</v>
      </c>
      <c r="L928">
        <v>12.85</v>
      </c>
      <c r="M928" s="175">
        <v>0.04</v>
      </c>
      <c r="N928" t="s">
        <v>3879</v>
      </c>
    </row>
    <row r="929" spans="1:14">
      <c r="A929">
        <v>2905</v>
      </c>
      <c r="B929" t="s">
        <v>865</v>
      </c>
      <c r="C929">
        <v>17.2</v>
      </c>
      <c r="D929">
        <v>17.5</v>
      </c>
      <c r="E929" s="178">
        <v>0.35</v>
      </c>
      <c r="F929" s="176">
        <v>2.04</v>
      </c>
      <c r="G929" t="s">
        <v>6282</v>
      </c>
      <c r="H929">
        <v>1592</v>
      </c>
      <c r="I929">
        <v>1113</v>
      </c>
      <c r="J929">
        <v>111.04</v>
      </c>
      <c r="K929">
        <v>17.5</v>
      </c>
      <c r="L929">
        <v>17</v>
      </c>
      <c r="M929" s="175">
        <v>0.14000000000000001</v>
      </c>
      <c r="N929" t="s">
        <v>4991</v>
      </c>
    </row>
    <row r="930" spans="1:14">
      <c r="A930">
        <v>2906</v>
      </c>
      <c r="B930" t="s">
        <v>866</v>
      </c>
      <c r="C930">
        <v>13.95</v>
      </c>
      <c r="D930">
        <v>13.8</v>
      </c>
      <c r="E930" s="178">
        <v>-0.3</v>
      </c>
      <c r="F930" s="176">
        <v>-2.13</v>
      </c>
      <c r="G930" t="s">
        <v>5240</v>
      </c>
      <c r="H930">
        <v>99</v>
      </c>
      <c r="I930">
        <v>223</v>
      </c>
      <c r="J930">
        <v>20.91</v>
      </c>
      <c r="K930">
        <v>14</v>
      </c>
      <c r="L930">
        <v>13.8</v>
      </c>
      <c r="M930" s="175">
        <v>0.05</v>
      </c>
      <c r="N930" t="s">
        <v>4364</v>
      </c>
    </row>
    <row r="931" spans="1:14">
      <c r="A931">
        <v>2908</v>
      </c>
      <c r="B931" t="s">
        <v>867</v>
      </c>
      <c r="C931">
        <v>21.9</v>
      </c>
      <c r="D931">
        <v>21.9</v>
      </c>
      <c r="E931" s="178">
        <v>-0.05</v>
      </c>
      <c r="F931" s="176">
        <v>-0.23</v>
      </c>
      <c r="G931" t="s">
        <v>6283</v>
      </c>
      <c r="H931">
        <v>250</v>
      </c>
      <c r="I931">
        <v>210</v>
      </c>
      <c r="J931">
        <v>50.99</v>
      </c>
      <c r="K931">
        <v>21.9</v>
      </c>
      <c r="L931">
        <v>21.65</v>
      </c>
      <c r="M931" s="175">
        <v>0.05</v>
      </c>
      <c r="N931" t="s">
        <v>3218</v>
      </c>
    </row>
    <row r="932" spans="1:14">
      <c r="A932">
        <v>2910</v>
      </c>
      <c r="B932" t="s">
        <v>868</v>
      </c>
      <c r="C932">
        <v>24.1</v>
      </c>
      <c r="D932">
        <v>24.15</v>
      </c>
      <c r="E932" s="178">
        <v>-0.1</v>
      </c>
      <c r="F932" s="176">
        <v>-0.41</v>
      </c>
      <c r="G932" t="s">
        <v>6284</v>
      </c>
      <c r="H932">
        <v>16</v>
      </c>
      <c r="I932">
        <v>9</v>
      </c>
      <c r="J932">
        <v>17.54</v>
      </c>
      <c r="K932">
        <v>24.35</v>
      </c>
      <c r="L932">
        <v>24.05</v>
      </c>
      <c r="M932" s="175">
        <v>0.01</v>
      </c>
      <c r="N932" t="s">
        <v>4365</v>
      </c>
    </row>
    <row r="933" spans="1:14">
      <c r="A933">
        <v>2911</v>
      </c>
      <c r="B933" t="s">
        <v>4017</v>
      </c>
      <c r="C933">
        <v>6.46</v>
      </c>
      <c r="D933">
        <v>6.44</v>
      </c>
      <c r="E933" s="178">
        <v>-0.02</v>
      </c>
      <c r="F933" s="176">
        <v>-0.31</v>
      </c>
      <c r="G933" t="s">
        <v>5706</v>
      </c>
      <c r="H933">
        <v>57</v>
      </c>
      <c r="I933">
        <v>112</v>
      </c>
      <c r="J933">
        <v>10.51</v>
      </c>
      <c r="K933">
        <v>6.46</v>
      </c>
      <c r="L933">
        <v>6.39</v>
      </c>
      <c r="M933" s="175">
        <v>0.05</v>
      </c>
      <c r="N933" t="s">
        <v>4018</v>
      </c>
    </row>
    <row r="934" spans="1:14">
      <c r="A934">
        <v>2912</v>
      </c>
      <c r="B934" t="s">
        <v>869</v>
      </c>
      <c r="C934">
        <v>219</v>
      </c>
      <c r="D934">
        <v>216.5</v>
      </c>
      <c r="E934" s="178">
        <v>-2</v>
      </c>
      <c r="F934" s="176">
        <v>-0.92</v>
      </c>
      <c r="G934" t="s">
        <v>6285</v>
      </c>
      <c r="H934">
        <v>2602</v>
      </c>
      <c r="I934">
        <v>1303</v>
      </c>
      <c r="J934">
        <v>103.96</v>
      </c>
      <c r="K934">
        <v>219.5</v>
      </c>
      <c r="L934">
        <v>216.5</v>
      </c>
      <c r="M934" s="175">
        <v>0.25</v>
      </c>
      <c r="N934" t="s">
        <v>3170</v>
      </c>
    </row>
    <row r="935" spans="1:14">
      <c r="A935">
        <v>2913</v>
      </c>
      <c r="B935" t="s">
        <v>870</v>
      </c>
      <c r="C935">
        <v>11.15</v>
      </c>
      <c r="D935">
        <v>11.15</v>
      </c>
      <c r="E935" s="178">
        <v>0</v>
      </c>
      <c r="F935" s="176">
        <v>0</v>
      </c>
      <c r="G935" t="s">
        <v>6286</v>
      </c>
      <c r="H935">
        <v>840</v>
      </c>
      <c r="I935">
        <v>1320</v>
      </c>
      <c r="J935">
        <v>79</v>
      </c>
      <c r="K935">
        <v>11.2</v>
      </c>
      <c r="L935">
        <v>11.1</v>
      </c>
      <c r="M935" s="175">
        <v>0.12</v>
      </c>
      <c r="N935" t="s">
        <v>4366</v>
      </c>
    </row>
    <row r="936" spans="1:14">
      <c r="A936">
        <v>2915</v>
      </c>
      <c r="B936" t="s">
        <v>871</v>
      </c>
      <c r="C936">
        <v>57.3</v>
      </c>
      <c r="D936">
        <v>56</v>
      </c>
      <c r="E936" s="178">
        <v>-1.3</v>
      </c>
      <c r="F936" s="176">
        <v>-2.27</v>
      </c>
      <c r="G936" t="s">
        <v>5544</v>
      </c>
      <c r="H936">
        <v>4253</v>
      </c>
      <c r="I936">
        <v>3098</v>
      </c>
      <c r="J936">
        <v>110.43</v>
      </c>
      <c r="K936">
        <v>57.3</v>
      </c>
      <c r="L936">
        <v>55.8</v>
      </c>
      <c r="M936" s="175">
        <v>0.39</v>
      </c>
      <c r="N936" t="s">
        <v>3219</v>
      </c>
    </row>
    <row r="937" spans="1:14">
      <c r="A937">
        <v>2916</v>
      </c>
      <c r="B937" t="s">
        <v>872</v>
      </c>
      <c r="C937">
        <v>40.1</v>
      </c>
      <c r="D937">
        <v>40</v>
      </c>
      <c r="E937" s="178">
        <v>-0.05</v>
      </c>
      <c r="F937" s="176">
        <v>-0.12</v>
      </c>
      <c r="G937" t="s">
        <v>5212</v>
      </c>
      <c r="H937">
        <v>44</v>
      </c>
      <c r="I937">
        <v>23</v>
      </c>
      <c r="J937">
        <v>6.46</v>
      </c>
      <c r="K937">
        <v>40.15</v>
      </c>
      <c r="L937">
        <v>40</v>
      </c>
      <c r="M937" s="175">
        <v>7.0000000000000007E-2</v>
      </c>
      <c r="N937" t="s">
        <v>4402</v>
      </c>
    </row>
    <row r="938" spans="1:14">
      <c r="A938">
        <v>2923</v>
      </c>
      <c r="B938" t="s">
        <v>873</v>
      </c>
      <c r="C938">
        <v>25.1</v>
      </c>
      <c r="D938">
        <v>24.2</v>
      </c>
      <c r="E938" s="178">
        <v>-1.65</v>
      </c>
      <c r="F938" s="176">
        <v>-6.38</v>
      </c>
      <c r="G938" t="s">
        <v>6287</v>
      </c>
      <c r="H938">
        <v>208</v>
      </c>
      <c r="I938">
        <v>151</v>
      </c>
      <c r="J938">
        <v>174.03</v>
      </c>
      <c r="K938">
        <v>25.35</v>
      </c>
      <c r="L938">
        <v>23.95</v>
      </c>
      <c r="M938" s="175">
        <v>0.01</v>
      </c>
      <c r="N938" t="s">
        <v>4545</v>
      </c>
    </row>
    <row r="939" spans="1:14">
      <c r="A939">
        <v>2924</v>
      </c>
      <c r="B939" t="s">
        <v>2242</v>
      </c>
      <c r="C939">
        <v>17.95</v>
      </c>
      <c r="D939">
        <v>17.7</v>
      </c>
      <c r="E939" s="178">
        <v>0.35</v>
      </c>
      <c r="F939" s="176">
        <v>2.02</v>
      </c>
      <c r="G939" t="s">
        <v>6288</v>
      </c>
      <c r="H939">
        <v>13</v>
      </c>
      <c r="I939">
        <v>14</v>
      </c>
      <c r="J939">
        <v>5.2</v>
      </c>
      <c r="K939">
        <v>18.3</v>
      </c>
      <c r="L939">
        <v>16.3</v>
      </c>
      <c r="M939" s="175">
        <v>0.02</v>
      </c>
      <c r="N939" t="s">
        <v>1681</v>
      </c>
    </row>
    <row r="940" spans="1:14">
      <c r="A940">
        <v>2926</v>
      </c>
      <c r="B940" t="s">
        <v>874</v>
      </c>
      <c r="C940">
        <v>30.1</v>
      </c>
      <c r="D940">
        <v>30.35</v>
      </c>
      <c r="E940" s="178">
        <v>0.25</v>
      </c>
      <c r="F940" s="176">
        <v>0.83</v>
      </c>
      <c r="G940" t="s">
        <v>5422</v>
      </c>
      <c r="H940">
        <v>8</v>
      </c>
      <c r="I940">
        <v>15</v>
      </c>
      <c r="J940">
        <v>4.74</v>
      </c>
      <c r="K940">
        <v>30.35</v>
      </c>
      <c r="L940">
        <v>29.95</v>
      </c>
      <c r="M940" s="175">
        <v>0.02</v>
      </c>
      <c r="N940" t="s">
        <v>4190</v>
      </c>
    </row>
    <row r="941" spans="1:14">
      <c r="A941">
        <v>2929</v>
      </c>
      <c r="B941" t="s">
        <v>875</v>
      </c>
      <c r="C941">
        <v>5.69</v>
      </c>
      <c r="D941">
        <v>5.6</v>
      </c>
      <c r="E941" s="178">
        <v>-0.1</v>
      </c>
      <c r="F941" s="176">
        <v>-1.75</v>
      </c>
      <c r="G941" t="s">
        <v>5452</v>
      </c>
      <c r="H941">
        <v>87</v>
      </c>
      <c r="I941">
        <v>71</v>
      </c>
      <c r="J941">
        <v>10.95</v>
      </c>
      <c r="K941">
        <v>5.69</v>
      </c>
      <c r="L941">
        <v>5.57</v>
      </c>
      <c r="M941" s="175">
        <v>0.08</v>
      </c>
      <c r="N941" t="s">
        <v>1682</v>
      </c>
    </row>
    <row r="942" spans="1:14">
      <c r="A942">
        <v>2937</v>
      </c>
      <c r="B942" t="s">
        <v>360</v>
      </c>
      <c r="C942">
        <v>45.5</v>
      </c>
      <c r="D942">
        <v>44.8</v>
      </c>
      <c r="E942" s="178">
        <v>0.55000000000000004</v>
      </c>
      <c r="F942" s="176">
        <v>1.24</v>
      </c>
      <c r="G942" t="s">
        <v>6249</v>
      </c>
      <c r="H942">
        <v>28</v>
      </c>
      <c r="I942">
        <v>14</v>
      </c>
      <c r="J942">
        <v>4.79</v>
      </c>
      <c r="K942">
        <v>45.5</v>
      </c>
      <c r="L942">
        <v>44.4</v>
      </c>
      <c r="M942" s="175">
        <v>0.06</v>
      </c>
      <c r="N942" t="s">
        <v>2185</v>
      </c>
    </row>
    <row r="943" spans="1:14">
      <c r="A943">
        <v>2939</v>
      </c>
      <c r="B943" t="s">
        <v>3993</v>
      </c>
      <c r="C943">
        <v>20.05</v>
      </c>
      <c r="D943">
        <v>19.8</v>
      </c>
      <c r="E943" s="178">
        <v>-0.2</v>
      </c>
      <c r="F943" s="176">
        <v>-1</v>
      </c>
      <c r="G943" t="s">
        <v>6289</v>
      </c>
      <c r="H943">
        <v>8</v>
      </c>
      <c r="I943">
        <v>10</v>
      </c>
      <c r="J943">
        <v>4.55</v>
      </c>
      <c r="K943">
        <v>20.05</v>
      </c>
      <c r="L943">
        <v>19.55</v>
      </c>
      <c r="M943" s="175">
        <v>0.02</v>
      </c>
      <c r="N943" t="s">
        <v>1683</v>
      </c>
    </row>
    <row r="944" spans="1:14">
      <c r="A944">
        <v>2941</v>
      </c>
      <c r="B944" t="s">
        <v>3413</v>
      </c>
      <c r="C944" t="s">
        <v>1667</v>
      </c>
      <c r="D944" t="s">
        <v>1667</v>
      </c>
      <c r="E944" s="178" t="s">
        <v>1667</v>
      </c>
      <c r="F944" s="176" t="s">
        <v>1667</v>
      </c>
      <c r="G944" t="s">
        <v>1667</v>
      </c>
      <c r="H944">
        <v>0</v>
      </c>
      <c r="I944">
        <v>0</v>
      </c>
      <c r="J944">
        <v>1.54</v>
      </c>
      <c r="K944" t="s">
        <v>1667</v>
      </c>
      <c r="L944" t="s">
        <v>1667</v>
      </c>
      <c r="M944" s="175">
        <v>0</v>
      </c>
      <c r="N944" t="s">
        <v>3568</v>
      </c>
    </row>
    <row r="945" spans="1:14">
      <c r="A945">
        <v>2945</v>
      </c>
      <c r="B945" t="s">
        <v>2042</v>
      </c>
      <c r="C945">
        <v>40.200000000000003</v>
      </c>
      <c r="D945">
        <v>40</v>
      </c>
      <c r="E945" s="178">
        <v>0</v>
      </c>
      <c r="F945" s="176">
        <v>0</v>
      </c>
      <c r="G945" t="s">
        <v>5875</v>
      </c>
      <c r="H945">
        <v>41</v>
      </c>
      <c r="I945">
        <v>10</v>
      </c>
      <c r="J945">
        <v>6.75</v>
      </c>
      <c r="K945">
        <v>40.200000000000003</v>
      </c>
      <c r="L945">
        <v>40</v>
      </c>
      <c r="M945" s="175">
        <v>0.06</v>
      </c>
      <c r="N945" t="s">
        <v>2043</v>
      </c>
    </row>
    <row r="946" spans="1:14">
      <c r="A946">
        <v>2947</v>
      </c>
      <c r="B946" t="s">
        <v>1684</v>
      </c>
      <c r="C946">
        <v>61.2</v>
      </c>
      <c r="D946">
        <v>61.2</v>
      </c>
      <c r="E946" s="178">
        <v>-0.2</v>
      </c>
      <c r="F946" s="176">
        <v>-0.33</v>
      </c>
      <c r="G946" t="s">
        <v>5992</v>
      </c>
      <c r="H946">
        <v>8</v>
      </c>
      <c r="I946">
        <v>16</v>
      </c>
      <c r="J946">
        <v>2.36</v>
      </c>
      <c r="K946">
        <v>61.2</v>
      </c>
      <c r="L946">
        <v>61.2</v>
      </c>
      <c r="M946" s="175">
        <v>0.03</v>
      </c>
      <c r="N946" t="s">
        <v>1685</v>
      </c>
    </row>
    <row r="947" spans="1:14">
      <c r="A947">
        <v>2948</v>
      </c>
      <c r="B947" t="s">
        <v>4634</v>
      </c>
      <c r="C947">
        <v>38.450000000000003</v>
      </c>
      <c r="D947">
        <v>38.299999999999997</v>
      </c>
      <c r="E947" s="178">
        <v>-0.15</v>
      </c>
      <c r="F947" s="176">
        <v>-0.39</v>
      </c>
      <c r="G947" t="s">
        <v>5314</v>
      </c>
      <c r="H947">
        <v>4</v>
      </c>
      <c r="I947">
        <v>2</v>
      </c>
      <c r="J947">
        <v>3.2</v>
      </c>
      <c r="K947">
        <v>38.450000000000003</v>
      </c>
      <c r="L947">
        <v>36.5</v>
      </c>
      <c r="M947" s="175">
        <v>0.01</v>
      </c>
      <c r="N947" t="s">
        <v>4635</v>
      </c>
    </row>
    <row r="948" spans="1:14">
      <c r="A948">
        <v>2949</v>
      </c>
      <c r="B948" t="s">
        <v>3133</v>
      </c>
      <c r="C948">
        <v>61.1</v>
      </c>
      <c r="D948">
        <v>61.1</v>
      </c>
      <c r="E948" s="178">
        <v>-0.5</v>
      </c>
      <c r="F948" s="176">
        <v>-0.81</v>
      </c>
      <c r="G948" t="s">
        <v>6290</v>
      </c>
      <c r="H948">
        <v>1</v>
      </c>
      <c r="I948">
        <v>1</v>
      </c>
      <c r="J948">
        <v>3.06</v>
      </c>
      <c r="K948">
        <v>61.1</v>
      </c>
      <c r="L948">
        <v>61.1</v>
      </c>
      <c r="M948" s="175">
        <v>0</v>
      </c>
      <c r="N948" t="s">
        <v>3134</v>
      </c>
    </row>
    <row r="949" spans="1:14">
      <c r="A949">
        <v>3002</v>
      </c>
      <c r="B949" t="s">
        <v>876</v>
      </c>
      <c r="C949">
        <v>17.45</v>
      </c>
      <c r="D949">
        <v>17.45</v>
      </c>
      <c r="E949" s="178">
        <v>0</v>
      </c>
      <c r="F949" s="176">
        <v>0</v>
      </c>
      <c r="G949" t="s">
        <v>5673</v>
      </c>
      <c r="H949">
        <v>76</v>
      </c>
      <c r="I949">
        <v>75</v>
      </c>
      <c r="J949">
        <v>10.199999999999999</v>
      </c>
      <c r="K949">
        <v>17.45</v>
      </c>
      <c r="L949">
        <v>17</v>
      </c>
      <c r="M949" s="175">
        <v>7.0000000000000007E-2</v>
      </c>
      <c r="N949" t="s">
        <v>2018</v>
      </c>
    </row>
    <row r="950" spans="1:14">
      <c r="A950">
        <v>3003</v>
      </c>
      <c r="B950" t="s">
        <v>877</v>
      </c>
      <c r="C950">
        <v>72.099999999999994</v>
      </c>
      <c r="D950">
        <v>69</v>
      </c>
      <c r="E950" s="178">
        <v>-3.1</v>
      </c>
      <c r="F950" s="176">
        <v>-4.3</v>
      </c>
      <c r="G950" t="s">
        <v>6291</v>
      </c>
      <c r="H950">
        <v>1282</v>
      </c>
      <c r="I950">
        <v>1130</v>
      </c>
      <c r="J950">
        <v>15.57</v>
      </c>
      <c r="K950">
        <v>72.3</v>
      </c>
      <c r="L950">
        <v>68.099999999999994</v>
      </c>
      <c r="M950" s="175">
        <v>0.82</v>
      </c>
      <c r="N950" t="s">
        <v>2245</v>
      </c>
    </row>
    <row r="951" spans="1:14">
      <c r="A951">
        <v>3004</v>
      </c>
      <c r="B951" t="s">
        <v>878</v>
      </c>
      <c r="C951">
        <v>118.5</v>
      </c>
      <c r="D951">
        <v>118.5</v>
      </c>
      <c r="E951" s="178">
        <v>-0.5</v>
      </c>
      <c r="F951" s="176">
        <v>-0.42</v>
      </c>
      <c r="G951" t="s">
        <v>6292</v>
      </c>
      <c r="H951">
        <v>252</v>
      </c>
      <c r="I951">
        <v>353</v>
      </c>
      <c r="J951">
        <v>6.44</v>
      </c>
      <c r="K951">
        <v>119</v>
      </c>
      <c r="L951">
        <v>117.5</v>
      </c>
      <c r="M951" s="175">
        <v>0.39</v>
      </c>
      <c r="N951" t="s">
        <v>1686</v>
      </c>
    </row>
    <row r="952" spans="1:14">
      <c r="A952">
        <v>3005</v>
      </c>
      <c r="B952" t="s">
        <v>879</v>
      </c>
      <c r="C952">
        <v>114.5</v>
      </c>
      <c r="D952">
        <v>117</v>
      </c>
      <c r="E952" s="178">
        <v>1</v>
      </c>
      <c r="F952" s="176">
        <v>0.86</v>
      </c>
      <c r="G952" t="s">
        <v>5800</v>
      </c>
      <c r="H952">
        <v>2753</v>
      </c>
      <c r="I952">
        <v>1779</v>
      </c>
      <c r="J952">
        <v>62.48</v>
      </c>
      <c r="K952">
        <v>119</v>
      </c>
      <c r="L952">
        <v>114.5</v>
      </c>
      <c r="M952" s="175">
        <v>0.44</v>
      </c>
      <c r="N952" t="s">
        <v>3526</v>
      </c>
    </row>
    <row r="953" spans="1:14">
      <c r="A953">
        <v>3006</v>
      </c>
      <c r="B953" t="s">
        <v>880</v>
      </c>
      <c r="C953">
        <v>265.5</v>
      </c>
      <c r="D953">
        <v>292.5</v>
      </c>
      <c r="E953" s="178">
        <v>23</v>
      </c>
      <c r="F953" s="176">
        <v>8.5299999999999994</v>
      </c>
      <c r="G953" t="s">
        <v>6293</v>
      </c>
      <c r="H953">
        <v>22866</v>
      </c>
      <c r="I953">
        <v>15001</v>
      </c>
      <c r="J953">
        <v>29.81</v>
      </c>
      <c r="K953">
        <v>293.5</v>
      </c>
      <c r="L953">
        <v>263.5</v>
      </c>
      <c r="M953" s="175">
        <v>7.67</v>
      </c>
      <c r="N953" t="s">
        <v>1687</v>
      </c>
    </row>
    <row r="954" spans="1:14">
      <c r="A954">
        <v>3008</v>
      </c>
      <c r="B954" t="s">
        <v>396</v>
      </c>
      <c r="C954">
        <v>7065</v>
      </c>
      <c r="D954">
        <v>7650</v>
      </c>
      <c r="E954" s="178">
        <v>585</v>
      </c>
      <c r="F954" s="176">
        <v>8.2799999999999994</v>
      </c>
      <c r="G954" t="s">
        <v>6294</v>
      </c>
      <c r="H954">
        <v>3395</v>
      </c>
      <c r="I954">
        <v>2869</v>
      </c>
      <c r="J954">
        <v>13.08</v>
      </c>
      <c r="K954">
        <v>7735</v>
      </c>
      <c r="L954">
        <v>7025</v>
      </c>
      <c r="M954" s="175">
        <v>2.6</v>
      </c>
      <c r="N954" t="s">
        <v>3880</v>
      </c>
    </row>
    <row r="955" spans="1:14">
      <c r="A955">
        <v>3010</v>
      </c>
      <c r="B955" t="s">
        <v>881</v>
      </c>
      <c r="C955">
        <v>127</v>
      </c>
      <c r="D955">
        <v>128</v>
      </c>
      <c r="E955" s="178">
        <v>1</v>
      </c>
      <c r="F955" s="176">
        <v>0.79</v>
      </c>
      <c r="G955" t="s">
        <v>6295</v>
      </c>
      <c r="H955">
        <v>492</v>
      </c>
      <c r="I955">
        <v>477</v>
      </c>
      <c r="J955">
        <v>25.94</v>
      </c>
      <c r="K955">
        <v>129</v>
      </c>
      <c r="L955">
        <v>126.5</v>
      </c>
      <c r="M955" s="175">
        <v>0.19</v>
      </c>
      <c r="N955" t="s">
        <v>2186</v>
      </c>
    </row>
    <row r="956" spans="1:14">
      <c r="A956">
        <v>3011</v>
      </c>
      <c r="B956" t="s">
        <v>882</v>
      </c>
      <c r="C956">
        <v>10.6</v>
      </c>
      <c r="D956">
        <v>10.5</v>
      </c>
      <c r="E956" s="178">
        <v>-0.1</v>
      </c>
      <c r="F956" s="176">
        <v>-0.94</v>
      </c>
      <c r="G956" t="s">
        <v>5571</v>
      </c>
      <c r="H956">
        <v>287</v>
      </c>
      <c r="I956">
        <v>298</v>
      </c>
      <c r="J956">
        <v>12.96</v>
      </c>
      <c r="K956">
        <v>10.6</v>
      </c>
      <c r="L956">
        <v>10.4</v>
      </c>
      <c r="M956" s="175">
        <v>0.24</v>
      </c>
      <c r="N956" t="s">
        <v>1688</v>
      </c>
    </row>
    <row r="957" spans="1:14">
      <c r="A957">
        <v>3013</v>
      </c>
      <c r="B957" t="s">
        <v>883</v>
      </c>
      <c r="C957">
        <v>88</v>
      </c>
      <c r="D957">
        <v>87.6</v>
      </c>
      <c r="E957" s="178">
        <v>-1.9</v>
      </c>
      <c r="F957" s="176">
        <v>-2.12</v>
      </c>
      <c r="G957" t="s">
        <v>6296</v>
      </c>
      <c r="H957">
        <v>4384</v>
      </c>
      <c r="I957">
        <v>1014</v>
      </c>
      <c r="J957">
        <v>20.51</v>
      </c>
      <c r="K957">
        <v>89.2</v>
      </c>
      <c r="L957">
        <v>86.6</v>
      </c>
      <c r="M957" s="175">
        <v>2.14</v>
      </c>
      <c r="N957" t="s">
        <v>4711</v>
      </c>
    </row>
    <row r="958" spans="1:14">
      <c r="A958">
        <v>3014</v>
      </c>
      <c r="B958" t="s">
        <v>884</v>
      </c>
      <c r="C958">
        <v>131</v>
      </c>
      <c r="D958">
        <v>128.5</v>
      </c>
      <c r="E958" s="178">
        <v>-3</v>
      </c>
      <c r="F958" s="176">
        <v>-2.2799999999999998</v>
      </c>
      <c r="G958" t="s">
        <v>5198</v>
      </c>
      <c r="H958">
        <v>869</v>
      </c>
      <c r="I958">
        <v>438</v>
      </c>
      <c r="J958">
        <v>16.600000000000001</v>
      </c>
      <c r="K958">
        <v>131</v>
      </c>
      <c r="L958">
        <v>128.5</v>
      </c>
      <c r="M958" s="175">
        <v>0.52</v>
      </c>
      <c r="N958" t="s">
        <v>1689</v>
      </c>
    </row>
    <row r="959" spans="1:14">
      <c r="A959">
        <v>3015</v>
      </c>
      <c r="B959" t="s">
        <v>203</v>
      </c>
      <c r="C959">
        <v>53.9</v>
      </c>
      <c r="D959">
        <v>53.4</v>
      </c>
      <c r="E959" s="178">
        <v>-0.9</v>
      </c>
      <c r="F959" s="176">
        <v>-1.66</v>
      </c>
      <c r="G959" t="s">
        <v>5680</v>
      </c>
      <c r="H959">
        <v>321</v>
      </c>
      <c r="I959">
        <v>362</v>
      </c>
      <c r="J959">
        <v>18.73</v>
      </c>
      <c r="K959">
        <v>54.2</v>
      </c>
      <c r="L959">
        <v>53</v>
      </c>
      <c r="M959" s="175">
        <v>0.17</v>
      </c>
      <c r="N959" t="s">
        <v>4570</v>
      </c>
    </row>
    <row r="960" spans="1:14">
      <c r="A960">
        <v>3016</v>
      </c>
      <c r="B960" t="s">
        <v>885</v>
      </c>
      <c r="C960">
        <v>98.7</v>
      </c>
      <c r="D960">
        <v>103</v>
      </c>
      <c r="E960" s="178">
        <v>3.4</v>
      </c>
      <c r="F960" s="176">
        <v>3.41</v>
      </c>
      <c r="G960" t="s">
        <v>5374</v>
      </c>
      <c r="H960">
        <v>4618</v>
      </c>
      <c r="I960">
        <v>4269</v>
      </c>
      <c r="J960">
        <v>29.39</v>
      </c>
      <c r="K960">
        <v>104</v>
      </c>
      <c r="L960">
        <v>97.6</v>
      </c>
      <c r="M960" s="175">
        <v>1.57</v>
      </c>
      <c r="N960" t="s">
        <v>3335</v>
      </c>
    </row>
    <row r="961" spans="1:14">
      <c r="A961">
        <v>3017</v>
      </c>
      <c r="B961" t="s">
        <v>886</v>
      </c>
      <c r="C961">
        <v>3280</v>
      </c>
      <c r="D961">
        <v>3425</v>
      </c>
      <c r="E961" s="178">
        <v>65</v>
      </c>
      <c r="F961" s="176">
        <v>1.93</v>
      </c>
      <c r="G961" t="s">
        <v>6297</v>
      </c>
      <c r="H961">
        <v>4288</v>
      </c>
      <c r="I961">
        <v>4114</v>
      </c>
      <c r="J961">
        <v>39.44</v>
      </c>
      <c r="K961">
        <v>3425</v>
      </c>
      <c r="L961">
        <v>3250</v>
      </c>
      <c r="M961" s="175">
        <v>1.0900000000000001</v>
      </c>
      <c r="N961" t="s">
        <v>3881</v>
      </c>
    </row>
    <row r="962" spans="1:14">
      <c r="A962">
        <v>3018</v>
      </c>
      <c r="B962" t="s">
        <v>3118</v>
      </c>
      <c r="C962">
        <v>11.95</v>
      </c>
      <c r="D962">
        <v>11.95</v>
      </c>
      <c r="E962" s="178">
        <v>0</v>
      </c>
      <c r="F962" s="176">
        <v>0</v>
      </c>
      <c r="G962" t="s">
        <v>6298</v>
      </c>
      <c r="H962">
        <v>33</v>
      </c>
      <c r="I962">
        <v>77</v>
      </c>
      <c r="J962">
        <v>7.54</v>
      </c>
      <c r="K962">
        <v>11.95</v>
      </c>
      <c r="L962">
        <v>11.5</v>
      </c>
      <c r="M962" s="175">
        <v>0.08</v>
      </c>
      <c r="N962" t="s">
        <v>3882</v>
      </c>
    </row>
    <row r="963" spans="1:14">
      <c r="A963">
        <v>3019</v>
      </c>
      <c r="B963" t="s">
        <v>887</v>
      </c>
      <c r="C963">
        <v>136.5</v>
      </c>
      <c r="D963">
        <v>143</v>
      </c>
      <c r="E963" s="178">
        <v>4.5</v>
      </c>
      <c r="F963" s="176">
        <v>3.25</v>
      </c>
      <c r="G963" t="s">
        <v>6299</v>
      </c>
      <c r="H963">
        <v>5782</v>
      </c>
      <c r="I963">
        <v>3119</v>
      </c>
      <c r="J963">
        <v>27.92</v>
      </c>
      <c r="K963">
        <v>145</v>
      </c>
      <c r="L963">
        <v>136.5</v>
      </c>
      <c r="M963" s="175">
        <v>2.0699999999999998</v>
      </c>
      <c r="N963" t="s">
        <v>2105</v>
      </c>
    </row>
    <row r="964" spans="1:14">
      <c r="A964">
        <v>3021</v>
      </c>
      <c r="B964" t="s">
        <v>888</v>
      </c>
      <c r="C964">
        <v>20.25</v>
      </c>
      <c r="D964">
        <v>20.25</v>
      </c>
      <c r="E964" s="178">
        <v>-0.05</v>
      </c>
      <c r="F964" s="176">
        <v>-0.25</v>
      </c>
      <c r="G964" t="s">
        <v>5640</v>
      </c>
      <c r="H964">
        <v>89</v>
      </c>
      <c r="I964">
        <v>115</v>
      </c>
      <c r="J964">
        <v>9.4700000000000006</v>
      </c>
      <c r="K964">
        <v>20.25</v>
      </c>
      <c r="L964">
        <v>19.649999999999999</v>
      </c>
      <c r="M964" s="175">
        <v>0.09</v>
      </c>
      <c r="N964" t="s">
        <v>1690</v>
      </c>
    </row>
    <row r="965" spans="1:14">
      <c r="A965">
        <v>3022</v>
      </c>
      <c r="B965" t="s">
        <v>889</v>
      </c>
      <c r="C965">
        <v>90.1</v>
      </c>
      <c r="D965">
        <v>90.3</v>
      </c>
      <c r="E965" s="178">
        <v>0</v>
      </c>
      <c r="F965" s="176">
        <v>0</v>
      </c>
      <c r="G965" t="s">
        <v>6300</v>
      </c>
      <c r="H965">
        <v>809</v>
      </c>
      <c r="I965">
        <v>1334</v>
      </c>
      <c r="J965">
        <v>17.66</v>
      </c>
      <c r="K965">
        <v>91.4</v>
      </c>
      <c r="L965">
        <v>89.6</v>
      </c>
      <c r="M965" s="175">
        <v>0.46</v>
      </c>
      <c r="N965" t="s">
        <v>1691</v>
      </c>
    </row>
    <row r="966" spans="1:14">
      <c r="A966">
        <v>3023</v>
      </c>
      <c r="B966" t="s">
        <v>1692</v>
      </c>
      <c r="C966">
        <v>319.5</v>
      </c>
      <c r="D966">
        <v>312.5</v>
      </c>
      <c r="E966" s="178">
        <v>-4.5</v>
      </c>
      <c r="F966" s="176">
        <v>-1.42</v>
      </c>
      <c r="G966" t="s">
        <v>6301</v>
      </c>
      <c r="H966">
        <v>544</v>
      </c>
      <c r="I966">
        <v>504</v>
      </c>
      <c r="J966">
        <v>24.01</v>
      </c>
      <c r="K966">
        <v>319.5</v>
      </c>
      <c r="L966">
        <v>310</v>
      </c>
      <c r="M966" s="175">
        <v>0.23</v>
      </c>
      <c r="N966" t="s">
        <v>3986</v>
      </c>
    </row>
    <row r="967" spans="1:14">
      <c r="A967">
        <v>3024</v>
      </c>
      <c r="B967" t="s">
        <v>890</v>
      </c>
      <c r="C967">
        <v>14.6</v>
      </c>
      <c r="D967">
        <v>14.95</v>
      </c>
      <c r="E967" s="178">
        <v>0.3</v>
      </c>
      <c r="F967" s="176">
        <v>2.0499999999999998</v>
      </c>
      <c r="G967" t="s">
        <v>6302</v>
      </c>
      <c r="H967">
        <v>2377</v>
      </c>
      <c r="I967">
        <v>1898</v>
      </c>
      <c r="J967">
        <v>27.72</v>
      </c>
      <c r="K967">
        <v>15</v>
      </c>
      <c r="L967">
        <v>14.35</v>
      </c>
      <c r="M967" s="175">
        <v>0.86</v>
      </c>
      <c r="N967" t="s">
        <v>3220</v>
      </c>
    </row>
    <row r="968" spans="1:14">
      <c r="A968">
        <v>3025</v>
      </c>
      <c r="B968" t="s">
        <v>3135</v>
      </c>
      <c r="C968">
        <v>53.1</v>
      </c>
      <c r="D968">
        <v>52.6</v>
      </c>
      <c r="E968" s="178">
        <v>-1</v>
      </c>
      <c r="F968" s="176">
        <v>-1.87</v>
      </c>
      <c r="G968" t="s">
        <v>6303</v>
      </c>
      <c r="H968">
        <v>163</v>
      </c>
      <c r="I968">
        <v>201</v>
      </c>
      <c r="J968">
        <v>5.67</v>
      </c>
      <c r="K968">
        <v>53.1</v>
      </c>
      <c r="L968">
        <v>52.5</v>
      </c>
      <c r="M968" s="175">
        <v>0.28999999999999998</v>
      </c>
      <c r="N968" t="s">
        <v>3883</v>
      </c>
    </row>
    <row r="969" spans="1:14">
      <c r="A969">
        <v>3026</v>
      </c>
      <c r="B969" t="s">
        <v>251</v>
      </c>
      <c r="C969">
        <v>742</v>
      </c>
      <c r="D969">
        <v>742</v>
      </c>
      <c r="E969" s="178">
        <v>0</v>
      </c>
      <c r="F969" s="176">
        <v>0</v>
      </c>
      <c r="G969" t="s">
        <v>5705</v>
      </c>
      <c r="H969">
        <v>16638</v>
      </c>
      <c r="I969">
        <v>10202</v>
      </c>
      <c r="J969">
        <v>16.59</v>
      </c>
      <c r="K969">
        <v>766</v>
      </c>
      <c r="L969">
        <v>712</v>
      </c>
      <c r="M969" s="175">
        <v>10.029999999999999</v>
      </c>
      <c r="N969" t="s">
        <v>3377</v>
      </c>
    </row>
    <row r="970" spans="1:14">
      <c r="A970">
        <v>3027</v>
      </c>
      <c r="B970" t="s">
        <v>891</v>
      </c>
      <c r="C970">
        <v>18.2</v>
      </c>
      <c r="D970">
        <v>18.2</v>
      </c>
      <c r="E970" s="178">
        <v>-0.15</v>
      </c>
      <c r="F970" s="176">
        <v>-0.82</v>
      </c>
      <c r="G970" t="s">
        <v>5241</v>
      </c>
      <c r="H970">
        <v>116</v>
      </c>
      <c r="I970">
        <v>169</v>
      </c>
      <c r="J970">
        <v>12.92</v>
      </c>
      <c r="K970">
        <v>18.45</v>
      </c>
      <c r="L970">
        <v>18.05</v>
      </c>
      <c r="M970" s="175">
        <v>0.1</v>
      </c>
      <c r="N970" t="s">
        <v>4576</v>
      </c>
    </row>
    <row r="971" spans="1:14">
      <c r="A971">
        <v>3028</v>
      </c>
      <c r="B971" t="s">
        <v>892</v>
      </c>
      <c r="C971">
        <v>63.9</v>
      </c>
      <c r="D971">
        <v>64.7</v>
      </c>
      <c r="E971" s="178">
        <v>0.3</v>
      </c>
      <c r="F971" s="176">
        <v>0.47</v>
      </c>
      <c r="G971" t="s">
        <v>6304</v>
      </c>
      <c r="H971">
        <v>779</v>
      </c>
      <c r="I971">
        <v>795</v>
      </c>
      <c r="J971">
        <v>26.1</v>
      </c>
      <c r="K971">
        <v>64.7</v>
      </c>
      <c r="L971">
        <v>63.5</v>
      </c>
      <c r="M971" s="175">
        <v>0.3</v>
      </c>
      <c r="N971" t="s">
        <v>3221</v>
      </c>
    </row>
    <row r="972" spans="1:14">
      <c r="A972">
        <v>3029</v>
      </c>
      <c r="B972" t="s">
        <v>1693</v>
      </c>
      <c r="C972">
        <v>111</v>
      </c>
      <c r="D972">
        <v>113</v>
      </c>
      <c r="E972" s="178">
        <v>1.5</v>
      </c>
      <c r="F972" s="176">
        <v>1.35</v>
      </c>
      <c r="G972" t="s">
        <v>5433</v>
      </c>
      <c r="H972">
        <v>1329</v>
      </c>
      <c r="I972">
        <v>879</v>
      </c>
      <c r="J972">
        <v>16.7</v>
      </c>
      <c r="K972">
        <v>115</v>
      </c>
      <c r="L972">
        <v>110.5</v>
      </c>
      <c r="M972" s="175">
        <v>0.86</v>
      </c>
      <c r="N972" t="s">
        <v>4992</v>
      </c>
    </row>
    <row r="973" spans="1:14">
      <c r="A973">
        <v>3030</v>
      </c>
      <c r="B973" t="s">
        <v>1694</v>
      </c>
      <c r="C973">
        <v>295</v>
      </c>
      <c r="D973">
        <v>290.5</v>
      </c>
      <c r="E973" s="178">
        <v>-3</v>
      </c>
      <c r="F973" s="176">
        <v>-1.02</v>
      </c>
      <c r="G973" t="s">
        <v>5901</v>
      </c>
      <c r="H973">
        <v>642</v>
      </c>
      <c r="I973">
        <v>651</v>
      </c>
      <c r="J973">
        <v>23.62</v>
      </c>
      <c r="K973">
        <v>297.5</v>
      </c>
      <c r="L973">
        <v>285</v>
      </c>
      <c r="M973" s="175">
        <v>0.27</v>
      </c>
      <c r="N973" t="s">
        <v>3222</v>
      </c>
    </row>
    <row r="974" spans="1:14">
      <c r="A974">
        <v>3031</v>
      </c>
      <c r="B974" t="s">
        <v>893</v>
      </c>
      <c r="C974">
        <v>24.2</v>
      </c>
      <c r="D974">
        <v>24.65</v>
      </c>
      <c r="E974" s="178">
        <v>-0.05</v>
      </c>
      <c r="F974" s="176">
        <v>-0.2</v>
      </c>
      <c r="G974" t="s">
        <v>6305</v>
      </c>
      <c r="H974">
        <v>398</v>
      </c>
      <c r="I974">
        <v>1298</v>
      </c>
      <c r="J974">
        <v>17.32</v>
      </c>
      <c r="K974">
        <v>24.85</v>
      </c>
      <c r="L974">
        <v>24.2</v>
      </c>
      <c r="M974" s="175">
        <v>0.23</v>
      </c>
      <c r="N974" t="s">
        <v>1695</v>
      </c>
    </row>
    <row r="975" spans="1:14">
      <c r="A975">
        <v>3032</v>
      </c>
      <c r="B975" t="s">
        <v>894</v>
      </c>
      <c r="C975">
        <v>79.8</v>
      </c>
      <c r="D975">
        <v>81.2</v>
      </c>
      <c r="E975" s="178">
        <v>1.4</v>
      </c>
      <c r="F975" s="176">
        <v>1.75</v>
      </c>
      <c r="G975" t="s">
        <v>6306</v>
      </c>
      <c r="H975">
        <v>396</v>
      </c>
      <c r="I975">
        <v>212</v>
      </c>
      <c r="J975">
        <v>11.33</v>
      </c>
      <c r="K975">
        <v>81.3</v>
      </c>
      <c r="L975">
        <v>78.599999999999994</v>
      </c>
      <c r="M975" s="175">
        <v>0.38</v>
      </c>
      <c r="N975" t="s">
        <v>3527</v>
      </c>
    </row>
    <row r="976" spans="1:14">
      <c r="A976">
        <v>3033</v>
      </c>
      <c r="B976" t="s">
        <v>895</v>
      </c>
      <c r="C976">
        <v>45.05</v>
      </c>
      <c r="D976">
        <v>44.55</v>
      </c>
      <c r="E976" s="178">
        <v>-0.5</v>
      </c>
      <c r="F976" s="176">
        <v>-1.1100000000000001</v>
      </c>
      <c r="G976" t="s">
        <v>5149</v>
      </c>
      <c r="H976">
        <v>2623</v>
      </c>
      <c r="I976">
        <v>3757</v>
      </c>
      <c r="J976">
        <v>52.09</v>
      </c>
      <c r="K976">
        <v>45.05</v>
      </c>
      <c r="L976">
        <v>44.15</v>
      </c>
      <c r="M976" s="175">
        <v>0.55000000000000004</v>
      </c>
      <c r="N976" t="s">
        <v>4495</v>
      </c>
    </row>
    <row r="977" spans="1:14">
      <c r="A977">
        <v>3034</v>
      </c>
      <c r="B977" t="s">
        <v>199</v>
      </c>
      <c r="C977">
        <v>543</v>
      </c>
      <c r="D977">
        <v>540</v>
      </c>
      <c r="E977" s="178">
        <v>-5</v>
      </c>
      <c r="F977" s="176">
        <v>-0.92</v>
      </c>
      <c r="G977" t="s">
        <v>6273</v>
      </c>
      <c r="H977">
        <v>5438</v>
      </c>
      <c r="I977">
        <v>4211</v>
      </c>
      <c r="J977">
        <v>60.85</v>
      </c>
      <c r="K977">
        <v>544</v>
      </c>
      <c r="L977">
        <v>533</v>
      </c>
      <c r="M977" s="175">
        <v>0.89</v>
      </c>
      <c r="N977" t="s">
        <v>3884</v>
      </c>
    </row>
    <row r="978" spans="1:14">
      <c r="A978">
        <v>3035</v>
      </c>
      <c r="B978" t="s">
        <v>896</v>
      </c>
      <c r="C978">
        <v>177</v>
      </c>
      <c r="D978">
        <v>175</v>
      </c>
      <c r="E978" s="178">
        <v>-5.5</v>
      </c>
      <c r="F978" s="176">
        <v>-3.05</v>
      </c>
      <c r="G978" t="s">
        <v>6307</v>
      </c>
      <c r="H978">
        <v>2170</v>
      </c>
      <c r="I978">
        <v>2185</v>
      </c>
      <c r="J978">
        <v>26.06</v>
      </c>
      <c r="K978">
        <v>178</v>
      </c>
      <c r="L978">
        <v>172.5</v>
      </c>
      <c r="M978" s="175">
        <v>0.83</v>
      </c>
      <c r="N978" t="s">
        <v>3885</v>
      </c>
    </row>
    <row r="979" spans="1:14">
      <c r="A979">
        <v>3036</v>
      </c>
      <c r="B979" t="s">
        <v>897</v>
      </c>
      <c r="C979">
        <v>196</v>
      </c>
      <c r="D979">
        <v>196</v>
      </c>
      <c r="E979" s="178">
        <v>0</v>
      </c>
      <c r="F979" s="176">
        <v>0</v>
      </c>
      <c r="G979" t="s">
        <v>6308</v>
      </c>
      <c r="H979">
        <v>4296</v>
      </c>
      <c r="I979">
        <v>6788</v>
      </c>
      <c r="J979">
        <v>127.1</v>
      </c>
      <c r="K979">
        <v>196</v>
      </c>
      <c r="L979">
        <v>192.5</v>
      </c>
      <c r="M979" s="175">
        <v>0.34</v>
      </c>
      <c r="N979" t="s">
        <v>3975</v>
      </c>
    </row>
    <row r="980" spans="1:14">
      <c r="A980">
        <v>3037</v>
      </c>
      <c r="B980" t="s">
        <v>252</v>
      </c>
      <c r="C980">
        <v>999</v>
      </c>
      <c r="D980">
        <v>999</v>
      </c>
      <c r="E980" s="178">
        <v>-111</v>
      </c>
      <c r="F980" s="176">
        <v>-10</v>
      </c>
      <c r="G980" t="s">
        <v>6309</v>
      </c>
      <c r="H980">
        <v>3818</v>
      </c>
      <c r="I980">
        <v>20364</v>
      </c>
      <c r="J980">
        <v>164.3</v>
      </c>
      <c r="K980">
        <v>999</v>
      </c>
      <c r="L980">
        <v>999</v>
      </c>
      <c r="M980" s="175">
        <v>0.23</v>
      </c>
      <c r="N980" t="s">
        <v>3569</v>
      </c>
    </row>
    <row r="981" spans="1:14">
      <c r="A981">
        <v>3038</v>
      </c>
      <c r="B981" t="s">
        <v>253</v>
      </c>
      <c r="C981">
        <v>20.05</v>
      </c>
      <c r="D981">
        <v>20.2</v>
      </c>
      <c r="E981" s="178">
        <v>0.05</v>
      </c>
      <c r="F981" s="176">
        <v>0.25</v>
      </c>
      <c r="G981" t="s">
        <v>5360</v>
      </c>
      <c r="H981">
        <v>170</v>
      </c>
      <c r="I981">
        <v>146</v>
      </c>
      <c r="J981">
        <v>15.74</v>
      </c>
      <c r="K981">
        <v>20.25</v>
      </c>
      <c r="L981">
        <v>20.05</v>
      </c>
      <c r="M981" s="175">
        <v>0.11</v>
      </c>
      <c r="N981" t="s">
        <v>1696</v>
      </c>
    </row>
    <row r="982" spans="1:14">
      <c r="A982">
        <v>3040</v>
      </c>
      <c r="B982" t="s">
        <v>898</v>
      </c>
      <c r="C982">
        <v>36.9</v>
      </c>
      <c r="D982">
        <v>37.35</v>
      </c>
      <c r="E982" s="178">
        <v>-0.05</v>
      </c>
      <c r="F982" s="176">
        <v>-0.13</v>
      </c>
      <c r="G982" t="s">
        <v>5756</v>
      </c>
      <c r="H982">
        <v>118</v>
      </c>
      <c r="I982">
        <v>106</v>
      </c>
      <c r="J982">
        <v>6.62</v>
      </c>
      <c r="K982">
        <v>37.35</v>
      </c>
      <c r="L982">
        <v>36</v>
      </c>
      <c r="M982" s="175">
        <v>0.18</v>
      </c>
      <c r="N982" t="s">
        <v>3223</v>
      </c>
    </row>
    <row r="983" spans="1:14">
      <c r="A983">
        <v>3041</v>
      </c>
      <c r="B983" t="s">
        <v>408</v>
      </c>
      <c r="C983">
        <v>22.85</v>
      </c>
      <c r="D983">
        <v>22.6</v>
      </c>
      <c r="E983" s="178">
        <v>-0.3</v>
      </c>
      <c r="F983" s="176">
        <v>-1.31</v>
      </c>
      <c r="G983" t="s">
        <v>5605</v>
      </c>
      <c r="H983">
        <v>346</v>
      </c>
      <c r="I983">
        <v>508</v>
      </c>
      <c r="J983">
        <v>14.21</v>
      </c>
      <c r="K983">
        <v>22.9</v>
      </c>
      <c r="L983">
        <v>22.55</v>
      </c>
      <c r="M983" s="175">
        <v>0.3</v>
      </c>
      <c r="N983" t="s">
        <v>4103</v>
      </c>
    </row>
    <row r="984" spans="1:14">
      <c r="A984">
        <v>3042</v>
      </c>
      <c r="B984" t="s">
        <v>1697</v>
      </c>
      <c r="C984">
        <v>186</v>
      </c>
      <c r="D984">
        <v>185.5</v>
      </c>
      <c r="E984" s="178">
        <v>-3</v>
      </c>
      <c r="F984" s="176">
        <v>-1.59</v>
      </c>
      <c r="G984" t="s">
        <v>6310</v>
      </c>
      <c r="H984">
        <v>13191</v>
      </c>
      <c r="I984">
        <v>12910</v>
      </c>
      <c r="J984">
        <v>34.299999999999997</v>
      </c>
      <c r="K984">
        <v>187.5</v>
      </c>
      <c r="L984">
        <v>182</v>
      </c>
      <c r="M984" s="175">
        <v>4.1500000000000004</v>
      </c>
      <c r="N984" t="s">
        <v>3336</v>
      </c>
    </row>
    <row r="985" spans="1:14">
      <c r="A985">
        <v>3043</v>
      </c>
      <c r="B985" t="s">
        <v>899</v>
      </c>
      <c r="C985">
        <v>20.85</v>
      </c>
      <c r="D985">
        <v>21</v>
      </c>
      <c r="E985" s="178">
        <v>-0.1</v>
      </c>
      <c r="F985" s="176">
        <v>-0.47</v>
      </c>
      <c r="G985" t="s">
        <v>5320</v>
      </c>
      <c r="H985">
        <v>28</v>
      </c>
      <c r="I985">
        <v>115</v>
      </c>
      <c r="J985">
        <v>3.9</v>
      </c>
      <c r="K985">
        <v>21</v>
      </c>
      <c r="L985">
        <v>20.65</v>
      </c>
      <c r="M985" s="175">
        <v>7.0000000000000007E-2</v>
      </c>
      <c r="N985" t="s">
        <v>3886</v>
      </c>
    </row>
    <row r="986" spans="1:14">
      <c r="A986">
        <v>3044</v>
      </c>
      <c r="B986" t="s">
        <v>900</v>
      </c>
      <c r="C986">
        <v>491</v>
      </c>
      <c r="D986">
        <v>496.5</v>
      </c>
      <c r="E986" s="178">
        <v>6.5</v>
      </c>
      <c r="F986" s="176">
        <v>1.33</v>
      </c>
      <c r="G986" t="s">
        <v>6311</v>
      </c>
      <c r="H986">
        <v>4654</v>
      </c>
      <c r="I986">
        <v>2508</v>
      </c>
      <c r="J986">
        <v>52.56</v>
      </c>
      <c r="K986">
        <v>508</v>
      </c>
      <c r="L986">
        <v>490</v>
      </c>
      <c r="M986" s="175">
        <v>0.89</v>
      </c>
      <c r="N986" t="s">
        <v>3570</v>
      </c>
    </row>
    <row r="987" spans="1:14">
      <c r="A987">
        <v>3045</v>
      </c>
      <c r="B987" t="s">
        <v>901</v>
      </c>
      <c r="C987">
        <v>115</v>
      </c>
      <c r="D987">
        <v>116</v>
      </c>
      <c r="E987" s="178">
        <v>0.5</v>
      </c>
      <c r="F987" s="176">
        <v>0.43</v>
      </c>
      <c r="G987" t="s">
        <v>5443</v>
      </c>
      <c r="H987">
        <v>9253</v>
      </c>
      <c r="I987">
        <v>8792</v>
      </c>
      <c r="J987">
        <v>372.34</v>
      </c>
      <c r="K987">
        <v>116</v>
      </c>
      <c r="L987">
        <v>114.5</v>
      </c>
      <c r="M987" s="175">
        <v>0.25</v>
      </c>
      <c r="N987" t="s">
        <v>1698</v>
      </c>
    </row>
    <row r="988" spans="1:14">
      <c r="A988">
        <v>3046</v>
      </c>
      <c r="B988" t="s">
        <v>902</v>
      </c>
      <c r="C988">
        <v>56.3</v>
      </c>
      <c r="D988">
        <v>56.5</v>
      </c>
      <c r="E988" s="178">
        <v>-0.2</v>
      </c>
      <c r="F988" s="176">
        <v>-0.35</v>
      </c>
      <c r="G988" t="s">
        <v>6312</v>
      </c>
      <c r="H988">
        <v>395</v>
      </c>
      <c r="I988">
        <v>253</v>
      </c>
      <c r="J988">
        <v>7.84</v>
      </c>
      <c r="K988">
        <v>56.7</v>
      </c>
      <c r="L988">
        <v>55.3</v>
      </c>
      <c r="M988" s="175">
        <v>0.5</v>
      </c>
      <c r="N988" t="s">
        <v>2169</v>
      </c>
    </row>
    <row r="989" spans="1:14">
      <c r="A989">
        <v>3047</v>
      </c>
      <c r="B989" t="s">
        <v>903</v>
      </c>
      <c r="C989">
        <v>13.8</v>
      </c>
      <c r="D989">
        <v>13.75</v>
      </c>
      <c r="E989" s="178">
        <v>-0.2</v>
      </c>
      <c r="F989" s="176">
        <v>-1.43</v>
      </c>
      <c r="G989" t="s">
        <v>5372</v>
      </c>
      <c r="H989">
        <v>428</v>
      </c>
      <c r="I989">
        <v>501</v>
      </c>
      <c r="J989">
        <v>22.48</v>
      </c>
      <c r="K989">
        <v>13.95</v>
      </c>
      <c r="L989">
        <v>13.7</v>
      </c>
      <c r="M989" s="175">
        <v>0.19</v>
      </c>
      <c r="N989" t="s">
        <v>3171</v>
      </c>
    </row>
    <row r="990" spans="1:14">
      <c r="A990">
        <v>3048</v>
      </c>
      <c r="B990" t="s">
        <v>904</v>
      </c>
      <c r="C990">
        <v>55.1</v>
      </c>
      <c r="D990">
        <v>54.9</v>
      </c>
      <c r="E990" s="178">
        <v>-0.7</v>
      </c>
      <c r="F990" s="176">
        <v>-1.26</v>
      </c>
      <c r="G990" t="s">
        <v>6313</v>
      </c>
      <c r="H990">
        <v>1388</v>
      </c>
      <c r="I990">
        <v>1626</v>
      </c>
      <c r="J990">
        <v>26.98</v>
      </c>
      <c r="K990">
        <v>56.3</v>
      </c>
      <c r="L990">
        <v>54.3</v>
      </c>
      <c r="M990" s="175">
        <v>0.56999999999999995</v>
      </c>
      <c r="N990" t="s">
        <v>3940</v>
      </c>
    </row>
    <row r="991" spans="1:14">
      <c r="A991">
        <v>3049</v>
      </c>
      <c r="B991" t="s">
        <v>3069</v>
      </c>
      <c r="C991">
        <v>13.6</v>
      </c>
      <c r="D991">
        <v>13.55</v>
      </c>
      <c r="E991" s="178">
        <v>0.05</v>
      </c>
      <c r="F991" s="176">
        <v>0.37</v>
      </c>
      <c r="G991" t="s">
        <v>6314</v>
      </c>
      <c r="H991">
        <v>31470</v>
      </c>
      <c r="I991">
        <v>29943</v>
      </c>
      <c r="J991">
        <v>80.2</v>
      </c>
      <c r="K991">
        <v>14.3</v>
      </c>
      <c r="L991">
        <v>13.4</v>
      </c>
      <c r="M991" s="175">
        <v>3.92</v>
      </c>
      <c r="N991" t="s">
        <v>4993</v>
      </c>
    </row>
    <row r="992" spans="1:14">
      <c r="A992">
        <v>3050</v>
      </c>
      <c r="B992" t="s">
        <v>905</v>
      </c>
      <c r="C992">
        <v>11.7</v>
      </c>
      <c r="D992">
        <v>11.7</v>
      </c>
      <c r="E992" s="178">
        <v>-0.1</v>
      </c>
      <c r="F992" s="176">
        <v>-0.85</v>
      </c>
      <c r="G992" t="s">
        <v>6315</v>
      </c>
      <c r="H992">
        <v>376</v>
      </c>
      <c r="I992">
        <v>431</v>
      </c>
      <c r="J992">
        <v>15.5</v>
      </c>
      <c r="K992">
        <v>11.8</v>
      </c>
      <c r="L992">
        <v>11.55</v>
      </c>
      <c r="M992" s="175">
        <v>0.24</v>
      </c>
      <c r="N992" t="s">
        <v>4191</v>
      </c>
    </row>
    <row r="993" spans="1:14">
      <c r="A993">
        <v>3051</v>
      </c>
      <c r="B993" t="s">
        <v>2057</v>
      </c>
      <c r="C993">
        <v>23</v>
      </c>
      <c r="D993">
        <v>22.75</v>
      </c>
      <c r="E993" s="178">
        <v>-0.4</v>
      </c>
      <c r="F993" s="176">
        <v>-1.73</v>
      </c>
      <c r="G993" t="s">
        <v>5688</v>
      </c>
      <c r="H993">
        <v>437</v>
      </c>
      <c r="I993">
        <v>496</v>
      </c>
      <c r="J993">
        <v>16.7</v>
      </c>
      <c r="K993">
        <v>23.15</v>
      </c>
      <c r="L993">
        <v>22.65</v>
      </c>
      <c r="M993" s="175">
        <v>0.26</v>
      </c>
      <c r="N993" t="s">
        <v>3706</v>
      </c>
    </row>
    <row r="994" spans="1:14">
      <c r="A994">
        <v>3052</v>
      </c>
      <c r="B994" t="s">
        <v>906</v>
      </c>
      <c r="C994">
        <v>11.1</v>
      </c>
      <c r="D994">
        <v>11.15</v>
      </c>
      <c r="E994" s="178">
        <v>0</v>
      </c>
      <c r="F994" s="176">
        <v>0</v>
      </c>
      <c r="G994" t="s">
        <v>5567</v>
      </c>
      <c r="H994">
        <v>533</v>
      </c>
      <c r="I994">
        <v>430</v>
      </c>
      <c r="J994">
        <v>23.32</v>
      </c>
      <c r="K994">
        <v>11.2</v>
      </c>
      <c r="L994">
        <v>11.05</v>
      </c>
      <c r="M994" s="175">
        <v>0.23</v>
      </c>
      <c r="N994" t="s">
        <v>3887</v>
      </c>
    </row>
    <row r="995" spans="1:14">
      <c r="A995">
        <v>3054</v>
      </c>
      <c r="B995" t="s">
        <v>907</v>
      </c>
      <c r="C995">
        <v>56.7</v>
      </c>
      <c r="D995">
        <v>57.9</v>
      </c>
      <c r="E995" s="178">
        <v>1.2</v>
      </c>
      <c r="F995" s="176">
        <v>2.12</v>
      </c>
      <c r="G995" t="s">
        <v>5226</v>
      </c>
      <c r="H995">
        <v>103</v>
      </c>
      <c r="I995">
        <v>102</v>
      </c>
      <c r="J995">
        <v>8.07</v>
      </c>
      <c r="K995">
        <v>58.2</v>
      </c>
      <c r="L995">
        <v>56</v>
      </c>
      <c r="M995" s="175">
        <v>0.13</v>
      </c>
      <c r="N995" t="s">
        <v>5614</v>
      </c>
    </row>
    <row r="996" spans="1:14">
      <c r="A996">
        <v>3055</v>
      </c>
      <c r="B996" t="s">
        <v>908</v>
      </c>
      <c r="C996">
        <v>127.5</v>
      </c>
      <c r="D996">
        <v>120.5</v>
      </c>
      <c r="E996" s="178">
        <v>-7</v>
      </c>
      <c r="F996" s="176">
        <v>-5.49</v>
      </c>
      <c r="G996" t="s">
        <v>6316</v>
      </c>
      <c r="H996">
        <v>2406</v>
      </c>
      <c r="I996">
        <v>2205</v>
      </c>
      <c r="J996">
        <v>11.5</v>
      </c>
      <c r="K996">
        <v>130</v>
      </c>
      <c r="L996">
        <v>117.5</v>
      </c>
      <c r="M996" s="175">
        <v>2.44</v>
      </c>
      <c r="N996" t="s">
        <v>4496</v>
      </c>
    </row>
    <row r="997" spans="1:14">
      <c r="A997">
        <v>3056</v>
      </c>
      <c r="B997" t="s">
        <v>3050</v>
      </c>
      <c r="C997">
        <v>14.2</v>
      </c>
      <c r="D997">
        <v>14.05</v>
      </c>
      <c r="E997" s="178">
        <v>-0.15</v>
      </c>
      <c r="F997" s="176">
        <v>-1.06</v>
      </c>
      <c r="G997" t="s">
        <v>6317</v>
      </c>
      <c r="H997">
        <v>611</v>
      </c>
      <c r="I997">
        <v>548</v>
      </c>
      <c r="J997">
        <v>48.06</v>
      </c>
      <c r="K997">
        <v>14.2</v>
      </c>
      <c r="L997">
        <v>13.95</v>
      </c>
      <c r="M997" s="175">
        <v>0.13</v>
      </c>
      <c r="N997" t="s">
        <v>3224</v>
      </c>
    </row>
    <row r="998" spans="1:14">
      <c r="A998">
        <v>3057</v>
      </c>
      <c r="B998" t="s">
        <v>4669</v>
      </c>
      <c r="C998">
        <v>17.2</v>
      </c>
      <c r="D998">
        <v>17.5</v>
      </c>
      <c r="E998" s="178">
        <v>0.2</v>
      </c>
      <c r="F998" s="176">
        <v>1.1599999999999999</v>
      </c>
      <c r="G998" t="s">
        <v>5342</v>
      </c>
      <c r="H998">
        <v>65</v>
      </c>
      <c r="I998">
        <v>114</v>
      </c>
      <c r="J998">
        <v>6.79</v>
      </c>
      <c r="K998">
        <v>17.5</v>
      </c>
      <c r="L998">
        <v>16.899999999999999</v>
      </c>
      <c r="M998" s="175">
        <v>0.11</v>
      </c>
      <c r="N998" t="s">
        <v>4670</v>
      </c>
    </row>
    <row r="999" spans="1:14">
      <c r="A999">
        <v>3058</v>
      </c>
      <c r="B999" t="s">
        <v>909</v>
      </c>
      <c r="C999">
        <v>8.15</v>
      </c>
      <c r="D999">
        <v>8.25</v>
      </c>
      <c r="E999" s="178">
        <v>0.1</v>
      </c>
      <c r="F999" s="176">
        <v>1.23</v>
      </c>
      <c r="G999" t="s">
        <v>5572</v>
      </c>
      <c r="H999">
        <v>373</v>
      </c>
      <c r="I999">
        <v>317</v>
      </c>
      <c r="J999">
        <v>20.170000000000002</v>
      </c>
      <c r="K999">
        <v>8.27</v>
      </c>
      <c r="L999">
        <v>8.1</v>
      </c>
      <c r="M999" s="175">
        <v>0.18</v>
      </c>
      <c r="N999" t="s">
        <v>1699</v>
      </c>
    </row>
    <row r="1000" spans="1:14">
      <c r="A1000">
        <v>3059</v>
      </c>
      <c r="B1000" t="s">
        <v>910</v>
      </c>
      <c r="C1000">
        <v>39.35</v>
      </c>
      <c r="D1000">
        <v>39.549999999999997</v>
      </c>
      <c r="E1000" s="178">
        <v>-0.3</v>
      </c>
      <c r="F1000" s="176">
        <v>-0.75</v>
      </c>
      <c r="G1000" t="s">
        <v>6318</v>
      </c>
      <c r="H1000">
        <v>968</v>
      </c>
      <c r="I1000">
        <v>1427</v>
      </c>
      <c r="J1000">
        <v>30.77</v>
      </c>
      <c r="K1000">
        <v>39.799999999999997</v>
      </c>
      <c r="L1000">
        <v>39.200000000000003</v>
      </c>
      <c r="M1000" s="175">
        <v>0.31</v>
      </c>
      <c r="N1000" t="s">
        <v>3136</v>
      </c>
    </row>
    <row r="1001" spans="1:14">
      <c r="A1001">
        <v>3060</v>
      </c>
      <c r="B1001" t="s">
        <v>911</v>
      </c>
      <c r="C1001">
        <v>26.9</v>
      </c>
      <c r="D1001">
        <v>26.5</v>
      </c>
      <c r="E1001" s="178">
        <v>-0.4</v>
      </c>
      <c r="F1001" s="176">
        <v>-1.49</v>
      </c>
      <c r="G1001" t="s">
        <v>6319</v>
      </c>
      <c r="H1001">
        <v>875</v>
      </c>
      <c r="I1001">
        <v>731</v>
      </c>
      <c r="J1001">
        <v>13.76</v>
      </c>
      <c r="K1001">
        <v>27.25</v>
      </c>
      <c r="L1001">
        <v>26.45</v>
      </c>
      <c r="M1001" s="175">
        <v>0.64</v>
      </c>
      <c r="N1001" t="s">
        <v>3707</v>
      </c>
    </row>
    <row r="1002" spans="1:14">
      <c r="A1002">
        <v>3062</v>
      </c>
      <c r="B1002" t="s">
        <v>912</v>
      </c>
      <c r="C1002">
        <v>20.95</v>
      </c>
      <c r="D1002">
        <v>20.7</v>
      </c>
      <c r="E1002" s="178">
        <v>-0.25</v>
      </c>
      <c r="F1002" s="176">
        <v>-1.19</v>
      </c>
      <c r="G1002" t="s">
        <v>5668</v>
      </c>
      <c r="H1002">
        <v>715</v>
      </c>
      <c r="I1002">
        <v>910</v>
      </c>
      <c r="J1002">
        <v>33.01</v>
      </c>
      <c r="K1002">
        <v>21.05</v>
      </c>
      <c r="L1002">
        <v>20.6</v>
      </c>
      <c r="M1002" s="175">
        <v>0.22</v>
      </c>
      <c r="N1002" t="s">
        <v>3888</v>
      </c>
    </row>
    <row r="1003" spans="1:14">
      <c r="A1003">
        <v>3064</v>
      </c>
      <c r="B1003" t="s">
        <v>913</v>
      </c>
      <c r="C1003" t="s">
        <v>1667</v>
      </c>
      <c r="D1003" t="s">
        <v>1667</v>
      </c>
      <c r="E1003" s="178" t="s">
        <v>1667</v>
      </c>
      <c r="F1003" s="176" t="s">
        <v>1667</v>
      </c>
      <c r="G1003" t="s">
        <v>1667</v>
      </c>
      <c r="H1003">
        <v>0</v>
      </c>
      <c r="I1003">
        <v>0</v>
      </c>
      <c r="J1003">
        <v>1.3</v>
      </c>
      <c r="K1003" t="s">
        <v>1667</v>
      </c>
      <c r="L1003" t="s">
        <v>1667</v>
      </c>
      <c r="M1003" s="175">
        <v>0</v>
      </c>
      <c r="N1003" t="s">
        <v>4743</v>
      </c>
    </row>
    <row r="1004" spans="1:14">
      <c r="A1004">
        <v>3066</v>
      </c>
      <c r="B1004" t="s">
        <v>914</v>
      </c>
      <c r="C1004">
        <v>27.65</v>
      </c>
      <c r="D1004">
        <v>25.55</v>
      </c>
      <c r="E1004" s="178">
        <v>-1.95</v>
      </c>
      <c r="F1004" s="176">
        <v>-7.09</v>
      </c>
      <c r="G1004" t="s">
        <v>5961</v>
      </c>
      <c r="H1004">
        <v>4595</v>
      </c>
      <c r="I1004">
        <v>1140</v>
      </c>
      <c r="J1004">
        <v>8.31</v>
      </c>
      <c r="K1004">
        <v>28.6</v>
      </c>
      <c r="L1004">
        <v>25.2</v>
      </c>
      <c r="M1004" s="175">
        <v>5.53</v>
      </c>
      <c r="N1004" t="s">
        <v>1700</v>
      </c>
    </row>
    <row r="1005" spans="1:14">
      <c r="A1005">
        <v>3067</v>
      </c>
      <c r="B1005" t="s">
        <v>2046</v>
      </c>
      <c r="C1005">
        <v>18.3</v>
      </c>
      <c r="D1005">
        <v>18.3</v>
      </c>
      <c r="E1005" s="178">
        <v>0.3</v>
      </c>
      <c r="F1005" s="176">
        <v>1.67</v>
      </c>
      <c r="G1005" t="s">
        <v>6320</v>
      </c>
      <c r="H1005">
        <v>1</v>
      </c>
      <c r="I1005">
        <v>4</v>
      </c>
      <c r="J1005">
        <v>2</v>
      </c>
      <c r="K1005">
        <v>18.3</v>
      </c>
      <c r="L1005">
        <v>18.3</v>
      </c>
      <c r="M1005" s="175">
        <v>0.01</v>
      </c>
      <c r="N1005" t="s">
        <v>2047</v>
      </c>
    </row>
    <row r="1006" spans="1:14">
      <c r="A1006">
        <v>3071</v>
      </c>
      <c r="B1006" t="s">
        <v>915</v>
      </c>
      <c r="C1006">
        <v>24.6</v>
      </c>
      <c r="D1006">
        <v>24.45</v>
      </c>
      <c r="E1006" s="178">
        <v>0</v>
      </c>
      <c r="F1006" s="176">
        <v>0</v>
      </c>
      <c r="G1006" t="s">
        <v>5424</v>
      </c>
      <c r="H1006">
        <v>72</v>
      </c>
      <c r="I1006">
        <v>138</v>
      </c>
      <c r="J1006">
        <v>11</v>
      </c>
      <c r="K1006">
        <v>24.6</v>
      </c>
      <c r="L1006">
        <v>24.15</v>
      </c>
      <c r="M1006" s="175">
        <v>7.0000000000000007E-2</v>
      </c>
      <c r="N1006" t="s">
        <v>3708</v>
      </c>
    </row>
    <row r="1007" spans="1:14">
      <c r="A1007">
        <v>3073</v>
      </c>
      <c r="B1007" t="s">
        <v>2603</v>
      </c>
      <c r="C1007">
        <v>21.65</v>
      </c>
      <c r="D1007">
        <v>21.85</v>
      </c>
      <c r="E1007" s="178">
        <v>-0.3</v>
      </c>
      <c r="F1007" s="176">
        <v>-1.35</v>
      </c>
      <c r="G1007" t="s">
        <v>5559</v>
      </c>
      <c r="H1007">
        <v>6</v>
      </c>
      <c r="I1007">
        <v>42</v>
      </c>
      <c r="J1007">
        <v>3.95</v>
      </c>
      <c r="K1007">
        <v>21.85</v>
      </c>
      <c r="L1007">
        <v>21.65</v>
      </c>
      <c r="M1007" s="175">
        <v>0.02</v>
      </c>
      <c r="N1007" t="s">
        <v>3137</v>
      </c>
    </row>
    <row r="1008" spans="1:14">
      <c r="A1008">
        <v>3078</v>
      </c>
      <c r="B1008" t="s">
        <v>916</v>
      </c>
      <c r="C1008">
        <v>52.8</v>
      </c>
      <c r="D1008">
        <v>51.9</v>
      </c>
      <c r="E1008" s="178">
        <v>-0.7</v>
      </c>
      <c r="F1008" s="176">
        <v>-1.33</v>
      </c>
      <c r="G1008" t="s">
        <v>5355</v>
      </c>
      <c r="H1008">
        <v>2597</v>
      </c>
      <c r="I1008">
        <v>798</v>
      </c>
      <c r="J1008">
        <v>22.74</v>
      </c>
      <c r="K1008">
        <v>53</v>
      </c>
      <c r="L1008">
        <v>51.9</v>
      </c>
      <c r="M1008" s="175">
        <v>1.1399999999999999</v>
      </c>
      <c r="N1008" t="s">
        <v>3337</v>
      </c>
    </row>
    <row r="1009" spans="1:14">
      <c r="A1009">
        <v>3081</v>
      </c>
      <c r="B1009" t="s">
        <v>917</v>
      </c>
      <c r="C1009">
        <v>3240</v>
      </c>
      <c r="D1009">
        <v>3530</v>
      </c>
      <c r="E1009" s="178">
        <v>225</v>
      </c>
      <c r="F1009" s="176">
        <v>6.81</v>
      </c>
      <c r="G1009" t="s">
        <v>6321</v>
      </c>
      <c r="H1009">
        <v>3974</v>
      </c>
      <c r="I1009">
        <v>5082</v>
      </c>
      <c r="J1009">
        <v>10.18</v>
      </c>
      <c r="K1009">
        <v>3550</v>
      </c>
      <c r="L1009">
        <v>3235</v>
      </c>
      <c r="M1009" s="175">
        <v>3.9</v>
      </c>
      <c r="N1009" t="s">
        <v>3378</v>
      </c>
    </row>
    <row r="1010" spans="1:14">
      <c r="A1010">
        <v>3083</v>
      </c>
      <c r="B1010" t="s">
        <v>918</v>
      </c>
      <c r="C1010">
        <v>23.3</v>
      </c>
      <c r="D1010">
        <v>23.2</v>
      </c>
      <c r="E1010" s="178">
        <v>-0.15</v>
      </c>
      <c r="F1010" s="176">
        <v>-0.64</v>
      </c>
      <c r="G1010" t="s">
        <v>5615</v>
      </c>
      <c r="H1010">
        <v>50</v>
      </c>
      <c r="I1010">
        <v>32</v>
      </c>
      <c r="J1010">
        <v>8.65</v>
      </c>
      <c r="K1010">
        <v>23.35</v>
      </c>
      <c r="L1010">
        <v>23.2</v>
      </c>
      <c r="M1010" s="175">
        <v>0.06</v>
      </c>
      <c r="N1010" t="s">
        <v>4192</v>
      </c>
    </row>
    <row r="1011" spans="1:14">
      <c r="A1011">
        <v>3085</v>
      </c>
      <c r="B1011" t="s">
        <v>919</v>
      </c>
      <c r="C1011">
        <v>11.85</v>
      </c>
      <c r="D1011">
        <v>11.8</v>
      </c>
      <c r="E1011" s="178">
        <v>-0.1</v>
      </c>
      <c r="F1011" s="176">
        <v>-0.84</v>
      </c>
      <c r="G1011" t="s">
        <v>6252</v>
      </c>
      <c r="H1011">
        <v>9</v>
      </c>
      <c r="I1011">
        <v>2</v>
      </c>
      <c r="J1011">
        <v>6.9</v>
      </c>
      <c r="K1011">
        <v>11.85</v>
      </c>
      <c r="L1011">
        <v>11.1</v>
      </c>
      <c r="M1011" s="175">
        <v>0.01</v>
      </c>
      <c r="N1011" t="s">
        <v>4931</v>
      </c>
    </row>
    <row r="1012" spans="1:14">
      <c r="A1012">
        <v>3086</v>
      </c>
      <c r="B1012" t="s">
        <v>5033</v>
      </c>
      <c r="C1012">
        <v>27.5</v>
      </c>
      <c r="D1012">
        <v>30.25</v>
      </c>
      <c r="E1012" s="178">
        <v>2.75</v>
      </c>
      <c r="F1012" s="176">
        <v>10</v>
      </c>
      <c r="G1012" t="s">
        <v>6322</v>
      </c>
      <c r="H1012">
        <v>296</v>
      </c>
      <c r="I1012">
        <v>96</v>
      </c>
      <c r="J1012">
        <v>2.73</v>
      </c>
      <c r="K1012">
        <v>30.25</v>
      </c>
      <c r="L1012">
        <v>27.5</v>
      </c>
      <c r="M1012" s="175">
        <v>0.11</v>
      </c>
      <c r="N1012" t="s">
        <v>5034</v>
      </c>
    </row>
    <row r="1013" spans="1:14">
      <c r="A1013">
        <v>3088</v>
      </c>
      <c r="B1013" t="s">
        <v>920</v>
      </c>
      <c r="C1013">
        <v>124</v>
      </c>
      <c r="D1013">
        <v>123</v>
      </c>
      <c r="E1013" s="178">
        <v>-1</v>
      </c>
      <c r="F1013" s="176">
        <v>-0.81</v>
      </c>
      <c r="G1013" t="s">
        <v>6323</v>
      </c>
      <c r="H1013">
        <v>479</v>
      </c>
      <c r="I1013">
        <v>527</v>
      </c>
      <c r="J1013">
        <v>11.11</v>
      </c>
      <c r="K1013">
        <v>124.5</v>
      </c>
      <c r="L1013">
        <v>122</v>
      </c>
      <c r="M1013" s="175">
        <v>0.43</v>
      </c>
      <c r="N1013" t="s">
        <v>4193</v>
      </c>
    </row>
    <row r="1014" spans="1:14">
      <c r="A1014">
        <v>3090</v>
      </c>
      <c r="B1014" t="s">
        <v>1702</v>
      </c>
      <c r="C1014">
        <v>172</v>
      </c>
      <c r="D1014">
        <v>175</v>
      </c>
      <c r="E1014" s="178">
        <v>1</v>
      </c>
      <c r="F1014" s="176">
        <v>0.56999999999999995</v>
      </c>
      <c r="G1014" t="s">
        <v>6275</v>
      </c>
      <c r="H1014">
        <v>9492</v>
      </c>
      <c r="I1014">
        <v>7952</v>
      </c>
      <c r="J1014">
        <v>28.76</v>
      </c>
      <c r="K1014">
        <v>178.5</v>
      </c>
      <c r="L1014">
        <v>167</v>
      </c>
      <c r="M1014" s="175">
        <v>3.3</v>
      </c>
      <c r="N1014" t="s">
        <v>3976</v>
      </c>
    </row>
    <row r="1015" spans="1:14">
      <c r="A1015">
        <v>3092</v>
      </c>
      <c r="B1015" t="s">
        <v>921</v>
      </c>
      <c r="C1015">
        <v>24.3</v>
      </c>
      <c r="D1015">
        <v>24.4</v>
      </c>
      <c r="E1015" s="178">
        <v>-0.3</v>
      </c>
      <c r="F1015" s="176">
        <v>-1.21</v>
      </c>
      <c r="G1015" t="s">
        <v>6041</v>
      </c>
      <c r="H1015">
        <v>97</v>
      </c>
      <c r="I1015">
        <v>185</v>
      </c>
      <c r="J1015">
        <v>10.66</v>
      </c>
      <c r="K1015">
        <v>24.7</v>
      </c>
      <c r="L1015">
        <v>24.1</v>
      </c>
      <c r="M1015" s="175">
        <v>0.09</v>
      </c>
      <c r="N1015" t="s">
        <v>3985</v>
      </c>
    </row>
    <row r="1016" spans="1:14">
      <c r="A1016">
        <v>3093</v>
      </c>
      <c r="B1016" t="s">
        <v>2231</v>
      </c>
      <c r="C1016">
        <v>48.1</v>
      </c>
      <c r="D1016">
        <v>47.7</v>
      </c>
      <c r="E1016" s="178">
        <v>-1.6</v>
      </c>
      <c r="F1016" s="176">
        <v>-3.25</v>
      </c>
      <c r="G1016" t="s">
        <v>6324</v>
      </c>
      <c r="H1016">
        <v>327</v>
      </c>
      <c r="I1016">
        <v>535</v>
      </c>
      <c r="J1016">
        <v>3.63</v>
      </c>
      <c r="K1016">
        <v>48.95</v>
      </c>
      <c r="L1016">
        <v>47</v>
      </c>
      <c r="M1016" s="175">
        <v>0.23</v>
      </c>
      <c r="N1016" t="s">
        <v>2232</v>
      </c>
    </row>
    <row r="1017" spans="1:14">
      <c r="A1017">
        <v>3094</v>
      </c>
      <c r="B1017" t="s">
        <v>922</v>
      </c>
      <c r="C1017">
        <v>40</v>
      </c>
      <c r="D1017">
        <v>40.5</v>
      </c>
      <c r="E1017" s="178">
        <v>-0.3</v>
      </c>
      <c r="F1017" s="176">
        <v>-0.74</v>
      </c>
      <c r="G1017" t="s">
        <v>6301</v>
      </c>
      <c r="H1017">
        <v>4224</v>
      </c>
      <c r="I1017">
        <v>3767</v>
      </c>
      <c r="J1017">
        <v>8.31</v>
      </c>
      <c r="K1017">
        <v>40.950000000000003</v>
      </c>
      <c r="L1017">
        <v>39.700000000000003</v>
      </c>
      <c r="M1017" s="175">
        <v>5.08</v>
      </c>
      <c r="N1017" t="s">
        <v>4994</v>
      </c>
    </row>
    <row r="1018" spans="1:14">
      <c r="A1018">
        <v>3095</v>
      </c>
      <c r="B1018" t="s">
        <v>923</v>
      </c>
      <c r="C1018">
        <v>36.700000000000003</v>
      </c>
      <c r="D1018">
        <v>36</v>
      </c>
      <c r="E1018" s="178">
        <v>0.5</v>
      </c>
      <c r="F1018" s="176">
        <v>1.41</v>
      </c>
      <c r="G1018" t="s">
        <v>5608</v>
      </c>
      <c r="H1018">
        <v>10</v>
      </c>
      <c r="I1018">
        <v>8</v>
      </c>
      <c r="J1018">
        <v>1.47</v>
      </c>
      <c r="K1018">
        <v>36.700000000000003</v>
      </c>
      <c r="L1018">
        <v>35.549999999999997</v>
      </c>
      <c r="M1018" s="175">
        <v>0.1</v>
      </c>
      <c r="N1018" t="s">
        <v>3225</v>
      </c>
    </row>
    <row r="1019" spans="1:14">
      <c r="A1019">
        <v>3105</v>
      </c>
      <c r="B1019" t="s">
        <v>924</v>
      </c>
      <c r="C1019">
        <v>434.5</v>
      </c>
      <c r="D1019">
        <v>447.5</v>
      </c>
      <c r="E1019" s="178">
        <v>8.5</v>
      </c>
      <c r="F1019" s="176">
        <v>1.94</v>
      </c>
      <c r="G1019" t="s">
        <v>6325</v>
      </c>
      <c r="H1019">
        <v>51032</v>
      </c>
      <c r="I1019">
        <v>29585</v>
      </c>
      <c r="J1019">
        <v>42.39</v>
      </c>
      <c r="K1019">
        <v>471</v>
      </c>
      <c r="L1019">
        <v>425</v>
      </c>
      <c r="M1019" s="175">
        <v>12.04</v>
      </c>
      <c r="N1019" t="s">
        <v>3338</v>
      </c>
    </row>
    <row r="1020" spans="1:14">
      <c r="A1020">
        <v>3114</v>
      </c>
      <c r="B1020" t="s">
        <v>925</v>
      </c>
      <c r="C1020">
        <v>33.700000000000003</v>
      </c>
      <c r="D1020">
        <v>33.1</v>
      </c>
      <c r="E1020" s="178">
        <v>-0.8</v>
      </c>
      <c r="F1020" s="176">
        <v>-2.36</v>
      </c>
      <c r="G1020" t="s">
        <v>6326</v>
      </c>
      <c r="H1020">
        <v>205</v>
      </c>
      <c r="I1020">
        <v>239</v>
      </c>
      <c r="J1020">
        <v>6.51</v>
      </c>
      <c r="K1020">
        <v>33.799999999999997</v>
      </c>
      <c r="L1020">
        <v>33</v>
      </c>
      <c r="M1020" s="175">
        <v>0.31</v>
      </c>
      <c r="N1020" t="s">
        <v>3397</v>
      </c>
    </row>
    <row r="1021" spans="1:14">
      <c r="A1021">
        <v>3115</v>
      </c>
      <c r="B1021" t="s">
        <v>4259</v>
      </c>
      <c r="C1021" t="s">
        <v>1667</v>
      </c>
      <c r="D1021" t="s">
        <v>1667</v>
      </c>
      <c r="E1021" s="178" t="s">
        <v>1667</v>
      </c>
      <c r="F1021" s="176" t="s">
        <v>1667</v>
      </c>
      <c r="G1021" t="s">
        <v>1667</v>
      </c>
      <c r="H1021">
        <v>0</v>
      </c>
      <c r="I1021">
        <v>9</v>
      </c>
      <c r="J1021">
        <v>7.22</v>
      </c>
      <c r="K1021" t="s">
        <v>1667</v>
      </c>
      <c r="L1021" t="s">
        <v>1667</v>
      </c>
      <c r="M1021" s="175">
        <v>0</v>
      </c>
      <c r="N1021" t="s">
        <v>4561</v>
      </c>
    </row>
    <row r="1022" spans="1:14">
      <c r="A1022">
        <v>3118</v>
      </c>
      <c r="B1022" t="s">
        <v>926</v>
      </c>
      <c r="C1022">
        <v>31.7</v>
      </c>
      <c r="D1022">
        <v>31.4</v>
      </c>
      <c r="E1022" s="178">
        <v>-0.1</v>
      </c>
      <c r="F1022" s="176">
        <v>-0.32</v>
      </c>
      <c r="G1022" t="s">
        <v>5223</v>
      </c>
      <c r="H1022">
        <v>35</v>
      </c>
      <c r="I1022">
        <v>17</v>
      </c>
      <c r="J1022">
        <v>3.25</v>
      </c>
      <c r="K1022">
        <v>31.75</v>
      </c>
      <c r="L1022">
        <v>31.25</v>
      </c>
      <c r="M1022" s="175">
        <v>0.11</v>
      </c>
      <c r="N1022" t="s">
        <v>3226</v>
      </c>
    </row>
    <row r="1023" spans="1:14">
      <c r="A1023">
        <v>3122</v>
      </c>
      <c r="B1023" t="s">
        <v>927</v>
      </c>
      <c r="C1023">
        <v>25.95</v>
      </c>
      <c r="D1023">
        <v>25.9</v>
      </c>
      <c r="E1023" s="178">
        <v>0.05</v>
      </c>
      <c r="F1023" s="176">
        <v>0.19</v>
      </c>
      <c r="G1023" t="s">
        <v>6327</v>
      </c>
      <c r="H1023">
        <v>19</v>
      </c>
      <c r="I1023">
        <v>51</v>
      </c>
      <c r="J1023">
        <v>4.08</v>
      </c>
      <c r="K1023">
        <v>25.95</v>
      </c>
      <c r="L1023">
        <v>25.55</v>
      </c>
      <c r="M1023" s="175">
        <v>0.05</v>
      </c>
      <c r="N1023" t="s">
        <v>1703</v>
      </c>
    </row>
    <row r="1024" spans="1:14">
      <c r="A1024">
        <v>3128</v>
      </c>
      <c r="B1024" t="s">
        <v>928</v>
      </c>
      <c r="C1024">
        <v>20.7</v>
      </c>
      <c r="D1024">
        <v>20.350000000000001</v>
      </c>
      <c r="E1024" s="178">
        <v>-0.35</v>
      </c>
      <c r="F1024" s="176">
        <v>-1.69</v>
      </c>
      <c r="G1024" t="s">
        <v>5229</v>
      </c>
      <c r="H1024">
        <v>70</v>
      </c>
      <c r="I1024">
        <v>169</v>
      </c>
      <c r="J1024">
        <v>5.0199999999999996</v>
      </c>
      <c r="K1024">
        <v>20.7</v>
      </c>
      <c r="L1024">
        <v>20.25</v>
      </c>
      <c r="M1024" s="175">
        <v>0.14000000000000001</v>
      </c>
      <c r="N1024" t="s">
        <v>3379</v>
      </c>
    </row>
    <row r="1025" spans="1:14">
      <c r="A1025">
        <v>3130</v>
      </c>
      <c r="B1025" t="s">
        <v>929</v>
      </c>
      <c r="C1025">
        <v>209.5</v>
      </c>
      <c r="D1025">
        <v>209.5</v>
      </c>
      <c r="E1025" s="178">
        <v>0.5</v>
      </c>
      <c r="F1025" s="176">
        <v>0.24</v>
      </c>
      <c r="G1025" t="s">
        <v>6328</v>
      </c>
      <c r="H1025">
        <v>44</v>
      </c>
      <c r="I1025">
        <v>52</v>
      </c>
      <c r="J1025">
        <v>3.32</v>
      </c>
      <c r="K1025">
        <v>211</v>
      </c>
      <c r="L1025">
        <v>209</v>
      </c>
      <c r="M1025" s="175">
        <v>0.13</v>
      </c>
      <c r="N1025" t="s">
        <v>1704</v>
      </c>
    </row>
    <row r="1026" spans="1:14">
      <c r="A1026">
        <v>3131</v>
      </c>
      <c r="B1026" t="s">
        <v>930</v>
      </c>
      <c r="C1026">
        <v>2450</v>
      </c>
      <c r="D1026">
        <v>2410</v>
      </c>
      <c r="E1026" s="178">
        <v>-75</v>
      </c>
      <c r="F1026" s="176">
        <v>-3.02</v>
      </c>
      <c r="G1026" t="s">
        <v>6329</v>
      </c>
      <c r="H1026">
        <v>716</v>
      </c>
      <c r="I1026">
        <v>598</v>
      </c>
      <c r="J1026">
        <v>2.99</v>
      </c>
      <c r="K1026">
        <v>2450</v>
      </c>
      <c r="L1026">
        <v>2335</v>
      </c>
      <c r="M1026" s="175">
        <v>2.39</v>
      </c>
      <c r="N1026" t="s">
        <v>3227</v>
      </c>
    </row>
    <row r="1027" spans="1:14">
      <c r="A1027">
        <v>3135</v>
      </c>
      <c r="B1027" t="s">
        <v>4577</v>
      </c>
      <c r="C1027">
        <v>179</v>
      </c>
      <c r="D1027">
        <v>182.5</v>
      </c>
      <c r="E1027" s="178">
        <v>1.5</v>
      </c>
      <c r="F1027" s="176">
        <v>0.83</v>
      </c>
      <c r="G1027" t="s">
        <v>6330</v>
      </c>
      <c r="H1027">
        <v>1457</v>
      </c>
      <c r="I1027">
        <v>3580</v>
      </c>
      <c r="J1027">
        <v>9.73</v>
      </c>
      <c r="K1027">
        <v>183</v>
      </c>
      <c r="L1027">
        <v>178.5</v>
      </c>
      <c r="M1027" s="175">
        <v>1.43</v>
      </c>
      <c r="N1027" t="s">
        <v>4737</v>
      </c>
    </row>
    <row r="1028" spans="1:14">
      <c r="A1028">
        <v>3138</v>
      </c>
      <c r="B1028" t="s">
        <v>931</v>
      </c>
      <c r="C1028">
        <v>97.6</v>
      </c>
      <c r="D1028">
        <v>96</v>
      </c>
      <c r="E1028" s="178">
        <v>-1.6</v>
      </c>
      <c r="F1028" s="176">
        <v>-1.64</v>
      </c>
      <c r="G1028" t="s">
        <v>6331</v>
      </c>
      <c r="H1028">
        <v>172</v>
      </c>
      <c r="I1028">
        <v>128</v>
      </c>
      <c r="J1028">
        <v>5.64</v>
      </c>
      <c r="K1028">
        <v>98.6</v>
      </c>
      <c r="L1028">
        <v>96</v>
      </c>
      <c r="M1028" s="175">
        <v>0.33</v>
      </c>
      <c r="N1028" t="s">
        <v>3172</v>
      </c>
    </row>
    <row r="1029" spans="1:14">
      <c r="A1029">
        <v>3141</v>
      </c>
      <c r="B1029" t="s">
        <v>932</v>
      </c>
      <c r="C1029">
        <v>75</v>
      </c>
      <c r="D1029">
        <v>82.3</v>
      </c>
      <c r="E1029" s="178">
        <v>6.6</v>
      </c>
      <c r="F1029" s="176">
        <v>8.7200000000000006</v>
      </c>
      <c r="G1029" t="s">
        <v>6000</v>
      </c>
      <c r="H1029">
        <v>3479</v>
      </c>
      <c r="I1029">
        <v>745</v>
      </c>
      <c r="J1029">
        <v>7.55</v>
      </c>
      <c r="K1029">
        <v>83</v>
      </c>
      <c r="L1029">
        <v>74.599999999999994</v>
      </c>
      <c r="M1029" s="175">
        <v>4.6100000000000003</v>
      </c>
      <c r="N1029" t="s">
        <v>4995</v>
      </c>
    </row>
    <row r="1030" spans="1:14">
      <c r="A1030">
        <v>3147</v>
      </c>
      <c r="B1030" t="s">
        <v>329</v>
      </c>
      <c r="C1030">
        <v>218</v>
      </c>
      <c r="D1030">
        <v>218</v>
      </c>
      <c r="E1030" s="178">
        <v>-1</v>
      </c>
      <c r="F1030" s="176">
        <v>-0.46</v>
      </c>
      <c r="G1030" t="s">
        <v>6332</v>
      </c>
      <c r="H1030">
        <v>222</v>
      </c>
      <c r="I1030">
        <v>310</v>
      </c>
      <c r="J1030">
        <v>4.37</v>
      </c>
      <c r="K1030">
        <v>220.5</v>
      </c>
      <c r="L1030">
        <v>215.5</v>
      </c>
      <c r="M1030" s="175">
        <v>0.51</v>
      </c>
      <c r="N1030" t="s">
        <v>1705</v>
      </c>
    </row>
    <row r="1031" spans="1:14">
      <c r="A1031">
        <v>3149</v>
      </c>
      <c r="B1031" t="s">
        <v>933</v>
      </c>
      <c r="C1031">
        <v>65.599999999999994</v>
      </c>
      <c r="D1031">
        <v>64.099999999999994</v>
      </c>
      <c r="E1031" s="178">
        <v>-2.2999999999999998</v>
      </c>
      <c r="F1031" s="176">
        <v>-3.46</v>
      </c>
      <c r="G1031" t="s">
        <v>5381</v>
      </c>
      <c r="H1031">
        <v>3818</v>
      </c>
      <c r="I1031">
        <v>5448</v>
      </c>
      <c r="J1031">
        <v>28.62</v>
      </c>
      <c r="K1031">
        <v>66.3</v>
      </c>
      <c r="L1031">
        <v>63.9</v>
      </c>
      <c r="M1031" s="175">
        <v>1.33</v>
      </c>
      <c r="N1031" t="s">
        <v>3228</v>
      </c>
    </row>
    <row r="1032" spans="1:14">
      <c r="A1032">
        <v>3152</v>
      </c>
      <c r="B1032" t="s">
        <v>5142</v>
      </c>
      <c r="C1032">
        <v>243</v>
      </c>
      <c r="D1032">
        <v>241.5</v>
      </c>
      <c r="E1032" s="178">
        <v>-6.5</v>
      </c>
      <c r="F1032" s="176">
        <v>-2.62</v>
      </c>
      <c r="G1032" t="s">
        <v>6333</v>
      </c>
      <c r="H1032">
        <v>139</v>
      </c>
      <c r="I1032">
        <v>580</v>
      </c>
      <c r="J1032">
        <v>3.9</v>
      </c>
      <c r="K1032">
        <v>247.5</v>
      </c>
      <c r="L1032">
        <v>241</v>
      </c>
      <c r="M1032" s="175">
        <v>0.36</v>
      </c>
      <c r="N1032" t="s">
        <v>5143</v>
      </c>
    </row>
    <row r="1033" spans="1:14">
      <c r="A1033">
        <v>3158</v>
      </c>
      <c r="B1033" t="s">
        <v>4712</v>
      </c>
      <c r="C1033">
        <v>83.1</v>
      </c>
      <c r="D1033">
        <v>83.5</v>
      </c>
      <c r="E1033" s="178">
        <v>0.5</v>
      </c>
      <c r="F1033" s="176">
        <v>0.6</v>
      </c>
      <c r="G1033" t="s">
        <v>5724</v>
      </c>
      <c r="H1033">
        <v>8</v>
      </c>
      <c r="I1033">
        <v>4</v>
      </c>
      <c r="J1033">
        <v>3.07</v>
      </c>
      <c r="K1033">
        <v>83.5</v>
      </c>
      <c r="L1033">
        <v>83</v>
      </c>
      <c r="M1033" s="175">
        <v>0.03</v>
      </c>
      <c r="N1033" t="s">
        <v>4713</v>
      </c>
    </row>
    <row r="1034" spans="1:14">
      <c r="A1034">
        <v>3162</v>
      </c>
      <c r="B1034" t="s">
        <v>934</v>
      </c>
      <c r="C1034">
        <v>71.8</v>
      </c>
      <c r="D1034">
        <v>72.7</v>
      </c>
      <c r="E1034" s="178">
        <v>0.1</v>
      </c>
      <c r="F1034" s="176">
        <v>0.14000000000000001</v>
      </c>
      <c r="G1034" t="s">
        <v>6334</v>
      </c>
      <c r="H1034">
        <v>957</v>
      </c>
      <c r="I1034">
        <v>2618</v>
      </c>
      <c r="J1034">
        <v>15.4</v>
      </c>
      <c r="K1034">
        <v>73.5</v>
      </c>
      <c r="L1034">
        <v>71.2</v>
      </c>
      <c r="M1034" s="175">
        <v>0.62</v>
      </c>
      <c r="N1034" t="s">
        <v>3437</v>
      </c>
    </row>
    <row r="1035" spans="1:14">
      <c r="A1035">
        <v>3163</v>
      </c>
      <c r="B1035" t="s">
        <v>935</v>
      </c>
      <c r="C1035">
        <v>731</v>
      </c>
      <c r="D1035">
        <v>741</v>
      </c>
      <c r="E1035" s="178">
        <v>-13</v>
      </c>
      <c r="F1035" s="176">
        <v>-1.72</v>
      </c>
      <c r="G1035" t="s">
        <v>6335</v>
      </c>
      <c r="H1035">
        <v>952</v>
      </c>
      <c r="I1035">
        <v>5824</v>
      </c>
      <c r="J1035">
        <v>9.4600000000000009</v>
      </c>
      <c r="K1035">
        <v>750</v>
      </c>
      <c r="L1035">
        <v>726</v>
      </c>
      <c r="M1035" s="175">
        <v>1.01</v>
      </c>
      <c r="N1035" t="s">
        <v>3339</v>
      </c>
    </row>
    <row r="1036" spans="1:14">
      <c r="A1036">
        <v>3164</v>
      </c>
      <c r="B1036" t="s">
        <v>936</v>
      </c>
      <c r="C1036">
        <v>15.85</v>
      </c>
      <c r="D1036">
        <v>15.95</v>
      </c>
      <c r="E1036" s="178">
        <v>-0.2</v>
      </c>
      <c r="F1036" s="176">
        <v>-1.24</v>
      </c>
      <c r="G1036" t="s">
        <v>5755</v>
      </c>
      <c r="H1036">
        <v>12</v>
      </c>
      <c r="I1036">
        <v>17</v>
      </c>
      <c r="J1036">
        <v>8.6</v>
      </c>
      <c r="K1036">
        <v>15.95</v>
      </c>
      <c r="L1036">
        <v>15.8</v>
      </c>
      <c r="M1036" s="175">
        <v>0.01</v>
      </c>
      <c r="N1036" t="s">
        <v>1706</v>
      </c>
    </row>
    <row r="1037" spans="1:14">
      <c r="A1037">
        <v>3167</v>
      </c>
      <c r="B1037" t="s">
        <v>937</v>
      </c>
      <c r="C1037">
        <v>764</v>
      </c>
      <c r="D1037">
        <v>794</v>
      </c>
      <c r="E1037" s="178">
        <v>11</v>
      </c>
      <c r="F1037" s="176">
        <v>1.4</v>
      </c>
      <c r="G1037" t="s">
        <v>5472</v>
      </c>
      <c r="H1037">
        <v>4171</v>
      </c>
      <c r="I1037">
        <v>4821</v>
      </c>
      <c r="J1037">
        <v>9.0399999999999991</v>
      </c>
      <c r="K1037">
        <v>805</v>
      </c>
      <c r="L1037">
        <v>763</v>
      </c>
      <c r="M1037" s="175">
        <v>4.66</v>
      </c>
      <c r="N1037" t="s">
        <v>1707</v>
      </c>
    </row>
    <row r="1038" spans="1:14">
      <c r="A1038">
        <v>3168</v>
      </c>
      <c r="B1038" t="s">
        <v>3414</v>
      </c>
      <c r="C1038">
        <v>41.3</v>
      </c>
      <c r="D1038">
        <v>41.85</v>
      </c>
      <c r="E1038" s="178">
        <v>-0.25</v>
      </c>
      <c r="F1038" s="176">
        <v>-0.59</v>
      </c>
      <c r="G1038" t="s">
        <v>5449</v>
      </c>
      <c r="H1038">
        <v>4</v>
      </c>
      <c r="I1038">
        <v>8</v>
      </c>
      <c r="J1038">
        <v>7.51</v>
      </c>
      <c r="K1038">
        <v>41.85</v>
      </c>
      <c r="L1038">
        <v>41.3</v>
      </c>
      <c r="M1038" s="175">
        <v>0.01</v>
      </c>
      <c r="N1038" t="s">
        <v>3415</v>
      </c>
    </row>
    <row r="1039" spans="1:14">
      <c r="A1039">
        <v>3169</v>
      </c>
      <c r="B1039" t="s">
        <v>938</v>
      </c>
      <c r="C1039">
        <v>101</v>
      </c>
      <c r="D1039">
        <v>100.5</v>
      </c>
      <c r="E1039" s="178">
        <v>-1.5</v>
      </c>
      <c r="F1039" s="176">
        <v>-1.47</v>
      </c>
      <c r="G1039" t="s">
        <v>6336</v>
      </c>
      <c r="H1039">
        <v>45</v>
      </c>
      <c r="I1039">
        <v>69</v>
      </c>
      <c r="J1039">
        <v>6.33</v>
      </c>
      <c r="K1039">
        <v>101.5</v>
      </c>
      <c r="L1039">
        <v>100</v>
      </c>
      <c r="M1039" s="175">
        <v>7.0000000000000007E-2</v>
      </c>
      <c r="N1039" t="s">
        <v>3340</v>
      </c>
    </row>
    <row r="1040" spans="1:14">
      <c r="A1040">
        <v>3171</v>
      </c>
      <c r="B1040" t="s">
        <v>4066</v>
      </c>
      <c r="C1040">
        <v>63</v>
      </c>
      <c r="D1040">
        <v>63</v>
      </c>
      <c r="E1040" s="178">
        <v>-0.3</v>
      </c>
      <c r="F1040" s="176">
        <v>-0.47</v>
      </c>
      <c r="G1040" t="s">
        <v>6337</v>
      </c>
      <c r="H1040">
        <v>10</v>
      </c>
      <c r="I1040">
        <v>10</v>
      </c>
      <c r="J1040">
        <v>3.31</v>
      </c>
      <c r="K1040">
        <v>63</v>
      </c>
      <c r="L1040">
        <v>62.8</v>
      </c>
      <c r="M1040" s="175">
        <v>0.03</v>
      </c>
      <c r="N1040" t="s">
        <v>4067</v>
      </c>
    </row>
    <row r="1041" spans="1:14">
      <c r="A1041">
        <v>3176</v>
      </c>
      <c r="B1041" t="s">
        <v>939</v>
      </c>
      <c r="C1041">
        <v>38.9</v>
      </c>
      <c r="D1041">
        <v>37.5</v>
      </c>
      <c r="E1041" s="178">
        <v>-1.4</v>
      </c>
      <c r="F1041" s="176">
        <v>-3.6</v>
      </c>
      <c r="G1041" t="s">
        <v>5639</v>
      </c>
      <c r="H1041">
        <v>1110</v>
      </c>
      <c r="I1041">
        <v>1423</v>
      </c>
      <c r="J1041">
        <v>13.93</v>
      </c>
      <c r="K1041">
        <v>38.9</v>
      </c>
      <c r="L1041">
        <v>36.75</v>
      </c>
      <c r="M1041" s="175">
        <v>0.8</v>
      </c>
      <c r="N1041" t="s">
        <v>4367</v>
      </c>
    </row>
    <row r="1042" spans="1:14">
      <c r="A1042">
        <v>3178</v>
      </c>
      <c r="B1042" t="s">
        <v>345</v>
      </c>
      <c r="C1042">
        <v>60.6</v>
      </c>
      <c r="D1042">
        <v>60.6</v>
      </c>
      <c r="E1042" s="178">
        <v>-1.9</v>
      </c>
      <c r="F1042" s="176">
        <v>-3.04</v>
      </c>
      <c r="G1042" t="s">
        <v>5402</v>
      </c>
      <c r="H1042">
        <v>40</v>
      </c>
      <c r="I1042">
        <v>45</v>
      </c>
      <c r="J1042">
        <v>4.51</v>
      </c>
      <c r="K1042">
        <v>62.5</v>
      </c>
      <c r="L1042">
        <v>60.1</v>
      </c>
      <c r="M1042" s="175">
        <v>0.09</v>
      </c>
      <c r="N1042" t="s">
        <v>4497</v>
      </c>
    </row>
    <row r="1043" spans="1:14">
      <c r="A1043">
        <v>3188</v>
      </c>
      <c r="B1043" t="s">
        <v>119</v>
      </c>
      <c r="C1043">
        <v>24.65</v>
      </c>
      <c r="D1043">
        <v>24.7</v>
      </c>
      <c r="E1043" s="178">
        <v>0.05</v>
      </c>
      <c r="F1043" s="176">
        <v>0.2</v>
      </c>
      <c r="G1043" t="s">
        <v>5459</v>
      </c>
      <c r="H1043">
        <v>172</v>
      </c>
      <c r="I1043">
        <v>163</v>
      </c>
      <c r="J1043">
        <v>18.91</v>
      </c>
      <c r="K1043">
        <v>24.75</v>
      </c>
      <c r="L1043">
        <v>24.55</v>
      </c>
      <c r="M1043" s="175">
        <v>0.09</v>
      </c>
      <c r="N1043" t="s">
        <v>3229</v>
      </c>
    </row>
    <row r="1044" spans="1:14">
      <c r="A1044">
        <v>3189</v>
      </c>
      <c r="B1044" t="s">
        <v>940</v>
      </c>
      <c r="C1044">
        <v>844</v>
      </c>
      <c r="D1044">
        <v>819</v>
      </c>
      <c r="E1044" s="178">
        <v>-80</v>
      </c>
      <c r="F1044" s="176">
        <v>-8.9</v>
      </c>
      <c r="G1044" t="s">
        <v>5574</v>
      </c>
      <c r="H1044">
        <v>30402</v>
      </c>
      <c r="I1044">
        <v>20126</v>
      </c>
      <c r="J1044">
        <v>52.69</v>
      </c>
      <c r="K1044">
        <v>899</v>
      </c>
      <c r="L1044">
        <v>810</v>
      </c>
      <c r="M1044" s="175">
        <v>5.77</v>
      </c>
      <c r="N1044" t="s">
        <v>4368</v>
      </c>
    </row>
    <row r="1045" spans="1:14">
      <c r="A1045">
        <v>3191</v>
      </c>
      <c r="B1045" t="s">
        <v>3453</v>
      </c>
      <c r="C1045">
        <v>17.55</v>
      </c>
      <c r="D1045">
        <v>17.95</v>
      </c>
      <c r="E1045" s="178">
        <v>0.2</v>
      </c>
      <c r="F1045" s="176">
        <v>1.1299999999999999</v>
      </c>
      <c r="G1045" t="s">
        <v>6338</v>
      </c>
      <c r="H1045">
        <v>29</v>
      </c>
      <c r="I1045">
        <v>25</v>
      </c>
      <c r="J1045">
        <v>4.3600000000000003</v>
      </c>
      <c r="K1045">
        <v>17.95</v>
      </c>
      <c r="L1045">
        <v>17.25</v>
      </c>
      <c r="M1045" s="175">
        <v>7.0000000000000007E-2</v>
      </c>
      <c r="N1045" t="s">
        <v>3366</v>
      </c>
    </row>
    <row r="1046" spans="1:14">
      <c r="A1046">
        <v>3205</v>
      </c>
      <c r="B1046" t="s">
        <v>941</v>
      </c>
      <c r="C1046">
        <v>47.1</v>
      </c>
      <c r="D1046">
        <v>47</v>
      </c>
      <c r="E1046" s="178">
        <v>-0.1</v>
      </c>
      <c r="F1046" s="176">
        <v>-0.21</v>
      </c>
      <c r="G1046" t="s">
        <v>5674</v>
      </c>
      <c r="H1046">
        <v>62</v>
      </c>
      <c r="I1046">
        <v>20</v>
      </c>
      <c r="J1046">
        <v>6.75</v>
      </c>
      <c r="K1046">
        <v>47.1</v>
      </c>
      <c r="L1046">
        <v>46.7</v>
      </c>
      <c r="M1046" s="175">
        <v>0.09</v>
      </c>
      <c r="N1046" t="s">
        <v>1708</v>
      </c>
    </row>
    <row r="1047" spans="1:14">
      <c r="A1047">
        <v>3206</v>
      </c>
      <c r="B1047" t="s">
        <v>942</v>
      </c>
      <c r="C1047">
        <v>34.35</v>
      </c>
      <c r="D1047">
        <v>34.299999999999997</v>
      </c>
      <c r="E1047" s="178">
        <v>-0.3</v>
      </c>
      <c r="F1047" s="176">
        <v>-0.87</v>
      </c>
      <c r="G1047" t="s">
        <v>5229</v>
      </c>
      <c r="H1047">
        <v>42</v>
      </c>
      <c r="I1047">
        <v>29</v>
      </c>
      <c r="J1047">
        <v>5.89</v>
      </c>
      <c r="K1047">
        <v>34.35</v>
      </c>
      <c r="L1047">
        <v>33.700000000000003</v>
      </c>
      <c r="M1047" s="175">
        <v>7.0000000000000007E-2</v>
      </c>
      <c r="N1047" t="s">
        <v>1709</v>
      </c>
    </row>
    <row r="1048" spans="1:14">
      <c r="A1048">
        <v>3207</v>
      </c>
      <c r="B1048" t="s">
        <v>943</v>
      </c>
      <c r="C1048">
        <v>39.700000000000003</v>
      </c>
      <c r="D1048">
        <v>38.799999999999997</v>
      </c>
      <c r="E1048" s="178">
        <v>-0.9</v>
      </c>
      <c r="F1048" s="176">
        <v>-2.27</v>
      </c>
      <c r="G1048" t="s">
        <v>5540</v>
      </c>
      <c r="H1048">
        <v>112</v>
      </c>
      <c r="I1048">
        <v>105</v>
      </c>
      <c r="J1048">
        <v>6.64</v>
      </c>
      <c r="K1048">
        <v>39.700000000000003</v>
      </c>
      <c r="L1048">
        <v>38.700000000000003</v>
      </c>
      <c r="M1048" s="175">
        <v>0.17</v>
      </c>
      <c r="N1048" t="s">
        <v>3937</v>
      </c>
    </row>
    <row r="1049" spans="1:14">
      <c r="A1049">
        <v>3209</v>
      </c>
      <c r="B1049" t="s">
        <v>944</v>
      </c>
      <c r="C1049">
        <v>47.5</v>
      </c>
      <c r="D1049">
        <v>45.85</v>
      </c>
      <c r="E1049" s="178">
        <v>-1.65</v>
      </c>
      <c r="F1049" s="176">
        <v>-3.47</v>
      </c>
      <c r="G1049" t="s">
        <v>6339</v>
      </c>
      <c r="H1049">
        <v>4053</v>
      </c>
      <c r="I1049">
        <v>2349</v>
      </c>
      <c r="J1049">
        <v>24.72</v>
      </c>
      <c r="K1049">
        <v>47.5</v>
      </c>
      <c r="L1049">
        <v>45.7</v>
      </c>
      <c r="M1049" s="175">
        <v>1.64</v>
      </c>
      <c r="N1049" t="s">
        <v>3173</v>
      </c>
    </row>
    <row r="1050" spans="1:14">
      <c r="A1050">
        <v>3211</v>
      </c>
      <c r="B1050" t="s">
        <v>945</v>
      </c>
      <c r="C1050">
        <v>390</v>
      </c>
      <c r="D1050">
        <v>386.5</v>
      </c>
      <c r="E1050" s="178">
        <v>-13.5</v>
      </c>
      <c r="F1050" s="176">
        <v>-3.38</v>
      </c>
      <c r="G1050" t="s">
        <v>5578</v>
      </c>
      <c r="H1050">
        <v>4517</v>
      </c>
      <c r="I1050">
        <v>10712</v>
      </c>
      <c r="J1050">
        <v>15.54</v>
      </c>
      <c r="K1050">
        <v>401.5</v>
      </c>
      <c r="L1050">
        <v>383</v>
      </c>
      <c r="M1050" s="175">
        <v>2.93</v>
      </c>
      <c r="N1050" t="s">
        <v>4369</v>
      </c>
    </row>
    <row r="1051" spans="1:14">
      <c r="A1051">
        <v>3213</v>
      </c>
      <c r="B1051" t="s">
        <v>70</v>
      </c>
      <c r="C1051">
        <v>127</v>
      </c>
      <c r="D1051">
        <v>126.5</v>
      </c>
      <c r="E1051" s="178">
        <v>-1.5</v>
      </c>
      <c r="F1051" s="176">
        <v>-1.17</v>
      </c>
      <c r="G1051" t="s">
        <v>6340</v>
      </c>
      <c r="H1051">
        <v>139</v>
      </c>
      <c r="I1051">
        <v>168</v>
      </c>
      <c r="J1051">
        <v>5.87</v>
      </c>
      <c r="K1051">
        <v>128</v>
      </c>
      <c r="L1051">
        <v>126</v>
      </c>
      <c r="M1051" s="175">
        <v>0.24</v>
      </c>
      <c r="N1051" t="s">
        <v>3617</v>
      </c>
    </row>
    <row r="1052" spans="1:14">
      <c r="A1052">
        <v>3217</v>
      </c>
      <c r="B1052" t="s">
        <v>120</v>
      </c>
      <c r="C1052">
        <v>137.5</v>
      </c>
      <c r="D1052">
        <v>136.5</v>
      </c>
      <c r="E1052" s="178">
        <v>-1</v>
      </c>
      <c r="F1052" s="176">
        <v>-0.73</v>
      </c>
      <c r="G1052" t="s">
        <v>6341</v>
      </c>
      <c r="H1052">
        <v>438</v>
      </c>
      <c r="I1052">
        <v>341</v>
      </c>
      <c r="J1052">
        <v>9.01</v>
      </c>
      <c r="K1052">
        <v>138.5</v>
      </c>
      <c r="L1052">
        <v>135.5</v>
      </c>
      <c r="M1052" s="175">
        <v>0.49</v>
      </c>
      <c r="N1052" t="s">
        <v>3230</v>
      </c>
    </row>
    <row r="1053" spans="1:14">
      <c r="A1053">
        <v>3218</v>
      </c>
      <c r="B1053" t="s">
        <v>260</v>
      </c>
      <c r="C1053">
        <v>137.5</v>
      </c>
      <c r="D1053">
        <v>143.5</v>
      </c>
      <c r="E1053" s="178">
        <v>5</v>
      </c>
      <c r="F1053" s="176">
        <v>3.61</v>
      </c>
      <c r="G1053" t="s">
        <v>6342</v>
      </c>
      <c r="H1053">
        <v>628</v>
      </c>
      <c r="I1053">
        <v>151</v>
      </c>
      <c r="J1053">
        <v>8.4700000000000006</v>
      </c>
      <c r="K1053">
        <v>144</v>
      </c>
      <c r="L1053">
        <v>137.5</v>
      </c>
      <c r="M1053" s="175">
        <v>0.74</v>
      </c>
      <c r="N1053" t="s">
        <v>3231</v>
      </c>
    </row>
    <row r="1054" spans="1:14">
      <c r="A1054">
        <v>3219</v>
      </c>
      <c r="B1054" t="s">
        <v>1710</v>
      </c>
      <c r="C1054">
        <v>86.5</v>
      </c>
      <c r="D1054">
        <v>91</v>
      </c>
      <c r="E1054" s="178">
        <v>3.9</v>
      </c>
      <c r="F1054" s="176">
        <v>4.4800000000000004</v>
      </c>
      <c r="G1054" t="s">
        <v>6343</v>
      </c>
      <c r="H1054">
        <v>1988</v>
      </c>
      <c r="I1054">
        <v>1054</v>
      </c>
      <c r="J1054">
        <v>7.18</v>
      </c>
      <c r="K1054">
        <v>93.3</v>
      </c>
      <c r="L1054">
        <v>86.3</v>
      </c>
      <c r="M1054" s="175">
        <v>2.77</v>
      </c>
      <c r="N1054" t="s">
        <v>4498</v>
      </c>
    </row>
    <row r="1055" spans="1:14">
      <c r="A1055">
        <v>3221</v>
      </c>
      <c r="B1055" t="s">
        <v>946</v>
      </c>
      <c r="C1055">
        <v>48</v>
      </c>
      <c r="D1055">
        <v>47.85</v>
      </c>
      <c r="E1055" s="178">
        <v>-0.95</v>
      </c>
      <c r="F1055" s="176">
        <v>-1.95</v>
      </c>
      <c r="G1055" t="s">
        <v>5412</v>
      </c>
      <c r="H1055">
        <v>907</v>
      </c>
      <c r="I1055">
        <v>2056</v>
      </c>
      <c r="J1055">
        <v>10.5</v>
      </c>
      <c r="K1055">
        <v>49.1</v>
      </c>
      <c r="L1055">
        <v>47.25</v>
      </c>
      <c r="M1055" s="175">
        <v>0.86</v>
      </c>
      <c r="N1055" t="s">
        <v>2187</v>
      </c>
    </row>
    <row r="1056" spans="1:14">
      <c r="A1056">
        <v>3224</v>
      </c>
      <c r="B1056" t="s">
        <v>947</v>
      </c>
      <c r="C1056">
        <v>36</v>
      </c>
      <c r="D1056">
        <v>34.700000000000003</v>
      </c>
      <c r="E1056" s="178">
        <v>-0.6</v>
      </c>
      <c r="F1056" s="176">
        <v>-1.7</v>
      </c>
      <c r="G1056" t="s">
        <v>5436</v>
      </c>
      <c r="H1056">
        <v>20</v>
      </c>
      <c r="I1056">
        <v>39</v>
      </c>
      <c r="J1056">
        <v>7.82</v>
      </c>
      <c r="K1056">
        <v>36</v>
      </c>
      <c r="L1056">
        <v>34.65</v>
      </c>
      <c r="M1056" s="175">
        <v>0.03</v>
      </c>
      <c r="N1056" t="s">
        <v>3232</v>
      </c>
    </row>
    <row r="1057" spans="1:14">
      <c r="A1057">
        <v>3226</v>
      </c>
      <c r="B1057" t="s">
        <v>4337</v>
      </c>
      <c r="C1057">
        <v>52.6</v>
      </c>
      <c r="D1057">
        <v>52.9</v>
      </c>
      <c r="E1057" s="178">
        <v>-0.2</v>
      </c>
      <c r="F1057" s="176">
        <v>-0.38</v>
      </c>
      <c r="G1057" t="s">
        <v>5744</v>
      </c>
      <c r="H1057">
        <v>13</v>
      </c>
      <c r="I1057">
        <v>22</v>
      </c>
      <c r="J1057">
        <v>6.44</v>
      </c>
      <c r="K1057">
        <v>53.2</v>
      </c>
      <c r="L1057">
        <v>52.6</v>
      </c>
      <c r="M1057" s="175">
        <v>0.02</v>
      </c>
      <c r="N1057" t="s">
        <v>3966</v>
      </c>
    </row>
    <row r="1058" spans="1:14">
      <c r="A1058">
        <v>3227</v>
      </c>
      <c r="B1058" t="s">
        <v>948</v>
      </c>
      <c r="C1058">
        <v>195</v>
      </c>
      <c r="D1058">
        <v>192</v>
      </c>
      <c r="E1058" s="178">
        <v>-5</v>
      </c>
      <c r="F1058" s="176">
        <v>-2.54</v>
      </c>
      <c r="G1058" t="s">
        <v>5269</v>
      </c>
      <c r="H1058">
        <v>862</v>
      </c>
      <c r="I1058">
        <v>616</v>
      </c>
      <c r="J1058">
        <v>15.2</v>
      </c>
      <c r="K1058">
        <v>196</v>
      </c>
      <c r="L1058">
        <v>191.5</v>
      </c>
      <c r="M1058" s="175">
        <v>0.56999999999999995</v>
      </c>
      <c r="N1058" t="s">
        <v>1711</v>
      </c>
    </row>
    <row r="1059" spans="1:14">
      <c r="A1059">
        <v>3228</v>
      </c>
      <c r="B1059" t="s">
        <v>949</v>
      </c>
      <c r="C1059">
        <v>163</v>
      </c>
      <c r="D1059">
        <v>171.5</v>
      </c>
      <c r="E1059" s="178">
        <v>5</v>
      </c>
      <c r="F1059" s="176">
        <v>3</v>
      </c>
      <c r="G1059" t="s">
        <v>6344</v>
      </c>
      <c r="H1059">
        <v>487</v>
      </c>
      <c r="I1059">
        <v>361</v>
      </c>
      <c r="J1059">
        <v>7.19</v>
      </c>
      <c r="K1059">
        <v>171.5</v>
      </c>
      <c r="L1059">
        <v>159</v>
      </c>
      <c r="M1059" s="175">
        <v>0.68</v>
      </c>
      <c r="N1059" t="s">
        <v>4916</v>
      </c>
    </row>
    <row r="1060" spans="1:14">
      <c r="A1060">
        <v>3229</v>
      </c>
      <c r="B1060" t="s">
        <v>2066</v>
      </c>
      <c r="C1060">
        <v>55.4</v>
      </c>
      <c r="D1060">
        <v>53.4</v>
      </c>
      <c r="E1060" s="178">
        <v>-2</v>
      </c>
      <c r="F1060" s="176">
        <v>-3.61</v>
      </c>
      <c r="G1060" t="s">
        <v>6345</v>
      </c>
      <c r="H1060">
        <v>1106</v>
      </c>
      <c r="I1060">
        <v>3352</v>
      </c>
      <c r="J1060">
        <v>6.43</v>
      </c>
      <c r="K1060">
        <v>56.9</v>
      </c>
      <c r="L1060">
        <v>53.2</v>
      </c>
      <c r="M1060" s="175">
        <v>3.43</v>
      </c>
      <c r="N1060" t="s">
        <v>3450</v>
      </c>
    </row>
    <row r="1061" spans="1:14">
      <c r="A1061">
        <v>3230</v>
      </c>
      <c r="B1061" t="s">
        <v>950</v>
      </c>
      <c r="C1061">
        <v>45.15</v>
      </c>
      <c r="D1061">
        <v>45.05</v>
      </c>
      <c r="E1061" s="178">
        <v>-1.3</v>
      </c>
      <c r="F1061" s="176">
        <v>-2.8</v>
      </c>
      <c r="G1061" t="s">
        <v>6346</v>
      </c>
      <c r="H1061">
        <v>489</v>
      </c>
      <c r="I1061">
        <v>1321</v>
      </c>
      <c r="J1061">
        <v>8.6</v>
      </c>
      <c r="K1061">
        <v>46.05</v>
      </c>
      <c r="L1061">
        <v>45</v>
      </c>
      <c r="M1061" s="175">
        <v>0.56999999999999995</v>
      </c>
      <c r="N1061" t="s">
        <v>1712</v>
      </c>
    </row>
    <row r="1062" spans="1:14">
      <c r="A1062">
        <v>3231</v>
      </c>
      <c r="B1062" t="s">
        <v>951</v>
      </c>
      <c r="C1062">
        <v>176</v>
      </c>
      <c r="D1062">
        <v>178</v>
      </c>
      <c r="E1062" s="178">
        <v>0</v>
      </c>
      <c r="F1062" s="176">
        <v>0</v>
      </c>
      <c r="G1062" t="s">
        <v>6347</v>
      </c>
      <c r="H1062">
        <v>38565</v>
      </c>
      <c r="I1062">
        <v>35083</v>
      </c>
      <c r="J1062">
        <v>318.01</v>
      </c>
      <c r="K1062">
        <v>181</v>
      </c>
      <c r="L1062">
        <v>174</v>
      </c>
      <c r="M1062" s="175">
        <v>1.21</v>
      </c>
      <c r="N1062" t="s">
        <v>1713</v>
      </c>
    </row>
    <row r="1063" spans="1:14">
      <c r="A1063">
        <v>3232</v>
      </c>
      <c r="B1063" t="s">
        <v>952</v>
      </c>
      <c r="C1063">
        <v>19.75</v>
      </c>
      <c r="D1063">
        <v>19.649999999999999</v>
      </c>
      <c r="E1063" s="178">
        <v>-0.05</v>
      </c>
      <c r="F1063" s="176">
        <v>-0.25</v>
      </c>
      <c r="G1063" t="s">
        <v>5452</v>
      </c>
      <c r="H1063">
        <v>25</v>
      </c>
      <c r="I1063">
        <v>12</v>
      </c>
      <c r="J1063">
        <v>4.66</v>
      </c>
      <c r="K1063">
        <v>19.95</v>
      </c>
      <c r="L1063">
        <v>19.45</v>
      </c>
      <c r="M1063" s="175">
        <v>0.05</v>
      </c>
      <c r="N1063" t="s">
        <v>3942</v>
      </c>
    </row>
    <row r="1064" spans="1:14">
      <c r="A1064">
        <v>3234</v>
      </c>
      <c r="B1064" t="s">
        <v>953</v>
      </c>
      <c r="C1064">
        <v>180</v>
      </c>
      <c r="D1064">
        <v>185</v>
      </c>
      <c r="E1064" s="178">
        <v>3.5</v>
      </c>
      <c r="F1064" s="176">
        <v>1.93</v>
      </c>
      <c r="G1064" t="s">
        <v>6348</v>
      </c>
      <c r="H1064">
        <v>3267</v>
      </c>
      <c r="I1064">
        <v>5258</v>
      </c>
      <c r="J1064">
        <v>12.65</v>
      </c>
      <c r="K1064">
        <v>185</v>
      </c>
      <c r="L1064">
        <v>170</v>
      </c>
      <c r="M1064" s="175">
        <v>2.58</v>
      </c>
      <c r="N1064" t="s">
        <v>1714</v>
      </c>
    </row>
    <row r="1065" spans="1:14">
      <c r="A1065">
        <v>3236</v>
      </c>
      <c r="B1065" t="s">
        <v>954</v>
      </c>
      <c r="C1065">
        <v>45.2</v>
      </c>
      <c r="D1065">
        <v>44.9</v>
      </c>
      <c r="E1065" s="178">
        <v>-1.2</v>
      </c>
      <c r="F1065" s="176">
        <v>-2.6</v>
      </c>
      <c r="G1065" t="s">
        <v>5256</v>
      </c>
      <c r="H1065">
        <v>3126</v>
      </c>
      <c r="I1065">
        <v>2366</v>
      </c>
      <c r="J1065">
        <v>10.5</v>
      </c>
      <c r="K1065">
        <v>47.5</v>
      </c>
      <c r="L1065">
        <v>44.4</v>
      </c>
      <c r="M1065" s="175">
        <v>2.98</v>
      </c>
      <c r="N1065" t="s">
        <v>1715</v>
      </c>
    </row>
    <row r="1066" spans="1:14">
      <c r="A1066">
        <v>3252</v>
      </c>
      <c r="B1066" t="s">
        <v>955</v>
      </c>
      <c r="C1066" t="s">
        <v>1667</v>
      </c>
      <c r="D1066" t="s">
        <v>1667</v>
      </c>
      <c r="E1066" s="178" t="s">
        <v>1667</v>
      </c>
      <c r="F1066" s="176" t="s">
        <v>1667</v>
      </c>
      <c r="G1066" t="s">
        <v>1667</v>
      </c>
      <c r="H1066">
        <v>0</v>
      </c>
      <c r="I1066">
        <v>34</v>
      </c>
      <c r="J1066">
        <v>5.0199999999999996</v>
      </c>
      <c r="K1066" t="s">
        <v>1667</v>
      </c>
      <c r="L1066" t="s">
        <v>1667</v>
      </c>
      <c r="M1066" s="175">
        <v>0</v>
      </c>
      <c r="N1066" t="s">
        <v>1716</v>
      </c>
    </row>
    <row r="1067" spans="1:14">
      <c r="A1067">
        <v>3257</v>
      </c>
      <c r="B1067" t="s">
        <v>956</v>
      </c>
      <c r="C1067">
        <v>50</v>
      </c>
      <c r="D1067">
        <v>49.55</v>
      </c>
      <c r="E1067" s="178">
        <v>-0.75</v>
      </c>
      <c r="F1067" s="176">
        <v>-1.49</v>
      </c>
      <c r="G1067" t="s">
        <v>5481</v>
      </c>
      <c r="H1067">
        <v>137</v>
      </c>
      <c r="I1067">
        <v>200</v>
      </c>
      <c r="J1067">
        <v>7.98</v>
      </c>
      <c r="K1067">
        <v>50</v>
      </c>
      <c r="L1067">
        <v>49.35</v>
      </c>
      <c r="M1067" s="175">
        <v>0.17</v>
      </c>
      <c r="N1067" t="s">
        <v>3709</v>
      </c>
    </row>
    <row r="1068" spans="1:14">
      <c r="A1068">
        <v>3259</v>
      </c>
      <c r="B1068" t="s">
        <v>3062</v>
      </c>
      <c r="C1068">
        <v>14.9</v>
      </c>
      <c r="D1068">
        <v>14</v>
      </c>
      <c r="E1068" s="178">
        <v>-0.1</v>
      </c>
      <c r="F1068" s="176">
        <v>-0.71</v>
      </c>
      <c r="G1068" t="s">
        <v>5660</v>
      </c>
      <c r="H1068">
        <v>33</v>
      </c>
      <c r="I1068">
        <v>127</v>
      </c>
      <c r="J1068">
        <v>7.3</v>
      </c>
      <c r="K1068">
        <v>14.9</v>
      </c>
      <c r="L1068">
        <v>13.55</v>
      </c>
      <c r="M1068" s="175">
        <v>0.05</v>
      </c>
      <c r="N1068" t="s">
        <v>4917</v>
      </c>
    </row>
    <row r="1069" spans="1:14">
      <c r="A1069">
        <v>3260</v>
      </c>
      <c r="B1069" t="s">
        <v>957</v>
      </c>
      <c r="C1069">
        <v>408.5</v>
      </c>
      <c r="D1069">
        <v>413.5</v>
      </c>
      <c r="E1069" s="178">
        <v>1.5</v>
      </c>
      <c r="F1069" s="176">
        <v>0.36</v>
      </c>
      <c r="G1069" t="s">
        <v>5446</v>
      </c>
      <c r="H1069">
        <v>4596</v>
      </c>
      <c r="I1069">
        <v>14115</v>
      </c>
      <c r="J1069">
        <v>33.65</v>
      </c>
      <c r="K1069">
        <v>416.5</v>
      </c>
      <c r="L1069">
        <v>407</v>
      </c>
      <c r="M1069" s="175">
        <v>1.38</v>
      </c>
      <c r="N1069" t="s">
        <v>4370</v>
      </c>
    </row>
    <row r="1070" spans="1:14">
      <c r="A1070">
        <v>3264</v>
      </c>
      <c r="B1070" t="s">
        <v>958</v>
      </c>
      <c r="C1070">
        <v>230</v>
      </c>
      <c r="D1070">
        <v>228</v>
      </c>
      <c r="E1070" s="178">
        <v>-7</v>
      </c>
      <c r="F1070" s="176">
        <v>-2.98</v>
      </c>
      <c r="G1070" t="s">
        <v>5414</v>
      </c>
      <c r="H1070">
        <v>5881</v>
      </c>
      <c r="I1070">
        <v>6237</v>
      </c>
      <c r="J1070">
        <v>49.02</v>
      </c>
      <c r="K1070">
        <v>230.5</v>
      </c>
      <c r="L1070">
        <v>220.5</v>
      </c>
      <c r="M1070" s="175">
        <v>1.2</v>
      </c>
      <c r="N1070" t="s">
        <v>3341</v>
      </c>
    </row>
    <row r="1071" spans="1:14">
      <c r="A1071">
        <v>3265</v>
      </c>
      <c r="B1071" t="s">
        <v>959</v>
      </c>
      <c r="C1071">
        <v>183.5</v>
      </c>
      <c r="D1071">
        <v>178</v>
      </c>
      <c r="E1071" s="178">
        <v>-8.5</v>
      </c>
      <c r="F1071" s="176">
        <v>-4.5599999999999996</v>
      </c>
      <c r="G1071" t="s">
        <v>6349</v>
      </c>
      <c r="H1071">
        <v>2262</v>
      </c>
      <c r="I1071">
        <v>1782</v>
      </c>
      <c r="J1071">
        <v>13.63</v>
      </c>
      <c r="K1071">
        <v>183.5</v>
      </c>
      <c r="L1071">
        <v>170.5</v>
      </c>
      <c r="M1071" s="175">
        <v>1.66</v>
      </c>
      <c r="N1071" t="s">
        <v>3342</v>
      </c>
    </row>
    <row r="1072" spans="1:14">
      <c r="A1072">
        <v>3266</v>
      </c>
      <c r="B1072" t="s">
        <v>960</v>
      </c>
      <c r="C1072">
        <v>13.9</v>
      </c>
      <c r="D1072">
        <v>13.8</v>
      </c>
      <c r="E1072" s="178">
        <v>-0.3</v>
      </c>
      <c r="F1072" s="176">
        <v>-2.13</v>
      </c>
      <c r="G1072" t="s">
        <v>5570</v>
      </c>
      <c r="H1072">
        <v>26</v>
      </c>
      <c r="I1072">
        <v>30</v>
      </c>
      <c r="J1072">
        <v>35.229999999999997</v>
      </c>
      <c r="K1072">
        <v>13.9</v>
      </c>
      <c r="L1072">
        <v>13.8</v>
      </c>
      <c r="M1072" s="175">
        <v>0.01</v>
      </c>
      <c r="N1072" t="s">
        <v>1654</v>
      </c>
    </row>
    <row r="1073" spans="1:14">
      <c r="A1073">
        <v>3268</v>
      </c>
      <c r="B1073" t="s">
        <v>961</v>
      </c>
      <c r="C1073">
        <v>17.399999999999999</v>
      </c>
      <c r="D1073">
        <v>18.05</v>
      </c>
      <c r="E1073" s="178">
        <v>0.35</v>
      </c>
      <c r="F1073" s="176">
        <v>1.98</v>
      </c>
      <c r="G1073" t="s">
        <v>5478</v>
      </c>
      <c r="H1073">
        <v>13</v>
      </c>
      <c r="I1073">
        <v>50</v>
      </c>
      <c r="J1073">
        <v>3.47</v>
      </c>
      <c r="K1073">
        <v>18.05</v>
      </c>
      <c r="L1073">
        <v>17.100000000000001</v>
      </c>
      <c r="M1073" s="175">
        <v>0.04</v>
      </c>
      <c r="N1073" t="s">
        <v>1717</v>
      </c>
    </row>
    <row r="1074" spans="1:14">
      <c r="A1074">
        <v>3272</v>
      </c>
      <c r="B1074" t="s">
        <v>962</v>
      </c>
      <c r="C1074">
        <v>14.3</v>
      </c>
      <c r="D1074">
        <v>14.45</v>
      </c>
      <c r="E1074" s="178">
        <v>0.35</v>
      </c>
      <c r="F1074" s="176">
        <v>2.48</v>
      </c>
      <c r="G1074" t="s">
        <v>6350</v>
      </c>
      <c r="H1074">
        <v>56</v>
      </c>
      <c r="I1074">
        <v>17</v>
      </c>
      <c r="J1074">
        <v>6.12</v>
      </c>
      <c r="K1074">
        <v>14.5</v>
      </c>
      <c r="L1074">
        <v>14.25</v>
      </c>
      <c r="M1074" s="175">
        <v>0.09</v>
      </c>
      <c r="N1074" t="s">
        <v>1718</v>
      </c>
    </row>
    <row r="1075" spans="1:14">
      <c r="A1075">
        <v>3276</v>
      </c>
      <c r="B1075" t="s">
        <v>963</v>
      </c>
      <c r="C1075">
        <v>14.3</v>
      </c>
      <c r="D1075">
        <v>14.35</v>
      </c>
      <c r="E1075" s="178">
        <v>0.05</v>
      </c>
      <c r="F1075" s="176">
        <v>0.35</v>
      </c>
      <c r="G1075" t="s">
        <v>5343</v>
      </c>
      <c r="H1075">
        <v>108</v>
      </c>
      <c r="I1075">
        <v>127</v>
      </c>
      <c r="J1075">
        <v>6.97</v>
      </c>
      <c r="K1075">
        <v>14.5</v>
      </c>
      <c r="L1075">
        <v>14.25</v>
      </c>
      <c r="M1075" s="175">
        <v>0.15</v>
      </c>
      <c r="N1075" t="s">
        <v>3233</v>
      </c>
    </row>
    <row r="1076" spans="1:14">
      <c r="A1076">
        <v>3284</v>
      </c>
      <c r="B1076" t="s">
        <v>964</v>
      </c>
      <c r="C1076">
        <v>20.75</v>
      </c>
      <c r="D1076">
        <v>20.5</v>
      </c>
      <c r="E1076" s="178">
        <v>-0.5</v>
      </c>
      <c r="F1076" s="176">
        <v>-2.38</v>
      </c>
      <c r="G1076" t="s">
        <v>6351</v>
      </c>
      <c r="H1076">
        <v>149</v>
      </c>
      <c r="I1076">
        <v>141</v>
      </c>
      <c r="J1076">
        <v>10.86</v>
      </c>
      <c r="K1076">
        <v>20.75</v>
      </c>
      <c r="L1076">
        <v>20.3</v>
      </c>
      <c r="M1076" s="175">
        <v>0.14000000000000001</v>
      </c>
      <c r="N1076" t="s">
        <v>1719</v>
      </c>
    </row>
    <row r="1077" spans="1:14">
      <c r="A1077">
        <v>3285</v>
      </c>
      <c r="B1077" t="s">
        <v>965</v>
      </c>
      <c r="C1077">
        <v>40.700000000000003</v>
      </c>
      <c r="D1077">
        <v>42.8</v>
      </c>
      <c r="E1077" s="178">
        <v>1.7</v>
      </c>
      <c r="F1077" s="176">
        <v>4.1399999999999997</v>
      </c>
      <c r="G1077" t="s">
        <v>6004</v>
      </c>
      <c r="H1077">
        <v>82</v>
      </c>
      <c r="I1077">
        <v>45</v>
      </c>
      <c r="J1077">
        <v>4.2699999999999996</v>
      </c>
      <c r="K1077">
        <v>43</v>
      </c>
      <c r="L1077">
        <v>40.5</v>
      </c>
      <c r="M1077" s="175">
        <v>0.19</v>
      </c>
      <c r="N1077" t="s">
        <v>1720</v>
      </c>
    </row>
    <row r="1078" spans="1:14">
      <c r="A1078">
        <v>3287</v>
      </c>
      <c r="B1078" t="s">
        <v>966</v>
      </c>
      <c r="C1078">
        <v>38.6</v>
      </c>
      <c r="D1078">
        <v>38.1</v>
      </c>
      <c r="E1078" s="178">
        <v>-0.3</v>
      </c>
      <c r="F1078" s="176">
        <v>-0.78</v>
      </c>
      <c r="G1078" t="s">
        <v>5722</v>
      </c>
      <c r="H1078">
        <v>315</v>
      </c>
      <c r="I1078">
        <v>560</v>
      </c>
      <c r="J1078">
        <v>4.4000000000000004</v>
      </c>
      <c r="K1078">
        <v>38.6</v>
      </c>
      <c r="L1078">
        <v>37.799999999999997</v>
      </c>
      <c r="M1078" s="175">
        <v>0.72</v>
      </c>
      <c r="N1078" t="s">
        <v>1721</v>
      </c>
    </row>
    <row r="1079" spans="1:14">
      <c r="A1079">
        <v>3288</v>
      </c>
      <c r="B1079" t="s">
        <v>2170</v>
      </c>
      <c r="C1079">
        <v>21.4</v>
      </c>
      <c r="D1079">
        <v>20.9</v>
      </c>
      <c r="E1079" s="178">
        <v>-0.5</v>
      </c>
      <c r="F1079" s="176">
        <v>-2.34</v>
      </c>
      <c r="G1079" t="s">
        <v>6352</v>
      </c>
      <c r="H1079">
        <v>22</v>
      </c>
      <c r="I1079">
        <v>30</v>
      </c>
      <c r="J1079">
        <v>1.64</v>
      </c>
      <c r="K1079">
        <v>21.4</v>
      </c>
      <c r="L1079">
        <v>20.9</v>
      </c>
      <c r="M1079" s="175">
        <v>0.13</v>
      </c>
      <c r="N1079" t="s">
        <v>2171</v>
      </c>
    </row>
    <row r="1080" spans="1:14">
      <c r="A1080">
        <v>3289</v>
      </c>
      <c r="B1080" t="s">
        <v>967</v>
      </c>
      <c r="C1080">
        <v>140.5</v>
      </c>
      <c r="D1080">
        <v>138</v>
      </c>
      <c r="E1080" s="178">
        <v>-2.5</v>
      </c>
      <c r="F1080" s="176">
        <v>-1.78</v>
      </c>
      <c r="G1080" t="s">
        <v>5354</v>
      </c>
      <c r="H1080">
        <v>793</v>
      </c>
      <c r="I1080">
        <v>526</v>
      </c>
      <c r="J1080">
        <v>8.67</v>
      </c>
      <c r="K1080">
        <v>141</v>
      </c>
      <c r="L1080">
        <v>135.5</v>
      </c>
      <c r="M1080" s="175">
        <v>0.91</v>
      </c>
      <c r="N1080" t="s">
        <v>3343</v>
      </c>
    </row>
    <row r="1081" spans="1:14">
      <c r="A1081">
        <v>3290</v>
      </c>
      <c r="B1081" t="s">
        <v>4595</v>
      </c>
      <c r="C1081">
        <v>48</v>
      </c>
      <c r="D1081">
        <v>49.45</v>
      </c>
      <c r="E1081" s="178">
        <v>0.2</v>
      </c>
      <c r="F1081" s="176">
        <v>0.41</v>
      </c>
      <c r="G1081" t="s">
        <v>6353</v>
      </c>
      <c r="H1081">
        <v>1380</v>
      </c>
      <c r="I1081">
        <v>466</v>
      </c>
      <c r="J1081">
        <v>9.02</v>
      </c>
      <c r="K1081">
        <v>49.5</v>
      </c>
      <c r="L1081">
        <v>47.2</v>
      </c>
      <c r="M1081" s="175">
        <v>1.53</v>
      </c>
      <c r="N1081" t="s">
        <v>4596</v>
      </c>
    </row>
    <row r="1082" spans="1:14">
      <c r="A1082">
        <v>3293</v>
      </c>
      <c r="B1082" t="s">
        <v>968</v>
      </c>
      <c r="C1082">
        <v>703</v>
      </c>
      <c r="D1082">
        <v>730</v>
      </c>
      <c r="E1082" s="178">
        <v>23</v>
      </c>
      <c r="F1082" s="176">
        <v>3.25</v>
      </c>
      <c r="G1082" t="s">
        <v>6354</v>
      </c>
      <c r="H1082">
        <v>23005</v>
      </c>
      <c r="I1082">
        <v>3755</v>
      </c>
      <c r="J1082">
        <v>28.18</v>
      </c>
      <c r="K1082">
        <v>730</v>
      </c>
      <c r="L1082">
        <v>701</v>
      </c>
      <c r="M1082" s="175">
        <v>8.16</v>
      </c>
      <c r="N1082" t="s">
        <v>3156</v>
      </c>
    </row>
    <row r="1083" spans="1:14">
      <c r="A1083">
        <v>3294</v>
      </c>
      <c r="B1083" t="s">
        <v>969</v>
      </c>
      <c r="C1083">
        <v>31</v>
      </c>
      <c r="D1083">
        <v>30.45</v>
      </c>
      <c r="E1083" s="178">
        <v>-0.55000000000000004</v>
      </c>
      <c r="F1083" s="176">
        <v>-1.77</v>
      </c>
      <c r="G1083" t="s">
        <v>5477</v>
      </c>
      <c r="H1083">
        <v>169</v>
      </c>
      <c r="I1083">
        <v>227</v>
      </c>
      <c r="J1083">
        <v>13.2</v>
      </c>
      <c r="K1083">
        <v>31.2</v>
      </c>
      <c r="L1083">
        <v>30.3</v>
      </c>
      <c r="M1083" s="175">
        <v>0.13</v>
      </c>
      <c r="N1083" t="s">
        <v>1722</v>
      </c>
    </row>
    <row r="1084" spans="1:14">
      <c r="A1084">
        <v>3296</v>
      </c>
      <c r="B1084" t="s">
        <v>970</v>
      </c>
      <c r="C1084">
        <v>23.85</v>
      </c>
      <c r="D1084">
        <v>23.9</v>
      </c>
      <c r="E1084" s="178">
        <v>-0.2</v>
      </c>
      <c r="F1084" s="176">
        <v>-0.83</v>
      </c>
      <c r="G1084" t="s">
        <v>5570</v>
      </c>
      <c r="H1084">
        <v>15</v>
      </c>
      <c r="I1084">
        <v>19</v>
      </c>
      <c r="J1084">
        <v>9.67</v>
      </c>
      <c r="K1084">
        <v>24.2</v>
      </c>
      <c r="L1084">
        <v>23.7</v>
      </c>
      <c r="M1084" s="175">
        <v>0.02</v>
      </c>
      <c r="N1084" t="s">
        <v>1723</v>
      </c>
    </row>
    <row r="1085" spans="1:14">
      <c r="A1085">
        <v>3297</v>
      </c>
      <c r="B1085" t="s">
        <v>971</v>
      </c>
      <c r="C1085">
        <v>27.7</v>
      </c>
      <c r="D1085">
        <v>27.65</v>
      </c>
      <c r="E1085" s="178">
        <v>0.05</v>
      </c>
      <c r="F1085" s="176">
        <v>0.18</v>
      </c>
      <c r="G1085" t="s">
        <v>6355</v>
      </c>
      <c r="H1085">
        <v>34</v>
      </c>
      <c r="I1085">
        <v>35</v>
      </c>
      <c r="J1085">
        <v>3.6</v>
      </c>
      <c r="K1085">
        <v>28.05</v>
      </c>
      <c r="L1085">
        <v>27.65</v>
      </c>
      <c r="M1085" s="175">
        <v>0.09</v>
      </c>
      <c r="N1085" t="s">
        <v>3103</v>
      </c>
    </row>
    <row r="1086" spans="1:14">
      <c r="A1086">
        <v>3303</v>
      </c>
      <c r="B1086" t="s">
        <v>972</v>
      </c>
      <c r="C1086">
        <v>52.2</v>
      </c>
      <c r="D1086">
        <v>51.7</v>
      </c>
      <c r="E1086" s="178">
        <v>-0.5</v>
      </c>
      <c r="F1086" s="176">
        <v>-0.96</v>
      </c>
      <c r="G1086" t="s">
        <v>6356</v>
      </c>
      <c r="H1086">
        <v>203</v>
      </c>
      <c r="I1086">
        <v>177</v>
      </c>
      <c r="J1086">
        <v>9.41</v>
      </c>
      <c r="K1086">
        <v>52.2</v>
      </c>
      <c r="L1086">
        <v>51.6</v>
      </c>
      <c r="M1086" s="175">
        <v>0.22</v>
      </c>
      <c r="N1086" t="s">
        <v>1724</v>
      </c>
    </row>
    <row r="1087" spans="1:14">
      <c r="A1087">
        <v>3305</v>
      </c>
      <c r="B1087" t="s">
        <v>973</v>
      </c>
      <c r="C1087">
        <v>114.5</v>
      </c>
      <c r="D1087">
        <v>112</v>
      </c>
      <c r="E1087" s="178">
        <v>-4.5</v>
      </c>
      <c r="F1087" s="176">
        <v>-3.86</v>
      </c>
      <c r="G1087" t="s">
        <v>6156</v>
      </c>
      <c r="H1087">
        <v>2039</v>
      </c>
      <c r="I1087">
        <v>1737</v>
      </c>
      <c r="J1087">
        <v>14.34</v>
      </c>
      <c r="K1087">
        <v>115.5</v>
      </c>
      <c r="L1087">
        <v>111.5</v>
      </c>
      <c r="M1087" s="175">
        <v>1.41</v>
      </c>
      <c r="N1087" t="s">
        <v>3889</v>
      </c>
    </row>
    <row r="1088" spans="1:14">
      <c r="A1088">
        <v>3306</v>
      </c>
      <c r="B1088" t="s">
        <v>974</v>
      </c>
      <c r="C1088">
        <v>44.7</v>
      </c>
      <c r="D1088">
        <v>44.3</v>
      </c>
      <c r="E1088" s="178">
        <v>-0.4</v>
      </c>
      <c r="F1088" s="176">
        <v>-0.89</v>
      </c>
      <c r="G1088" t="s">
        <v>6157</v>
      </c>
      <c r="H1088">
        <v>127</v>
      </c>
      <c r="I1088">
        <v>42</v>
      </c>
      <c r="J1088">
        <v>5.0599999999999996</v>
      </c>
      <c r="K1088">
        <v>45.8</v>
      </c>
      <c r="L1088">
        <v>44.15</v>
      </c>
      <c r="M1088" s="175">
        <v>0.25</v>
      </c>
      <c r="N1088" t="s">
        <v>4996</v>
      </c>
    </row>
    <row r="1089" spans="1:14">
      <c r="A1089">
        <v>3308</v>
      </c>
      <c r="B1089" t="s">
        <v>3424</v>
      </c>
      <c r="C1089">
        <v>22.05</v>
      </c>
      <c r="D1089">
        <v>21.5</v>
      </c>
      <c r="E1089" s="178">
        <v>-0.8</v>
      </c>
      <c r="F1089" s="176">
        <v>-3.59</v>
      </c>
      <c r="G1089" t="s">
        <v>6357</v>
      </c>
      <c r="H1089">
        <v>113</v>
      </c>
      <c r="I1089">
        <v>605</v>
      </c>
      <c r="J1089">
        <v>6</v>
      </c>
      <c r="K1089">
        <v>22.05</v>
      </c>
      <c r="L1089">
        <v>21.4</v>
      </c>
      <c r="M1089" s="175">
        <v>0.19</v>
      </c>
      <c r="N1089" t="s">
        <v>3571</v>
      </c>
    </row>
    <row r="1090" spans="1:14">
      <c r="A1090">
        <v>3310</v>
      </c>
      <c r="B1090" t="s">
        <v>975</v>
      </c>
      <c r="C1090">
        <v>68.5</v>
      </c>
      <c r="D1090">
        <v>68.599999999999994</v>
      </c>
      <c r="E1090" s="178">
        <v>0.1</v>
      </c>
      <c r="F1090" s="176">
        <v>0.15</v>
      </c>
      <c r="G1090" t="s">
        <v>6358</v>
      </c>
      <c r="H1090">
        <v>10</v>
      </c>
      <c r="I1090">
        <v>9</v>
      </c>
      <c r="J1090">
        <v>7.49</v>
      </c>
      <c r="K1090">
        <v>68.599999999999994</v>
      </c>
      <c r="L1090">
        <v>68.5</v>
      </c>
      <c r="M1090" s="175">
        <v>0.01</v>
      </c>
      <c r="N1090" t="s">
        <v>1725</v>
      </c>
    </row>
    <row r="1091" spans="1:14">
      <c r="A1091">
        <v>3311</v>
      </c>
      <c r="B1091" t="s">
        <v>976</v>
      </c>
      <c r="C1091">
        <v>32.6</v>
      </c>
      <c r="D1091">
        <v>32.4</v>
      </c>
      <c r="E1091" s="178">
        <v>-0.2</v>
      </c>
      <c r="F1091" s="176">
        <v>-0.61</v>
      </c>
      <c r="G1091" t="s">
        <v>5415</v>
      </c>
      <c r="H1091">
        <v>114</v>
      </c>
      <c r="I1091">
        <v>118</v>
      </c>
      <c r="J1091">
        <v>10</v>
      </c>
      <c r="K1091">
        <v>32.6</v>
      </c>
      <c r="L1091">
        <v>32.049999999999997</v>
      </c>
      <c r="M1091" s="175">
        <v>0.11</v>
      </c>
      <c r="N1091" t="s">
        <v>1726</v>
      </c>
    </row>
    <row r="1092" spans="1:14">
      <c r="A1092">
        <v>3312</v>
      </c>
      <c r="B1092" t="s">
        <v>977</v>
      </c>
      <c r="C1092">
        <v>51.9</v>
      </c>
      <c r="D1092">
        <v>51.4</v>
      </c>
      <c r="E1092" s="178">
        <v>-0.5</v>
      </c>
      <c r="F1092" s="176">
        <v>-0.96</v>
      </c>
      <c r="G1092" t="s">
        <v>6359</v>
      </c>
      <c r="H1092">
        <v>482</v>
      </c>
      <c r="I1092">
        <v>679</v>
      </c>
      <c r="J1092">
        <v>18.260000000000002</v>
      </c>
      <c r="K1092">
        <v>52</v>
      </c>
      <c r="L1092">
        <v>50.8</v>
      </c>
      <c r="M1092" s="175">
        <v>0.26</v>
      </c>
      <c r="N1092" t="s">
        <v>2188</v>
      </c>
    </row>
    <row r="1093" spans="1:14">
      <c r="A1093">
        <v>3313</v>
      </c>
      <c r="B1093" t="s">
        <v>978</v>
      </c>
      <c r="C1093">
        <v>11.4</v>
      </c>
      <c r="D1093">
        <v>10.9</v>
      </c>
      <c r="E1093" s="178">
        <v>-0.4</v>
      </c>
      <c r="F1093" s="176">
        <v>-3.54</v>
      </c>
      <c r="G1093" t="s">
        <v>6360</v>
      </c>
      <c r="H1093">
        <v>172</v>
      </c>
      <c r="I1093">
        <v>469</v>
      </c>
      <c r="J1093">
        <v>22.11</v>
      </c>
      <c r="K1093">
        <v>11.4</v>
      </c>
      <c r="L1093">
        <v>10.9</v>
      </c>
      <c r="M1093" s="175">
        <v>0.08</v>
      </c>
      <c r="N1093" t="s">
        <v>4121</v>
      </c>
    </row>
    <row r="1094" spans="1:14">
      <c r="A1094">
        <v>3317</v>
      </c>
      <c r="B1094" t="s">
        <v>979</v>
      </c>
      <c r="C1094">
        <v>66</v>
      </c>
      <c r="D1094">
        <v>63</v>
      </c>
      <c r="E1094" s="178">
        <v>-3.7</v>
      </c>
      <c r="F1094" s="176">
        <v>-5.55</v>
      </c>
      <c r="G1094" t="s">
        <v>6361</v>
      </c>
      <c r="H1094">
        <v>914</v>
      </c>
      <c r="I1094">
        <v>885</v>
      </c>
      <c r="J1094">
        <v>9</v>
      </c>
      <c r="K1094">
        <v>66</v>
      </c>
      <c r="L1094">
        <v>62.2</v>
      </c>
      <c r="M1094" s="175">
        <v>1.02</v>
      </c>
      <c r="N1094" t="s">
        <v>4499</v>
      </c>
    </row>
    <row r="1095" spans="1:14">
      <c r="A1095">
        <v>3321</v>
      </c>
      <c r="B1095" t="s">
        <v>4616</v>
      </c>
      <c r="C1095">
        <v>18.8</v>
      </c>
      <c r="D1095">
        <v>17.45</v>
      </c>
      <c r="E1095" s="178">
        <v>-1.1000000000000001</v>
      </c>
      <c r="F1095" s="176">
        <v>-5.93</v>
      </c>
      <c r="G1095" t="s">
        <v>6362</v>
      </c>
      <c r="H1095">
        <v>377</v>
      </c>
      <c r="I1095">
        <v>195</v>
      </c>
      <c r="J1095">
        <v>8.61</v>
      </c>
      <c r="K1095">
        <v>18.8</v>
      </c>
      <c r="L1095">
        <v>17</v>
      </c>
      <c r="M1095" s="175">
        <v>0.44</v>
      </c>
      <c r="N1095" t="s">
        <v>4617</v>
      </c>
    </row>
    <row r="1096" spans="1:14">
      <c r="A1096">
        <v>3322</v>
      </c>
      <c r="B1096" t="s">
        <v>980</v>
      </c>
      <c r="C1096">
        <v>10.95</v>
      </c>
      <c r="D1096">
        <v>11.5</v>
      </c>
      <c r="E1096" s="178">
        <v>0.3</v>
      </c>
      <c r="F1096" s="176">
        <v>2.68</v>
      </c>
      <c r="G1096" t="s">
        <v>5346</v>
      </c>
      <c r="H1096">
        <v>472</v>
      </c>
      <c r="I1096">
        <v>186</v>
      </c>
      <c r="J1096">
        <v>13.76</v>
      </c>
      <c r="K1096">
        <v>11.95</v>
      </c>
      <c r="L1096">
        <v>10.95</v>
      </c>
      <c r="M1096" s="175">
        <v>0.34</v>
      </c>
      <c r="N1096" t="s">
        <v>1727</v>
      </c>
    </row>
    <row r="1097" spans="1:14">
      <c r="A1097">
        <v>3323</v>
      </c>
      <c r="B1097" t="s">
        <v>981</v>
      </c>
      <c r="C1097">
        <v>30.05</v>
      </c>
      <c r="D1097">
        <v>29.5</v>
      </c>
      <c r="E1097" s="178">
        <v>-0.6</v>
      </c>
      <c r="F1097" s="176">
        <v>-1.99</v>
      </c>
      <c r="G1097" t="s">
        <v>6363</v>
      </c>
      <c r="H1097">
        <v>281</v>
      </c>
      <c r="I1097">
        <v>271</v>
      </c>
      <c r="J1097">
        <v>9.9600000000000009</v>
      </c>
      <c r="K1097">
        <v>30.75</v>
      </c>
      <c r="L1097">
        <v>29.5</v>
      </c>
      <c r="M1097" s="175">
        <v>0.28000000000000003</v>
      </c>
      <c r="N1097" t="s">
        <v>3890</v>
      </c>
    </row>
    <row r="1098" spans="1:14">
      <c r="A1098">
        <v>3324</v>
      </c>
      <c r="B1098" t="s">
        <v>982</v>
      </c>
      <c r="C1098">
        <v>1130</v>
      </c>
      <c r="D1098">
        <v>1250</v>
      </c>
      <c r="E1098" s="178">
        <v>110</v>
      </c>
      <c r="F1098" s="176">
        <v>9.65</v>
      </c>
      <c r="G1098" t="s">
        <v>6364</v>
      </c>
      <c r="H1098">
        <v>8720</v>
      </c>
      <c r="I1098">
        <v>4235</v>
      </c>
      <c r="J1098">
        <v>9.31</v>
      </c>
      <c r="K1098">
        <v>1250</v>
      </c>
      <c r="L1098">
        <v>1125</v>
      </c>
      <c r="M1098" s="175">
        <v>9.3699999999999992</v>
      </c>
      <c r="N1098" t="s">
        <v>3398</v>
      </c>
    </row>
    <row r="1099" spans="1:14">
      <c r="A1099">
        <v>3325</v>
      </c>
      <c r="B1099" t="s">
        <v>983</v>
      </c>
      <c r="C1099">
        <v>11.25</v>
      </c>
      <c r="D1099">
        <v>11.55</v>
      </c>
      <c r="E1099" s="178">
        <v>0.3</v>
      </c>
      <c r="F1099" s="176">
        <v>2.67</v>
      </c>
      <c r="G1099" t="s">
        <v>5228</v>
      </c>
      <c r="H1099">
        <v>114</v>
      </c>
      <c r="I1099">
        <v>111</v>
      </c>
      <c r="J1099">
        <v>11.02</v>
      </c>
      <c r="K1099">
        <v>11.55</v>
      </c>
      <c r="L1099">
        <v>11.15</v>
      </c>
      <c r="M1099" s="175">
        <v>0.1</v>
      </c>
      <c r="N1099" t="s">
        <v>2189</v>
      </c>
    </row>
    <row r="1100" spans="1:14">
      <c r="A1100">
        <v>3332</v>
      </c>
      <c r="B1100" t="s">
        <v>984</v>
      </c>
      <c r="C1100" t="s">
        <v>1667</v>
      </c>
      <c r="D1100" t="s">
        <v>1667</v>
      </c>
      <c r="E1100" s="178" t="s">
        <v>1667</v>
      </c>
      <c r="F1100" s="176" t="s">
        <v>1667</v>
      </c>
      <c r="G1100" t="s">
        <v>1667</v>
      </c>
      <c r="H1100">
        <v>0</v>
      </c>
      <c r="I1100">
        <v>2</v>
      </c>
      <c r="J1100">
        <v>4.8099999999999996</v>
      </c>
      <c r="K1100" t="s">
        <v>1667</v>
      </c>
      <c r="L1100" t="s">
        <v>1667</v>
      </c>
      <c r="M1100" s="175">
        <v>0</v>
      </c>
      <c r="N1100" t="s">
        <v>1728</v>
      </c>
    </row>
    <row r="1101" spans="1:14">
      <c r="A1101">
        <v>3338</v>
      </c>
      <c r="B1101" t="s">
        <v>985</v>
      </c>
      <c r="C1101">
        <v>63.7</v>
      </c>
      <c r="D1101">
        <v>64.099999999999994</v>
      </c>
      <c r="E1101" s="178">
        <v>-0.1</v>
      </c>
      <c r="F1101" s="176">
        <v>-0.16</v>
      </c>
      <c r="G1101" t="s">
        <v>6365</v>
      </c>
      <c r="H1101">
        <v>181</v>
      </c>
      <c r="I1101">
        <v>249</v>
      </c>
      <c r="J1101">
        <v>8.7899999999999991</v>
      </c>
      <c r="K1101">
        <v>65.5</v>
      </c>
      <c r="L1101">
        <v>63.1</v>
      </c>
      <c r="M1101" s="175">
        <v>0.21</v>
      </c>
      <c r="N1101" t="s">
        <v>1729</v>
      </c>
    </row>
    <row r="1102" spans="1:14">
      <c r="A1102">
        <v>3339</v>
      </c>
      <c r="B1102" t="s">
        <v>986</v>
      </c>
      <c r="C1102">
        <v>43</v>
      </c>
      <c r="D1102">
        <v>46.75</v>
      </c>
      <c r="E1102" s="178">
        <v>3.75</v>
      </c>
      <c r="F1102" s="176">
        <v>8.7200000000000006</v>
      </c>
      <c r="G1102" t="s">
        <v>6366</v>
      </c>
      <c r="H1102">
        <v>9194</v>
      </c>
      <c r="I1102">
        <v>2985</v>
      </c>
      <c r="J1102">
        <v>6.66</v>
      </c>
      <c r="K1102">
        <v>47.3</v>
      </c>
      <c r="L1102">
        <v>42.9</v>
      </c>
      <c r="M1102" s="175">
        <v>13.81</v>
      </c>
      <c r="N1102" t="s">
        <v>1730</v>
      </c>
    </row>
    <row r="1103" spans="1:14">
      <c r="A1103">
        <v>3346</v>
      </c>
      <c r="B1103" t="s">
        <v>987</v>
      </c>
      <c r="C1103">
        <v>19.7</v>
      </c>
      <c r="D1103">
        <v>19.600000000000001</v>
      </c>
      <c r="E1103" s="178">
        <v>-0.4</v>
      </c>
      <c r="F1103" s="176">
        <v>-2</v>
      </c>
      <c r="G1103" t="s">
        <v>6367</v>
      </c>
      <c r="H1103">
        <v>330</v>
      </c>
      <c r="I1103">
        <v>213</v>
      </c>
      <c r="J1103">
        <v>12.12</v>
      </c>
      <c r="K1103">
        <v>19.850000000000001</v>
      </c>
      <c r="L1103">
        <v>19.25</v>
      </c>
      <c r="M1103" s="175">
        <v>0.27</v>
      </c>
      <c r="N1103" t="s">
        <v>1731</v>
      </c>
    </row>
    <row r="1104" spans="1:14">
      <c r="A1104">
        <v>3349</v>
      </c>
      <c r="B1104" t="s">
        <v>2088</v>
      </c>
      <c r="C1104">
        <v>23</v>
      </c>
      <c r="D1104">
        <v>22.95</v>
      </c>
      <c r="E1104" s="178">
        <v>0</v>
      </c>
      <c r="F1104" s="176">
        <v>0</v>
      </c>
      <c r="G1104" t="s">
        <v>5631</v>
      </c>
      <c r="H1104">
        <v>55</v>
      </c>
      <c r="I1104">
        <v>139</v>
      </c>
      <c r="J1104">
        <v>4.78</v>
      </c>
      <c r="K1104">
        <v>23.4</v>
      </c>
      <c r="L1104">
        <v>22.55</v>
      </c>
      <c r="M1104" s="175">
        <v>0.12</v>
      </c>
      <c r="N1104" t="s">
        <v>2190</v>
      </c>
    </row>
    <row r="1105" spans="1:14">
      <c r="A1105">
        <v>3354</v>
      </c>
      <c r="B1105" t="s">
        <v>988</v>
      </c>
      <c r="C1105">
        <v>24.3</v>
      </c>
      <c r="D1105">
        <v>23.65</v>
      </c>
      <c r="E1105" s="178">
        <v>-1.65</v>
      </c>
      <c r="F1105" s="176">
        <v>-6.52</v>
      </c>
      <c r="G1105" t="s">
        <v>6368</v>
      </c>
      <c r="H1105">
        <v>633</v>
      </c>
      <c r="I1105">
        <v>920</v>
      </c>
      <c r="J1105">
        <v>7.01</v>
      </c>
      <c r="K1105">
        <v>24.9</v>
      </c>
      <c r="L1105">
        <v>23.3</v>
      </c>
      <c r="M1105" s="175">
        <v>0.9</v>
      </c>
      <c r="N1105" t="s">
        <v>3380</v>
      </c>
    </row>
    <row r="1106" spans="1:14">
      <c r="A1106">
        <v>3356</v>
      </c>
      <c r="B1106" t="s">
        <v>4104</v>
      </c>
      <c r="C1106">
        <v>62.1</v>
      </c>
      <c r="D1106">
        <v>62.7</v>
      </c>
      <c r="E1106" s="178">
        <v>0.8</v>
      </c>
      <c r="F1106" s="176">
        <v>1.29</v>
      </c>
      <c r="G1106" t="s">
        <v>6369</v>
      </c>
      <c r="H1106">
        <v>303</v>
      </c>
      <c r="I1106">
        <v>363</v>
      </c>
      <c r="J1106">
        <v>8.0500000000000007</v>
      </c>
      <c r="K1106">
        <v>63.2</v>
      </c>
      <c r="L1106">
        <v>61.7</v>
      </c>
      <c r="M1106" s="175">
        <v>0.38</v>
      </c>
      <c r="N1106" t="s">
        <v>4105</v>
      </c>
    </row>
    <row r="1107" spans="1:14">
      <c r="A1107">
        <v>3357</v>
      </c>
      <c r="B1107" t="s">
        <v>1732</v>
      </c>
      <c r="C1107">
        <v>219.5</v>
      </c>
      <c r="D1107">
        <v>215.5</v>
      </c>
      <c r="E1107" s="178">
        <v>-7.5</v>
      </c>
      <c r="F1107" s="176">
        <v>-3.36</v>
      </c>
      <c r="G1107" t="s">
        <v>6049</v>
      </c>
      <c r="H1107">
        <v>1678</v>
      </c>
      <c r="I1107">
        <v>1519</v>
      </c>
      <c r="J1107">
        <v>11.79</v>
      </c>
      <c r="K1107">
        <v>226</v>
      </c>
      <c r="L1107">
        <v>211.5</v>
      </c>
      <c r="M1107" s="175">
        <v>1.44</v>
      </c>
      <c r="N1107" t="s">
        <v>1733</v>
      </c>
    </row>
    <row r="1108" spans="1:14">
      <c r="A1108">
        <v>3360</v>
      </c>
      <c r="B1108" t="s">
        <v>989</v>
      </c>
      <c r="C1108">
        <v>15.7</v>
      </c>
      <c r="D1108">
        <v>15.45</v>
      </c>
      <c r="E1108" s="178">
        <v>-0.1</v>
      </c>
      <c r="F1108" s="176">
        <v>-0.64</v>
      </c>
      <c r="G1108" t="s">
        <v>5681</v>
      </c>
      <c r="H1108">
        <v>442</v>
      </c>
      <c r="I1108">
        <v>385</v>
      </c>
      <c r="J1108">
        <v>7.64</v>
      </c>
      <c r="K1108">
        <v>15.8</v>
      </c>
      <c r="L1108">
        <v>15.4</v>
      </c>
      <c r="M1108" s="175">
        <v>0.57999999999999996</v>
      </c>
      <c r="N1108" t="s">
        <v>3946</v>
      </c>
    </row>
    <row r="1109" spans="1:14">
      <c r="A1109">
        <v>3362</v>
      </c>
      <c r="B1109" t="s">
        <v>990</v>
      </c>
      <c r="C1109">
        <v>197.5</v>
      </c>
      <c r="D1109">
        <v>202</v>
      </c>
      <c r="E1109" s="178">
        <v>2.5</v>
      </c>
      <c r="F1109" s="176">
        <v>1.25</v>
      </c>
      <c r="G1109" t="s">
        <v>5295</v>
      </c>
      <c r="H1109">
        <v>1823</v>
      </c>
      <c r="I1109">
        <v>11361</v>
      </c>
      <c r="J1109">
        <v>14.74</v>
      </c>
      <c r="K1109">
        <v>204.5</v>
      </c>
      <c r="L1109">
        <v>194.5</v>
      </c>
      <c r="M1109" s="175">
        <v>1.24</v>
      </c>
      <c r="N1109" t="s">
        <v>3572</v>
      </c>
    </row>
    <row r="1110" spans="1:14">
      <c r="A1110">
        <v>3363</v>
      </c>
      <c r="B1110" t="s">
        <v>991</v>
      </c>
      <c r="C1110">
        <v>683</v>
      </c>
      <c r="D1110">
        <v>747</v>
      </c>
      <c r="E1110" s="178">
        <v>46</v>
      </c>
      <c r="F1110" s="176">
        <v>6.56</v>
      </c>
      <c r="G1110" t="s">
        <v>6370</v>
      </c>
      <c r="H1110">
        <v>6666</v>
      </c>
      <c r="I1110">
        <v>5270</v>
      </c>
      <c r="J1110">
        <v>11.36</v>
      </c>
      <c r="K1110">
        <v>747</v>
      </c>
      <c r="L1110">
        <v>683</v>
      </c>
      <c r="M1110" s="175">
        <v>5.87</v>
      </c>
      <c r="N1110" t="s">
        <v>1734</v>
      </c>
    </row>
    <row r="1111" spans="1:14">
      <c r="A1111">
        <v>3372</v>
      </c>
      <c r="B1111" t="s">
        <v>992</v>
      </c>
      <c r="C1111">
        <v>15.2</v>
      </c>
      <c r="D1111">
        <v>14.95</v>
      </c>
      <c r="E1111" s="178">
        <v>-0.4</v>
      </c>
      <c r="F1111" s="176">
        <v>-2.61</v>
      </c>
      <c r="G1111" t="s">
        <v>5686</v>
      </c>
      <c r="H1111">
        <v>326</v>
      </c>
      <c r="I1111">
        <v>273</v>
      </c>
      <c r="J1111">
        <v>23.53</v>
      </c>
      <c r="K1111">
        <v>15.2</v>
      </c>
      <c r="L1111">
        <v>14.8</v>
      </c>
      <c r="M1111" s="175">
        <v>0.14000000000000001</v>
      </c>
      <c r="N1111" t="s">
        <v>1735</v>
      </c>
    </row>
    <row r="1112" spans="1:14">
      <c r="A1112">
        <v>3373</v>
      </c>
      <c r="B1112" t="s">
        <v>993</v>
      </c>
      <c r="C1112">
        <v>16.55</v>
      </c>
      <c r="D1112">
        <v>16.5</v>
      </c>
      <c r="E1112" s="178">
        <v>-0.15</v>
      </c>
      <c r="F1112" s="176">
        <v>-0.9</v>
      </c>
      <c r="G1112" t="s">
        <v>5993</v>
      </c>
      <c r="H1112">
        <v>8</v>
      </c>
      <c r="I1112">
        <v>59</v>
      </c>
      <c r="J1112">
        <v>4.76</v>
      </c>
      <c r="K1112">
        <v>16.600000000000001</v>
      </c>
      <c r="L1112">
        <v>16.5</v>
      </c>
      <c r="M1112" s="175">
        <v>0.02</v>
      </c>
      <c r="N1112" t="s">
        <v>3234</v>
      </c>
    </row>
    <row r="1113" spans="1:14">
      <c r="A1113">
        <v>3374</v>
      </c>
      <c r="B1113" t="s">
        <v>994</v>
      </c>
      <c r="C1113">
        <v>390.5</v>
      </c>
      <c r="D1113">
        <v>422.5</v>
      </c>
      <c r="E1113" s="178">
        <v>36.5</v>
      </c>
      <c r="F1113" s="176">
        <v>9.4600000000000009</v>
      </c>
      <c r="G1113" t="s">
        <v>6205</v>
      </c>
      <c r="H1113">
        <v>41584</v>
      </c>
      <c r="I1113">
        <v>17443</v>
      </c>
      <c r="J1113">
        <v>27.14</v>
      </c>
      <c r="K1113">
        <v>424.5</v>
      </c>
      <c r="L1113">
        <v>388.5</v>
      </c>
      <c r="M1113" s="175">
        <v>15.32</v>
      </c>
      <c r="N1113" t="s">
        <v>4194</v>
      </c>
    </row>
    <row r="1114" spans="1:14">
      <c r="A1114">
        <v>3376</v>
      </c>
      <c r="B1114" t="s">
        <v>64</v>
      </c>
      <c r="C1114">
        <v>217</v>
      </c>
      <c r="D1114">
        <v>214</v>
      </c>
      <c r="E1114" s="178">
        <v>-3</v>
      </c>
      <c r="F1114" s="176">
        <v>-1.38</v>
      </c>
      <c r="G1114" t="s">
        <v>6371</v>
      </c>
      <c r="H1114">
        <v>7430</v>
      </c>
      <c r="I1114">
        <v>8756</v>
      </c>
      <c r="J1114">
        <v>19.579999999999998</v>
      </c>
      <c r="K1114">
        <v>218</v>
      </c>
      <c r="L1114">
        <v>210</v>
      </c>
      <c r="M1114" s="175">
        <v>3.8</v>
      </c>
      <c r="N1114" t="s">
        <v>4403</v>
      </c>
    </row>
    <row r="1115" spans="1:14">
      <c r="A1115">
        <v>3379</v>
      </c>
      <c r="B1115" t="s">
        <v>995</v>
      </c>
      <c r="C1115">
        <v>29.25</v>
      </c>
      <c r="D1115">
        <v>28.8</v>
      </c>
      <c r="E1115" s="178">
        <v>-0.45</v>
      </c>
      <c r="F1115" s="176">
        <v>-1.54</v>
      </c>
      <c r="G1115" t="s">
        <v>6372</v>
      </c>
      <c r="H1115">
        <v>149</v>
      </c>
      <c r="I1115">
        <v>110</v>
      </c>
      <c r="J1115">
        <v>3.8</v>
      </c>
      <c r="K1115">
        <v>29.7</v>
      </c>
      <c r="L1115">
        <v>28.7</v>
      </c>
      <c r="M1115" s="175">
        <v>0.39</v>
      </c>
      <c r="N1115" t="s">
        <v>4500</v>
      </c>
    </row>
    <row r="1116" spans="1:14">
      <c r="A1116">
        <v>3380</v>
      </c>
      <c r="B1116" t="s">
        <v>996</v>
      </c>
      <c r="C1116">
        <v>28.15</v>
      </c>
      <c r="D1116">
        <v>28.5</v>
      </c>
      <c r="E1116" s="178">
        <v>0.35</v>
      </c>
      <c r="F1116" s="176">
        <v>1.24</v>
      </c>
      <c r="G1116" t="s">
        <v>6373</v>
      </c>
      <c r="H1116">
        <v>6674</v>
      </c>
      <c r="I1116">
        <v>1028</v>
      </c>
      <c r="J1116">
        <v>54.17</v>
      </c>
      <c r="K1116">
        <v>28.5</v>
      </c>
      <c r="L1116">
        <v>27.8</v>
      </c>
      <c r="M1116" s="175">
        <v>1.23</v>
      </c>
      <c r="N1116" t="s">
        <v>3528</v>
      </c>
    </row>
    <row r="1117" spans="1:14">
      <c r="A1117">
        <v>3388</v>
      </c>
      <c r="B1117" t="s">
        <v>997</v>
      </c>
      <c r="C1117">
        <v>95.8</v>
      </c>
      <c r="D1117">
        <v>91.5</v>
      </c>
      <c r="E1117" s="178">
        <v>-4.8</v>
      </c>
      <c r="F1117" s="176">
        <v>-4.9800000000000004</v>
      </c>
      <c r="G1117" t="s">
        <v>5991</v>
      </c>
      <c r="H1117">
        <v>2058</v>
      </c>
      <c r="I1117">
        <v>3244</v>
      </c>
      <c r="J1117">
        <v>8.11</v>
      </c>
      <c r="K1117">
        <v>95.8</v>
      </c>
      <c r="L1117">
        <v>91</v>
      </c>
      <c r="M1117" s="175">
        <v>2.65</v>
      </c>
      <c r="N1117" t="s">
        <v>2191</v>
      </c>
    </row>
    <row r="1118" spans="1:14">
      <c r="A1118">
        <v>3390</v>
      </c>
      <c r="B1118" t="s">
        <v>998</v>
      </c>
      <c r="C1118">
        <v>22.35</v>
      </c>
      <c r="D1118">
        <v>22.3</v>
      </c>
      <c r="E1118" s="178">
        <v>-0.05</v>
      </c>
      <c r="F1118" s="176">
        <v>-0.22</v>
      </c>
      <c r="G1118" t="s">
        <v>5347</v>
      </c>
      <c r="H1118">
        <v>148</v>
      </c>
      <c r="I1118">
        <v>187</v>
      </c>
      <c r="J1118">
        <v>7.93</v>
      </c>
      <c r="K1118">
        <v>22.7</v>
      </c>
      <c r="L1118">
        <v>22.2</v>
      </c>
      <c r="M1118" s="175">
        <v>0.19</v>
      </c>
      <c r="N1118" t="s">
        <v>3235</v>
      </c>
    </row>
    <row r="1119" spans="1:14">
      <c r="A1119">
        <v>3402</v>
      </c>
      <c r="B1119" t="s">
        <v>999</v>
      </c>
      <c r="C1119">
        <v>122</v>
      </c>
      <c r="D1119">
        <v>121</v>
      </c>
      <c r="E1119" s="178">
        <v>-1.5</v>
      </c>
      <c r="F1119" s="176">
        <v>-1.22</v>
      </c>
      <c r="G1119" t="s">
        <v>5333</v>
      </c>
      <c r="H1119">
        <v>193</v>
      </c>
      <c r="I1119">
        <v>156</v>
      </c>
      <c r="J1119">
        <v>7.3</v>
      </c>
      <c r="K1119">
        <v>122.5</v>
      </c>
      <c r="L1119">
        <v>120</v>
      </c>
      <c r="M1119" s="175">
        <v>0.26</v>
      </c>
      <c r="N1119" t="s">
        <v>1736</v>
      </c>
    </row>
    <row r="1120" spans="1:14">
      <c r="A1120">
        <v>3406</v>
      </c>
      <c r="B1120" t="s">
        <v>254</v>
      </c>
      <c r="C1120">
        <v>916</v>
      </c>
      <c r="D1120">
        <v>1005</v>
      </c>
      <c r="E1120" s="178">
        <v>88</v>
      </c>
      <c r="F1120" s="176">
        <v>9.6</v>
      </c>
      <c r="G1120" t="s">
        <v>6364</v>
      </c>
      <c r="H1120">
        <v>10885</v>
      </c>
      <c r="I1120">
        <v>7783</v>
      </c>
      <c r="J1120">
        <v>11.27</v>
      </c>
      <c r="K1120">
        <v>1005</v>
      </c>
      <c r="L1120">
        <v>915</v>
      </c>
      <c r="M1120" s="175">
        <v>9.65</v>
      </c>
      <c r="N1120" t="s">
        <v>3529</v>
      </c>
    </row>
    <row r="1121" spans="1:14">
      <c r="A1121">
        <v>3413</v>
      </c>
      <c r="B1121" t="s">
        <v>1000</v>
      </c>
      <c r="C1121">
        <v>286</v>
      </c>
      <c r="D1121">
        <v>279</v>
      </c>
      <c r="E1121" s="178">
        <v>-8.5</v>
      </c>
      <c r="F1121" s="176">
        <v>-2.96</v>
      </c>
      <c r="G1121" t="s">
        <v>6374</v>
      </c>
      <c r="H1121">
        <v>1971</v>
      </c>
      <c r="I1121">
        <v>646</v>
      </c>
      <c r="J1121">
        <v>11.09</v>
      </c>
      <c r="K1121">
        <v>286</v>
      </c>
      <c r="L1121">
        <v>277</v>
      </c>
      <c r="M1121" s="175">
        <v>1.78</v>
      </c>
      <c r="N1121" t="s">
        <v>3438</v>
      </c>
    </row>
    <row r="1122" spans="1:14">
      <c r="A1122">
        <v>3416</v>
      </c>
      <c r="B1122" t="s">
        <v>1001</v>
      </c>
      <c r="C1122">
        <v>179.5</v>
      </c>
      <c r="D1122">
        <v>182</v>
      </c>
      <c r="E1122" s="178">
        <v>1.5</v>
      </c>
      <c r="F1122" s="176">
        <v>0.83</v>
      </c>
      <c r="G1122" t="s">
        <v>6375</v>
      </c>
      <c r="H1122">
        <v>204</v>
      </c>
      <c r="I1122">
        <v>244</v>
      </c>
      <c r="J1122">
        <v>8.08</v>
      </c>
      <c r="K1122">
        <v>182.5</v>
      </c>
      <c r="L1122">
        <v>177.5</v>
      </c>
      <c r="M1122" s="175">
        <v>0.24</v>
      </c>
      <c r="N1122" t="s">
        <v>3618</v>
      </c>
    </row>
    <row r="1123" spans="1:14">
      <c r="A1123">
        <v>3419</v>
      </c>
      <c r="B1123" t="s">
        <v>1002</v>
      </c>
      <c r="C1123">
        <v>11.75</v>
      </c>
      <c r="D1123">
        <v>11.95</v>
      </c>
      <c r="E1123" s="178">
        <v>0</v>
      </c>
      <c r="F1123" s="176">
        <v>0</v>
      </c>
      <c r="G1123" t="s">
        <v>6376</v>
      </c>
      <c r="H1123">
        <v>53</v>
      </c>
      <c r="I1123">
        <v>93</v>
      </c>
      <c r="J1123">
        <v>12.05</v>
      </c>
      <c r="K1123">
        <v>12.05</v>
      </c>
      <c r="L1123">
        <v>11.75</v>
      </c>
      <c r="M1123" s="175">
        <v>0.04</v>
      </c>
      <c r="N1123" t="s">
        <v>4445</v>
      </c>
    </row>
    <row r="1124" spans="1:14">
      <c r="A1124">
        <v>3430</v>
      </c>
      <c r="B1124" t="s">
        <v>2157</v>
      </c>
      <c r="C1124">
        <v>113.5</v>
      </c>
      <c r="D1124">
        <v>113</v>
      </c>
      <c r="E1124" s="178">
        <v>-2</v>
      </c>
      <c r="F1124" s="176">
        <v>-1.74</v>
      </c>
      <c r="G1124" t="s">
        <v>6377</v>
      </c>
      <c r="H1124">
        <v>171</v>
      </c>
      <c r="I1124">
        <v>244</v>
      </c>
      <c r="J1124">
        <v>3.37</v>
      </c>
      <c r="K1124">
        <v>115</v>
      </c>
      <c r="L1124">
        <v>112</v>
      </c>
      <c r="M1124" s="175">
        <v>0.51</v>
      </c>
      <c r="N1124" t="s">
        <v>2159</v>
      </c>
    </row>
    <row r="1125" spans="1:14">
      <c r="A1125">
        <v>3432</v>
      </c>
      <c r="B1125" t="s">
        <v>3357</v>
      </c>
      <c r="C1125">
        <v>14.6</v>
      </c>
      <c r="D1125">
        <v>14.4</v>
      </c>
      <c r="E1125" s="178">
        <v>-0.2</v>
      </c>
      <c r="F1125" s="176">
        <v>-1.37</v>
      </c>
      <c r="G1125" t="s">
        <v>6378</v>
      </c>
      <c r="H1125">
        <v>34</v>
      </c>
      <c r="I1125">
        <v>17</v>
      </c>
      <c r="J1125">
        <v>4.22</v>
      </c>
      <c r="K1125">
        <v>14.6</v>
      </c>
      <c r="L1125">
        <v>14.25</v>
      </c>
      <c r="M1125" s="175">
        <v>0.09</v>
      </c>
      <c r="N1125" t="s">
        <v>4501</v>
      </c>
    </row>
    <row r="1126" spans="1:14">
      <c r="A1126">
        <v>3434</v>
      </c>
      <c r="B1126" t="s">
        <v>1003</v>
      </c>
      <c r="C1126">
        <v>29.8</v>
      </c>
      <c r="D1126">
        <v>29.85</v>
      </c>
      <c r="E1126" s="178">
        <v>0</v>
      </c>
      <c r="F1126" s="176">
        <v>0</v>
      </c>
      <c r="G1126" t="s">
        <v>5626</v>
      </c>
      <c r="H1126">
        <v>22</v>
      </c>
      <c r="I1126">
        <v>34</v>
      </c>
      <c r="J1126">
        <v>3.58</v>
      </c>
      <c r="K1126">
        <v>29.85</v>
      </c>
      <c r="L1126">
        <v>29.65</v>
      </c>
      <c r="M1126" s="175">
        <v>0.06</v>
      </c>
      <c r="N1126" t="s">
        <v>1737</v>
      </c>
    </row>
    <row r="1127" spans="1:14">
      <c r="A1127">
        <v>3437</v>
      </c>
      <c r="B1127" t="s">
        <v>1004</v>
      </c>
      <c r="C1127">
        <v>18.45</v>
      </c>
      <c r="D1127">
        <v>18.350000000000001</v>
      </c>
      <c r="E1127" s="178">
        <v>-0.05</v>
      </c>
      <c r="F1127" s="176">
        <v>-0.27</v>
      </c>
      <c r="G1127" t="s">
        <v>5638</v>
      </c>
      <c r="H1127">
        <v>329</v>
      </c>
      <c r="I1127">
        <v>688</v>
      </c>
      <c r="J1127">
        <v>14.45</v>
      </c>
      <c r="K1127">
        <v>18.5</v>
      </c>
      <c r="L1127">
        <v>18.100000000000001</v>
      </c>
      <c r="M1127" s="175">
        <v>0.23</v>
      </c>
      <c r="N1127" t="s">
        <v>4195</v>
      </c>
    </row>
    <row r="1128" spans="1:14">
      <c r="A1128">
        <v>3438</v>
      </c>
      <c r="B1128" t="s">
        <v>1005</v>
      </c>
      <c r="C1128">
        <v>60.6</v>
      </c>
      <c r="D1128">
        <v>64</v>
      </c>
      <c r="E1128" s="178">
        <v>2.5</v>
      </c>
      <c r="F1128" s="176">
        <v>4.07</v>
      </c>
      <c r="G1128" t="s">
        <v>6379</v>
      </c>
      <c r="H1128">
        <v>316</v>
      </c>
      <c r="I1128">
        <v>209</v>
      </c>
      <c r="J1128">
        <v>4.72</v>
      </c>
      <c r="K1128">
        <v>64.8</v>
      </c>
      <c r="L1128">
        <v>60</v>
      </c>
      <c r="M1128" s="175">
        <v>0.67</v>
      </c>
      <c r="N1128" t="s">
        <v>1738</v>
      </c>
    </row>
    <row r="1129" spans="1:14">
      <c r="A1129">
        <v>3441</v>
      </c>
      <c r="B1129" t="s">
        <v>1006</v>
      </c>
      <c r="C1129">
        <v>127.5</v>
      </c>
      <c r="D1129">
        <v>136</v>
      </c>
      <c r="E1129" s="178">
        <v>6</v>
      </c>
      <c r="F1129" s="176">
        <v>4.62</v>
      </c>
      <c r="G1129" t="s">
        <v>6380</v>
      </c>
      <c r="H1129">
        <v>4545</v>
      </c>
      <c r="I1129">
        <v>25361</v>
      </c>
      <c r="J1129">
        <v>4</v>
      </c>
      <c r="K1129">
        <v>137.5</v>
      </c>
      <c r="L1129">
        <v>127.5</v>
      </c>
      <c r="M1129" s="175">
        <v>11.35</v>
      </c>
      <c r="N1129" t="s">
        <v>3891</v>
      </c>
    </row>
    <row r="1130" spans="1:14">
      <c r="A1130">
        <v>3443</v>
      </c>
      <c r="B1130" t="s">
        <v>1007</v>
      </c>
      <c r="C1130">
        <v>5850</v>
      </c>
      <c r="D1130">
        <v>6100</v>
      </c>
      <c r="E1130" s="178">
        <v>85</v>
      </c>
      <c r="F1130" s="176">
        <v>1.41</v>
      </c>
      <c r="G1130" t="s">
        <v>5434</v>
      </c>
      <c r="H1130">
        <v>1946</v>
      </c>
      <c r="I1130">
        <v>2106</v>
      </c>
      <c r="J1130">
        <v>13.4</v>
      </c>
      <c r="K1130">
        <v>6100</v>
      </c>
      <c r="L1130">
        <v>5680</v>
      </c>
      <c r="M1130" s="175">
        <v>1.45</v>
      </c>
      <c r="N1130" t="s">
        <v>3573</v>
      </c>
    </row>
    <row r="1131" spans="1:14">
      <c r="A1131">
        <v>3444</v>
      </c>
      <c r="B1131" t="s">
        <v>1008</v>
      </c>
      <c r="C1131">
        <v>83</v>
      </c>
      <c r="D1131">
        <v>83.6</v>
      </c>
      <c r="E1131" s="178">
        <v>0.6</v>
      </c>
      <c r="F1131" s="176">
        <v>0.72</v>
      </c>
      <c r="G1131" t="s">
        <v>5507</v>
      </c>
      <c r="H1131">
        <v>190</v>
      </c>
      <c r="I1131">
        <v>1284</v>
      </c>
      <c r="J1131">
        <v>4.5</v>
      </c>
      <c r="K1131">
        <v>83.8</v>
      </c>
      <c r="L1131">
        <v>81.8</v>
      </c>
      <c r="M1131" s="175">
        <v>0.42</v>
      </c>
      <c r="N1131" t="s">
        <v>3574</v>
      </c>
    </row>
    <row r="1132" spans="1:14">
      <c r="A1132">
        <v>3447</v>
      </c>
      <c r="B1132" t="s">
        <v>2233</v>
      </c>
      <c r="C1132">
        <v>28.75</v>
      </c>
      <c r="D1132">
        <v>30.15</v>
      </c>
      <c r="E1132" s="178">
        <v>1.45</v>
      </c>
      <c r="F1132" s="176">
        <v>5.05</v>
      </c>
      <c r="G1132" t="s">
        <v>6381</v>
      </c>
      <c r="H1132">
        <v>551</v>
      </c>
      <c r="I1132">
        <v>83</v>
      </c>
      <c r="J1132">
        <v>7.74</v>
      </c>
      <c r="K1132">
        <v>30.75</v>
      </c>
      <c r="L1132">
        <v>28.55</v>
      </c>
      <c r="M1132" s="175">
        <v>0.71</v>
      </c>
      <c r="N1132" t="s">
        <v>2234</v>
      </c>
    </row>
    <row r="1133" spans="1:14">
      <c r="A1133">
        <v>3450</v>
      </c>
      <c r="B1133" t="s">
        <v>1009</v>
      </c>
      <c r="C1133">
        <v>627</v>
      </c>
      <c r="D1133">
        <v>646</v>
      </c>
      <c r="E1133" s="178">
        <v>11</v>
      </c>
      <c r="F1133" s="176">
        <v>1.73</v>
      </c>
      <c r="G1133" t="s">
        <v>6265</v>
      </c>
      <c r="H1133">
        <v>19061</v>
      </c>
      <c r="I1133">
        <v>15503</v>
      </c>
      <c r="J1133">
        <v>14.57</v>
      </c>
      <c r="K1133">
        <v>646</v>
      </c>
      <c r="L1133">
        <v>601</v>
      </c>
      <c r="M1133" s="175">
        <v>13.08</v>
      </c>
      <c r="N1133" t="s">
        <v>2079</v>
      </c>
    </row>
    <row r="1134" spans="1:14">
      <c r="A1134">
        <v>3455</v>
      </c>
      <c r="B1134" t="s">
        <v>1010</v>
      </c>
      <c r="C1134">
        <v>255</v>
      </c>
      <c r="D1134">
        <v>260.5</v>
      </c>
      <c r="E1134" s="178">
        <v>6.5</v>
      </c>
      <c r="F1134" s="176">
        <v>2.56</v>
      </c>
      <c r="G1134" t="s">
        <v>5443</v>
      </c>
      <c r="H1134">
        <v>4098</v>
      </c>
      <c r="I1134">
        <v>1872</v>
      </c>
      <c r="J1134">
        <v>5.99</v>
      </c>
      <c r="K1134">
        <v>272.5</v>
      </c>
      <c r="L1134">
        <v>245.5</v>
      </c>
      <c r="M1134" s="175">
        <v>6.85</v>
      </c>
      <c r="N1134" t="s">
        <v>3391</v>
      </c>
    </row>
    <row r="1135" spans="1:14">
      <c r="A1135">
        <v>3465</v>
      </c>
      <c r="B1135" t="s">
        <v>1011</v>
      </c>
      <c r="C1135">
        <v>29.2</v>
      </c>
      <c r="D1135">
        <v>29.2</v>
      </c>
      <c r="E1135" s="178">
        <v>-0.05</v>
      </c>
      <c r="F1135" s="176">
        <v>-0.17</v>
      </c>
      <c r="G1135" t="s">
        <v>6382</v>
      </c>
      <c r="H1135">
        <v>11</v>
      </c>
      <c r="I1135">
        <v>19</v>
      </c>
      <c r="J1135">
        <v>4.2300000000000004</v>
      </c>
      <c r="K1135">
        <v>29.5</v>
      </c>
      <c r="L1135">
        <v>29.1</v>
      </c>
      <c r="M1135" s="175">
        <v>0.03</v>
      </c>
      <c r="N1135" t="s">
        <v>3138</v>
      </c>
    </row>
    <row r="1136" spans="1:14">
      <c r="A1136">
        <v>3466</v>
      </c>
      <c r="B1136" t="s">
        <v>3070</v>
      </c>
      <c r="C1136">
        <v>24.55</v>
      </c>
      <c r="D1136">
        <v>24.9</v>
      </c>
      <c r="E1136" s="178">
        <v>0.4</v>
      </c>
      <c r="F1136" s="176">
        <v>1.63</v>
      </c>
      <c r="G1136" t="s">
        <v>5376</v>
      </c>
      <c r="H1136">
        <v>174</v>
      </c>
      <c r="I1136">
        <v>111</v>
      </c>
      <c r="J1136">
        <v>7.79</v>
      </c>
      <c r="K1136">
        <v>25.5</v>
      </c>
      <c r="L1136">
        <v>24.5</v>
      </c>
      <c r="M1136" s="175">
        <v>0.22</v>
      </c>
      <c r="N1136" t="s">
        <v>1739</v>
      </c>
    </row>
    <row r="1137" spans="1:14">
      <c r="A1137">
        <v>3467</v>
      </c>
      <c r="B1137" t="s">
        <v>4461</v>
      </c>
      <c r="C1137">
        <v>47.55</v>
      </c>
      <c r="D1137">
        <v>49.35</v>
      </c>
      <c r="E1137" s="178">
        <v>1.65</v>
      </c>
      <c r="F1137" s="176">
        <v>3.46</v>
      </c>
      <c r="G1137" t="s">
        <v>5218</v>
      </c>
      <c r="H1137">
        <v>31</v>
      </c>
      <c r="I1137">
        <v>93</v>
      </c>
      <c r="J1137">
        <v>3.16</v>
      </c>
      <c r="K1137">
        <v>49.35</v>
      </c>
      <c r="L1137">
        <v>47.55</v>
      </c>
      <c r="M1137" s="175">
        <v>0.1</v>
      </c>
      <c r="N1137" t="s">
        <v>4462</v>
      </c>
    </row>
    <row r="1138" spans="1:14">
      <c r="A1138">
        <v>3479</v>
      </c>
      <c r="B1138" t="s">
        <v>1012</v>
      </c>
      <c r="C1138">
        <v>129</v>
      </c>
      <c r="D1138">
        <v>126.5</v>
      </c>
      <c r="E1138" s="178">
        <v>-2.5</v>
      </c>
      <c r="F1138" s="176">
        <v>-1.94</v>
      </c>
      <c r="G1138" t="s">
        <v>6383</v>
      </c>
      <c r="H1138">
        <v>479</v>
      </c>
      <c r="I1138">
        <v>355</v>
      </c>
      <c r="J1138">
        <v>7.3</v>
      </c>
      <c r="K1138">
        <v>129</v>
      </c>
      <c r="L1138">
        <v>125.5</v>
      </c>
      <c r="M1138" s="175">
        <v>0.66</v>
      </c>
      <c r="N1138" t="s">
        <v>4196</v>
      </c>
    </row>
    <row r="1139" spans="1:14">
      <c r="A1139">
        <v>3481</v>
      </c>
      <c r="B1139" t="s">
        <v>255</v>
      </c>
      <c r="C1139">
        <v>48.15</v>
      </c>
      <c r="D1139">
        <v>49.85</v>
      </c>
      <c r="E1139" s="178">
        <v>1.25</v>
      </c>
      <c r="F1139" s="176">
        <v>2.57</v>
      </c>
      <c r="G1139" t="s">
        <v>6230</v>
      </c>
      <c r="H1139">
        <v>263281</v>
      </c>
      <c r="I1139">
        <v>172630</v>
      </c>
      <c r="J1139">
        <v>798.92</v>
      </c>
      <c r="K1139">
        <v>50.5</v>
      </c>
      <c r="L1139">
        <v>47.6</v>
      </c>
      <c r="M1139" s="175">
        <v>3.3</v>
      </c>
      <c r="N1139" t="s">
        <v>4002</v>
      </c>
    </row>
    <row r="1140" spans="1:14">
      <c r="A1140">
        <v>3483</v>
      </c>
      <c r="B1140" t="s">
        <v>1013</v>
      </c>
      <c r="C1140">
        <v>74.2</v>
      </c>
      <c r="D1140">
        <v>74.099999999999994</v>
      </c>
      <c r="E1140" s="178">
        <v>-0.9</v>
      </c>
      <c r="F1140" s="176">
        <v>-1.2</v>
      </c>
      <c r="G1140" t="s">
        <v>5698</v>
      </c>
      <c r="H1140">
        <v>168</v>
      </c>
      <c r="I1140">
        <v>205</v>
      </c>
      <c r="J1140">
        <v>9.9</v>
      </c>
      <c r="K1140">
        <v>75.7</v>
      </c>
      <c r="L1140">
        <v>74</v>
      </c>
      <c r="M1140" s="175">
        <v>0.17</v>
      </c>
      <c r="N1140" t="s">
        <v>1740</v>
      </c>
    </row>
    <row r="1141" spans="1:14">
      <c r="A1141">
        <v>3484</v>
      </c>
      <c r="B1141" t="s">
        <v>1014</v>
      </c>
      <c r="C1141">
        <v>50.3</v>
      </c>
      <c r="D1141">
        <v>49.5</v>
      </c>
      <c r="E1141" s="178">
        <v>-0.8</v>
      </c>
      <c r="F1141" s="176">
        <v>-1.59</v>
      </c>
      <c r="G1141" t="s">
        <v>5998</v>
      </c>
      <c r="H1141">
        <v>201</v>
      </c>
      <c r="I1141">
        <v>136</v>
      </c>
      <c r="J1141">
        <v>7.88</v>
      </c>
      <c r="K1141">
        <v>50.3</v>
      </c>
      <c r="L1141">
        <v>49.5</v>
      </c>
      <c r="M1141" s="175">
        <v>0.25</v>
      </c>
      <c r="N1141" t="s">
        <v>2192</v>
      </c>
    </row>
    <row r="1142" spans="1:14">
      <c r="A1142">
        <v>3485</v>
      </c>
      <c r="B1142" t="s">
        <v>5088</v>
      </c>
      <c r="C1142">
        <v>227.5</v>
      </c>
      <c r="D1142">
        <v>217</v>
      </c>
      <c r="E1142" s="178">
        <v>-17</v>
      </c>
      <c r="F1142" s="176">
        <v>-7.26</v>
      </c>
      <c r="G1142" t="s">
        <v>6384</v>
      </c>
      <c r="H1142">
        <v>233</v>
      </c>
      <c r="I1142">
        <v>185</v>
      </c>
      <c r="J1142">
        <v>3.85</v>
      </c>
      <c r="K1142">
        <v>227.5</v>
      </c>
      <c r="L1142">
        <v>214</v>
      </c>
      <c r="M1142" s="175">
        <v>0.61</v>
      </c>
      <c r="N1142" t="s">
        <v>5089</v>
      </c>
    </row>
    <row r="1143" spans="1:14">
      <c r="A1143">
        <v>3489</v>
      </c>
      <c r="B1143" t="s">
        <v>1015</v>
      </c>
      <c r="C1143">
        <v>23.1</v>
      </c>
      <c r="D1143">
        <v>22.95</v>
      </c>
      <c r="E1143" s="178">
        <v>-0.1</v>
      </c>
      <c r="F1143" s="176">
        <v>-0.43</v>
      </c>
      <c r="G1143" t="s">
        <v>5272</v>
      </c>
      <c r="H1143">
        <v>64</v>
      </c>
      <c r="I1143">
        <v>191</v>
      </c>
      <c r="J1143">
        <v>9.0500000000000007</v>
      </c>
      <c r="K1143">
        <v>23.1</v>
      </c>
      <c r="L1143">
        <v>22.7</v>
      </c>
      <c r="M1143" s="175">
        <v>7.0000000000000007E-2</v>
      </c>
      <c r="N1143" t="s">
        <v>4197</v>
      </c>
    </row>
    <row r="1144" spans="1:14">
      <c r="A1144">
        <v>3490</v>
      </c>
      <c r="B1144" t="s">
        <v>1016</v>
      </c>
      <c r="C1144">
        <v>48.1</v>
      </c>
      <c r="D1144">
        <v>45.5</v>
      </c>
      <c r="E1144" s="178">
        <v>-4.8</v>
      </c>
      <c r="F1144" s="176">
        <v>-9.5399999999999991</v>
      </c>
      <c r="G1144" t="s">
        <v>5718</v>
      </c>
      <c r="H1144">
        <v>6201</v>
      </c>
      <c r="I1144">
        <v>5188</v>
      </c>
      <c r="J1144">
        <v>5.5</v>
      </c>
      <c r="K1144">
        <v>50.2</v>
      </c>
      <c r="L1144">
        <v>45.3</v>
      </c>
      <c r="M1144" s="175">
        <v>11.27</v>
      </c>
      <c r="N1144" t="s">
        <v>3575</v>
      </c>
    </row>
    <row r="1145" spans="1:14">
      <c r="A1145">
        <v>3491</v>
      </c>
      <c r="B1145" t="s">
        <v>1017</v>
      </c>
      <c r="C1145">
        <v>1555</v>
      </c>
      <c r="D1145">
        <v>1380</v>
      </c>
      <c r="E1145" s="178">
        <v>-130</v>
      </c>
      <c r="F1145" s="176">
        <v>-8.61</v>
      </c>
      <c r="G1145" t="s">
        <v>5576</v>
      </c>
      <c r="H1145">
        <v>2445</v>
      </c>
      <c r="I1145">
        <v>1938</v>
      </c>
      <c r="J1145">
        <v>6.89</v>
      </c>
      <c r="K1145">
        <v>1555</v>
      </c>
      <c r="L1145">
        <v>1360</v>
      </c>
      <c r="M1145" s="175">
        <v>3.55</v>
      </c>
      <c r="N1145" t="s">
        <v>2070</v>
      </c>
    </row>
    <row r="1146" spans="1:14">
      <c r="A1146">
        <v>3492</v>
      </c>
      <c r="B1146" t="s">
        <v>1018</v>
      </c>
      <c r="C1146">
        <v>19.600000000000001</v>
      </c>
      <c r="D1146">
        <v>19.2</v>
      </c>
      <c r="E1146" s="178">
        <v>-0.5</v>
      </c>
      <c r="F1146" s="176">
        <v>-2.54</v>
      </c>
      <c r="G1146" t="s">
        <v>5158</v>
      </c>
      <c r="H1146">
        <v>54</v>
      </c>
      <c r="I1146">
        <v>134</v>
      </c>
      <c r="J1146">
        <v>3.55</v>
      </c>
      <c r="K1146">
        <v>19.600000000000001</v>
      </c>
      <c r="L1146">
        <v>19.149999999999999</v>
      </c>
      <c r="M1146" s="175">
        <v>0.15</v>
      </c>
      <c r="N1146" t="s">
        <v>1741</v>
      </c>
    </row>
    <row r="1147" spans="1:14">
      <c r="A1147">
        <v>3494</v>
      </c>
      <c r="B1147" t="s">
        <v>4122</v>
      </c>
      <c r="C1147">
        <v>7.32</v>
      </c>
      <c r="D1147">
        <v>7.13</v>
      </c>
      <c r="E1147" s="178">
        <v>0.01</v>
      </c>
      <c r="F1147" s="176">
        <v>0.14000000000000001</v>
      </c>
      <c r="G1147" t="s">
        <v>6385</v>
      </c>
      <c r="H1147">
        <v>31</v>
      </c>
      <c r="I1147">
        <v>74</v>
      </c>
      <c r="J1147">
        <v>9.48</v>
      </c>
      <c r="K1147">
        <v>7.32</v>
      </c>
      <c r="L1147">
        <v>7.06</v>
      </c>
      <c r="M1147" s="175">
        <v>0.05</v>
      </c>
      <c r="N1147" t="s">
        <v>4123</v>
      </c>
    </row>
    <row r="1148" spans="1:14">
      <c r="A1148">
        <v>3498</v>
      </c>
      <c r="B1148" t="s">
        <v>1019</v>
      </c>
      <c r="C1148">
        <v>191</v>
      </c>
      <c r="D1148">
        <v>208</v>
      </c>
      <c r="E1148" s="178">
        <v>18.5</v>
      </c>
      <c r="F1148" s="176">
        <v>9.76</v>
      </c>
      <c r="G1148" t="s">
        <v>6386</v>
      </c>
      <c r="H1148">
        <v>1453</v>
      </c>
      <c r="I1148">
        <v>841</v>
      </c>
      <c r="J1148">
        <v>6.13</v>
      </c>
      <c r="K1148">
        <v>208</v>
      </c>
      <c r="L1148">
        <v>191</v>
      </c>
      <c r="M1148" s="175">
        <v>2.37</v>
      </c>
      <c r="N1148" t="s">
        <v>2050</v>
      </c>
    </row>
    <row r="1149" spans="1:14">
      <c r="A1149">
        <v>3499</v>
      </c>
      <c r="B1149" t="s">
        <v>1020</v>
      </c>
      <c r="C1149">
        <v>12.5</v>
      </c>
      <c r="D1149">
        <v>12.5</v>
      </c>
      <c r="E1149" s="178">
        <v>-0.05</v>
      </c>
      <c r="F1149" s="176">
        <v>-0.4</v>
      </c>
      <c r="G1149" t="s">
        <v>5964</v>
      </c>
      <c r="H1149">
        <v>10</v>
      </c>
      <c r="I1149">
        <v>25</v>
      </c>
      <c r="J1149">
        <v>5.5</v>
      </c>
      <c r="K1149">
        <v>12.5</v>
      </c>
      <c r="L1149">
        <v>12.4</v>
      </c>
      <c r="M1149" s="175">
        <v>0.02</v>
      </c>
      <c r="N1149" t="s">
        <v>1742</v>
      </c>
    </row>
    <row r="1150" spans="1:14">
      <c r="A1150">
        <v>3501</v>
      </c>
      <c r="B1150" t="s">
        <v>256</v>
      </c>
      <c r="C1150">
        <v>39.25</v>
      </c>
      <c r="D1150">
        <v>39.700000000000003</v>
      </c>
      <c r="E1150" s="178">
        <v>0.2</v>
      </c>
      <c r="F1150" s="176">
        <v>0.51</v>
      </c>
      <c r="G1150" t="s">
        <v>5455</v>
      </c>
      <c r="H1150">
        <v>134</v>
      </c>
      <c r="I1150">
        <v>128</v>
      </c>
      <c r="J1150">
        <v>11.83</v>
      </c>
      <c r="K1150">
        <v>39.700000000000003</v>
      </c>
      <c r="L1150">
        <v>39.200000000000003</v>
      </c>
      <c r="M1150" s="175">
        <v>0.11</v>
      </c>
      <c r="N1150" t="s">
        <v>1743</v>
      </c>
    </row>
    <row r="1151" spans="1:14">
      <c r="A1151">
        <v>3504</v>
      </c>
      <c r="B1151" t="s">
        <v>1021</v>
      </c>
      <c r="C1151">
        <v>87.7</v>
      </c>
      <c r="D1151">
        <v>90.3</v>
      </c>
      <c r="E1151" s="178">
        <v>0.8</v>
      </c>
      <c r="F1151" s="176">
        <v>0.89</v>
      </c>
      <c r="G1151" t="s">
        <v>6387</v>
      </c>
      <c r="H1151">
        <v>6697</v>
      </c>
      <c r="I1151">
        <v>6868</v>
      </c>
      <c r="J1151">
        <v>11.41</v>
      </c>
      <c r="K1151">
        <v>93.3</v>
      </c>
      <c r="L1151">
        <v>86.3</v>
      </c>
      <c r="M1151" s="175">
        <v>5.87</v>
      </c>
      <c r="N1151" t="s">
        <v>3399</v>
      </c>
    </row>
    <row r="1152" spans="1:14">
      <c r="A1152">
        <v>3508</v>
      </c>
      <c r="B1152" t="s">
        <v>1022</v>
      </c>
      <c r="C1152">
        <v>20.7</v>
      </c>
      <c r="D1152">
        <v>20.9</v>
      </c>
      <c r="E1152" s="178">
        <v>0.2</v>
      </c>
      <c r="F1152" s="176">
        <v>0.97</v>
      </c>
      <c r="G1152" t="s">
        <v>5408</v>
      </c>
      <c r="H1152">
        <v>214</v>
      </c>
      <c r="I1152">
        <v>415</v>
      </c>
      <c r="J1152">
        <v>10.89</v>
      </c>
      <c r="K1152">
        <v>21.7</v>
      </c>
      <c r="L1152">
        <v>20.100000000000001</v>
      </c>
      <c r="M1152" s="175">
        <v>0.21</v>
      </c>
      <c r="N1152" t="s">
        <v>1744</v>
      </c>
    </row>
    <row r="1153" spans="1:14">
      <c r="A1153">
        <v>3511</v>
      </c>
      <c r="B1153" t="s">
        <v>1023</v>
      </c>
      <c r="C1153">
        <v>20.149999999999999</v>
      </c>
      <c r="D1153">
        <v>19.75</v>
      </c>
      <c r="E1153" s="178">
        <v>-0.25</v>
      </c>
      <c r="F1153" s="176">
        <v>-1.25</v>
      </c>
      <c r="G1153" t="s">
        <v>5187</v>
      </c>
      <c r="H1153">
        <v>52</v>
      </c>
      <c r="I1153">
        <v>113</v>
      </c>
      <c r="J1153">
        <v>8</v>
      </c>
      <c r="K1153">
        <v>20.149999999999999</v>
      </c>
      <c r="L1153">
        <v>19.649999999999999</v>
      </c>
      <c r="M1153" s="175">
        <v>7.0000000000000007E-2</v>
      </c>
      <c r="N1153" t="s">
        <v>3400</v>
      </c>
    </row>
    <row r="1154" spans="1:14">
      <c r="A1154">
        <v>3512</v>
      </c>
      <c r="B1154" t="s">
        <v>1024</v>
      </c>
      <c r="C1154">
        <v>19.45</v>
      </c>
      <c r="D1154">
        <v>19.55</v>
      </c>
      <c r="E1154" s="178">
        <v>0.05</v>
      </c>
      <c r="F1154" s="176">
        <v>0.26</v>
      </c>
      <c r="G1154" t="s">
        <v>6388</v>
      </c>
      <c r="H1154">
        <v>11</v>
      </c>
      <c r="I1154">
        <v>30</v>
      </c>
      <c r="J1154">
        <v>11.31</v>
      </c>
      <c r="K1154">
        <v>19.649999999999999</v>
      </c>
      <c r="L1154">
        <v>19.399999999999999</v>
      </c>
      <c r="M1154" s="175">
        <v>0.01</v>
      </c>
      <c r="N1154" t="s">
        <v>3439</v>
      </c>
    </row>
    <row r="1155" spans="1:14">
      <c r="A1155">
        <v>3515</v>
      </c>
      <c r="B1155" t="s">
        <v>1025</v>
      </c>
      <c r="C1155">
        <v>220</v>
      </c>
      <c r="D1155">
        <v>222.5</v>
      </c>
      <c r="E1155" s="178">
        <v>2.5</v>
      </c>
      <c r="F1155" s="176">
        <v>1.1399999999999999</v>
      </c>
      <c r="G1155" t="s">
        <v>5426</v>
      </c>
      <c r="H1155">
        <v>930</v>
      </c>
      <c r="I1155">
        <v>260</v>
      </c>
      <c r="J1155">
        <v>12.35</v>
      </c>
      <c r="K1155">
        <v>226</v>
      </c>
      <c r="L1155">
        <v>216.5</v>
      </c>
      <c r="M1155" s="175">
        <v>0.75</v>
      </c>
      <c r="N1155" t="s">
        <v>4198</v>
      </c>
    </row>
    <row r="1156" spans="1:14">
      <c r="A1156">
        <v>3516</v>
      </c>
      <c r="B1156" t="s">
        <v>1026</v>
      </c>
      <c r="C1156">
        <v>26.3</v>
      </c>
      <c r="D1156">
        <v>26.15</v>
      </c>
      <c r="E1156" s="178">
        <v>-0.1</v>
      </c>
      <c r="F1156" s="176">
        <v>-0.38</v>
      </c>
      <c r="G1156" t="s">
        <v>6389</v>
      </c>
      <c r="H1156">
        <v>21</v>
      </c>
      <c r="I1156">
        <v>174</v>
      </c>
      <c r="J1156">
        <v>5.96</v>
      </c>
      <c r="K1156">
        <v>26.3</v>
      </c>
      <c r="L1156">
        <v>25.55</v>
      </c>
      <c r="M1156" s="175">
        <v>0.04</v>
      </c>
      <c r="N1156" t="s">
        <v>2060</v>
      </c>
    </row>
    <row r="1157" spans="1:14">
      <c r="A1157">
        <v>3518</v>
      </c>
      <c r="B1157" t="s">
        <v>1027</v>
      </c>
      <c r="C1157">
        <v>27.6</v>
      </c>
      <c r="D1157">
        <v>28.55</v>
      </c>
      <c r="E1157" s="178">
        <v>0.7</v>
      </c>
      <c r="F1157" s="176">
        <v>2.5099999999999998</v>
      </c>
      <c r="G1157" t="s">
        <v>6390</v>
      </c>
      <c r="H1157">
        <v>290</v>
      </c>
      <c r="I1157">
        <v>182</v>
      </c>
      <c r="J1157">
        <v>10.25</v>
      </c>
      <c r="K1157">
        <v>29</v>
      </c>
      <c r="L1157">
        <v>27.5</v>
      </c>
      <c r="M1157" s="175">
        <v>0.3</v>
      </c>
      <c r="N1157" t="s">
        <v>1745</v>
      </c>
    </row>
    <row r="1158" spans="1:14">
      <c r="A1158">
        <v>3520</v>
      </c>
      <c r="B1158" t="s">
        <v>1028</v>
      </c>
      <c r="C1158">
        <v>17.7</v>
      </c>
      <c r="D1158">
        <v>17.45</v>
      </c>
      <c r="E1158" s="178">
        <v>-0.35</v>
      </c>
      <c r="F1158" s="176">
        <v>-1.97</v>
      </c>
      <c r="G1158" t="s">
        <v>5284</v>
      </c>
      <c r="H1158">
        <v>203</v>
      </c>
      <c r="I1158">
        <v>208</v>
      </c>
      <c r="J1158">
        <v>8.3800000000000008</v>
      </c>
      <c r="K1158">
        <v>17.7</v>
      </c>
      <c r="L1158">
        <v>17.399999999999999</v>
      </c>
      <c r="M1158" s="175">
        <v>0.28999999999999998</v>
      </c>
      <c r="N1158" t="s">
        <v>3982</v>
      </c>
    </row>
    <row r="1159" spans="1:14">
      <c r="A1159">
        <v>3521</v>
      </c>
      <c r="B1159" t="s">
        <v>4883</v>
      </c>
      <c r="C1159">
        <v>12.25</v>
      </c>
      <c r="D1159">
        <v>12.1</v>
      </c>
      <c r="E1159" s="178">
        <v>-0.15</v>
      </c>
      <c r="F1159" s="176">
        <v>-1.22</v>
      </c>
      <c r="G1159" t="s">
        <v>6391</v>
      </c>
      <c r="H1159">
        <v>21</v>
      </c>
      <c r="I1159">
        <v>34</v>
      </c>
      <c r="J1159">
        <v>18.579999999999998</v>
      </c>
      <c r="K1159">
        <v>12.25</v>
      </c>
      <c r="L1159">
        <v>11.8</v>
      </c>
      <c r="M1159" s="175">
        <v>0.01</v>
      </c>
      <c r="N1159" t="s">
        <v>4590</v>
      </c>
    </row>
    <row r="1160" spans="1:14">
      <c r="A1160">
        <v>3522</v>
      </c>
      <c r="B1160" t="s">
        <v>4043</v>
      </c>
      <c r="C1160">
        <v>11.85</v>
      </c>
      <c r="D1160">
        <v>11.75</v>
      </c>
      <c r="E1160" s="178">
        <v>-0.1</v>
      </c>
      <c r="F1160" s="176">
        <v>-0.84</v>
      </c>
      <c r="G1160" t="s">
        <v>6298</v>
      </c>
      <c r="H1160">
        <v>33</v>
      </c>
      <c r="I1160">
        <v>94</v>
      </c>
      <c r="J1160">
        <v>10.41</v>
      </c>
      <c r="K1160">
        <v>11.85</v>
      </c>
      <c r="L1160">
        <v>11.55</v>
      </c>
      <c r="M1160" s="175">
        <v>0.03</v>
      </c>
      <c r="N1160" t="s">
        <v>3710</v>
      </c>
    </row>
    <row r="1161" spans="1:14">
      <c r="A1161">
        <v>3523</v>
      </c>
      <c r="B1161" t="s">
        <v>2021</v>
      </c>
      <c r="C1161">
        <v>15</v>
      </c>
      <c r="D1161">
        <v>15.45</v>
      </c>
      <c r="E1161" s="178">
        <v>0.05</v>
      </c>
      <c r="F1161" s="176">
        <v>0.32</v>
      </c>
      <c r="G1161" t="s">
        <v>6392</v>
      </c>
      <c r="H1161">
        <v>12</v>
      </c>
      <c r="I1161">
        <v>9</v>
      </c>
      <c r="J1161">
        <v>6.43</v>
      </c>
      <c r="K1161">
        <v>15.45</v>
      </c>
      <c r="L1161">
        <v>14.3</v>
      </c>
      <c r="M1161" s="175">
        <v>0.02</v>
      </c>
      <c r="N1161" t="s">
        <v>3139</v>
      </c>
    </row>
    <row r="1162" spans="1:14">
      <c r="A1162">
        <v>3526</v>
      </c>
      <c r="B1162" t="s">
        <v>1029</v>
      </c>
      <c r="C1162">
        <v>286</v>
      </c>
      <c r="D1162">
        <v>284</v>
      </c>
      <c r="E1162" s="178">
        <v>-2</v>
      </c>
      <c r="F1162" s="176">
        <v>-0.7</v>
      </c>
      <c r="G1162" t="s">
        <v>6393</v>
      </c>
      <c r="H1162">
        <v>169</v>
      </c>
      <c r="I1162">
        <v>240</v>
      </c>
      <c r="J1162">
        <v>6.72</v>
      </c>
      <c r="K1162">
        <v>288.5</v>
      </c>
      <c r="L1162">
        <v>281.5</v>
      </c>
      <c r="M1162" s="175">
        <v>0.25</v>
      </c>
      <c r="N1162" t="s">
        <v>3174</v>
      </c>
    </row>
    <row r="1163" spans="1:14">
      <c r="A1163">
        <v>3527</v>
      </c>
      <c r="B1163" t="s">
        <v>1030</v>
      </c>
      <c r="C1163">
        <v>51.1</v>
      </c>
      <c r="D1163">
        <v>50.7</v>
      </c>
      <c r="E1163" s="178">
        <v>-0.7</v>
      </c>
      <c r="F1163" s="176">
        <v>-1.36</v>
      </c>
      <c r="G1163" t="s">
        <v>6394</v>
      </c>
      <c r="H1163">
        <v>105</v>
      </c>
      <c r="I1163">
        <v>78</v>
      </c>
      <c r="J1163">
        <v>4.4400000000000004</v>
      </c>
      <c r="K1163">
        <v>51.2</v>
      </c>
      <c r="L1163">
        <v>50.5</v>
      </c>
      <c r="M1163" s="175">
        <v>0.24</v>
      </c>
      <c r="N1163" t="s">
        <v>2106</v>
      </c>
    </row>
    <row r="1164" spans="1:14">
      <c r="A1164">
        <v>3528</v>
      </c>
      <c r="B1164" t="s">
        <v>1031</v>
      </c>
      <c r="C1164">
        <v>83.7</v>
      </c>
      <c r="D1164">
        <v>82.2</v>
      </c>
      <c r="E1164" s="178">
        <v>-1.4</v>
      </c>
      <c r="F1164" s="176">
        <v>-1.67</v>
      </c>
      <c r="G1164" t="s">
        <v>6395</v>
      </c>
      <c r="H1164">
        <v>107</v>
      </c>
      <c r="I1164">
        <v>191</v>
      </c>
      <c r="J1164">
        <v>6.66</v>
      </c>
      <c r="K1164">
        <v>83.7</v>
      </c>
      <c r="L1164">
        <v>81.900000000000006</v>
      </c>
      <c r="M1164" s="175">
        <v>0.16</v>
      </c>
      <c r="N1164" t="s">
        <v>1746</v>
      </c>
    </row>
    <row r="1165" spans="1:14">
      <c r="A1165">
        <v>3529</v>
      </c>
      <c r="B1165" t="s">
        <v>4636</v>
      </c>
      <c r="C1165">
        <v>2500</v>
      </c>
      <c r="D1165">
        <v>2400</v>
      </c>
      <c r="E1165" s="178">
        <v>-140</v>
      </c>
      <c r="F1165" s="176">
        <v>-5.51</v>
      </c>
      <c r="G1165" t="s">
        <v>6396</v>
      </c>
      <c r="H1165">
        <v>7027</v>
      </c>
      <c r="I1165">
        <v>916</v>
      </c>
      <c r="J1165">
        <v>7.47</v>
      </c>
      <c r="K1165">
        <v>2505</v>
      </c>
      <c r="L1165">
        <v>2310</v>
      </c>
      <c r="M1165" s="175">
        <v>9.41</v>
      </c>
      <c r="N1165" t="s">
        <v>4637</v>
      </c>
    </row>
    <row r="1166" spans="1:14">
      <c r="A1166">
        <v>3530</v>
      </c>
      <c r="B1166" t="s">
        <v>366</v>
      </c>
      <c r="C1166">
        <v>60</v>
      </c>
      <c r="D1166">
        <v>58.9</v>
      </c>
      <c r="E1166" s="178">
        <v>-0.9</v>
      </c>
      <c r="F1166" s="176">
        <v>-1.51</v>
      </c>
      <c r="G1166" t="s">
        <v>6030</v>
      </c>
      <c r="H1166">
        <v>187</v>
      </c>
      <c r="I1166">
        <v>358</v>
      </c>
      <c r="J1166">
        <v>7.75</v>
      </c>
      <c r="K1166">
        <v>60</v>
      </c>
      <c r="L1166">
        <v>58.5</v>
      </c>
      <c r="M1166" s="175">
        <v>0.24</v>
      </c>
      <c r="N1166" t="s">
        <v>4997</v>
      </c>
    </row>
    <row r="1167" spans="1:14">
      <c r="A1167">
        <v>3531</v>
      </c>
      <c r="B1167" t="s">
        <v>4638</v>
      </c>
      <c r="C1167" t="s">
        <v>1667</v>
      </c>
      <c r="D1167" t="s">
        <v>1667</v>
      </c>
      <c r="E1167" s="178" t="s">
        <v>1667</v>
      </c>
      <c r="F1167" s="176" t="s">
        <v>1667</v>
      </c>
      <c r="G1167" t="s">
        <v>1667</v>
      </c>
      <c r="H1167">
        <v>0</v>
      </c>
      <c r="I1167">
        <v>8</v>
      </c>
      <c r="J1167">
        <v>6.12</v>
      </c>
      <c r="K1167" t="s">
        <v>1667</v>
      </c>
      <c r="L1167" t="s">
        <v>1667</v>
      </c>
      <c r="M1167" s="175">
        <v>0</v>
      </c>
      <c r="N1167" t="s">
        <v>4639</v>
      </c>
    </row>
    <row r="1168" spans="1:14">
      <c r="A1168">
        <v>3532</v>
      </c>
      <c r="B1168" t="s">
        <v>1032</v>
      </c>
      <c r="C1168">
        <v>393</v>
      </c>
      <c r="D1168">
        <v>379</v>
      </c>
      <c r="E1168" s="178">
        <v>-20</v>
      </c>
      <c r="F1168" s="176">
        <v>-5.01</v>
      </c>
      <c r="G1168" t="s">
        <v>6397</v>
      </c>
      <c r="H1168">
        <v>4258</v>
      </c>
      <c r="I1168">
        <v>11789</v>
      </c>
      <c r="J1168">
        <v>38.78</v>
      </c>
      <c r="K1168">
        <v>394.5</v>
      </c>
      <c r="L1168">
        <v>367.5</v>
      </c>
      <c r="M1168" s="175">
        <v>1.1000000000000001</v>
      </c>
      <c r="N1168" t="s">
        <v>3530</v>
      </c>
    </row>
    <row r="1169" spans="1:14">
      <c r="A1169">
        <v>3533</v>
      </c>
      <c r="B1169" t="s">
        <v>1033</v>
      </c>
      <c r="C1169">
        <v>1730</v>
      </c>
      <c r="D1169">
        <v>1690</v>
      </c>
      <c r="E1169" s="178">
        <v>-45</v>
      </c>
      <c r="F1169" s="176">
        <v>-2.59</v>
      </c>
      <c r="G1169" t="s">
        <v>5418</v>
      </c>
      <c r="H1169">
        <v>1610</v>
      </c>
      <c r="I1169">
        <v>1591</v>
      </c>
      <c r="J1169">
        <v>11.25</v>
      </c>
      <c r="K1169">
        <v>1730</v>
      </c>
      <c r="L1169">
        <v>1675</v>
      </c>
      <c r="M1169" s="175">
        <v>1.43</v>
      </c>
      <c r="N1169" t="s">
        <v>3619</v>
      </c>
    </row>
    <row r="1170" spans="1:14">
      <c r="A1170">
        <v>3535</v>
      </c>
      <c r="B1170" t="s">
        <v>1034</v>
      </c>
      <c r="C1170">
        <v>90.2</v>
      </c>
      <c r="D1170">
        <v>87.8</v>
      </c>
      <c r="E1170" s="178">
        <v>-2.4</v>
      </c>
      <c r="F1170" s="176">
        <v>-2.66</v>
      </c>
      <c r="G1170" t="s">
        <v>6333</v>
      </c>
      <c r="H1170">
        <v>383</v>
      </c>
      <c r="I1170">
        <v>414</v>
      </c>
      <c r="J1170">
        <v>7.91</v>
      </c>
      <c r="K1170">
        <v>90.2</v>
      </c>
      <c r="L1170">
        <v>87.2</v>
      </c>
      <c r="M1170" s="175">
        <v>0.48</v>
      </c>
      <c r="N1170" t="s">
        <v>2193</v>
      </c>
    </row>
    <row r="1171" spans="1:14">
      <c r="A1171">
        <v>3537</v>
      </c>
      <c r="B1171" t="s">
        <v>1035</v>
      </c>
      <c r="C1171">
        <v>55.9</v>
      </c>
      <c r="D1171">
        <v>55.1</v>
      </c>
      <c r="E1171" s="178">
        <v>-1.1000000000000001</v>
      </c>
      <c r="F1171" s="176">
        <v>-1.96</v>
      </c>
      <c r="G1171" t="s">
        <v>6398</v>
      </c>
      <c r="H1171">
        <v>344</v>
      </c>
      <c r="I1171">
        <v>499</v>
      </c>
      <c r="J1171">
        <v>5.62</v>
      </c>
      <c r="K1171">
        <v>57.3</v>
      </c>
      <c r="L1171">
        <v>54.4</v>
      </c>
      <c r="M1171" s="175">
        <v>0.61</v>
      </c>
      <c r="N1171" t="s">
        <v>2194</v>
      </c>
    </row>
    <row r="1172" spans="1:14">
      <c r="A1172">
        <v>3540</v>
      </c>
      <c r="B1172" t="s">
        <v>1036</v>
      </c>
      <c r="C1172">
        <v>23</v>
      </c>
      <c r="D1172">
        <v>25.5</v>
      </c>
      <c r="E1172" s="178">
        <v>2.2999999999999998</v>
      </c>
      <c r="F1172" s="176">
        <v>9.91</v>
      </c>
      <c r="G1172" t="s">
        <v>6399</v>
      </c>
      <c r="H1172">
        <v>1918</v>
      </c>
      <c r="I1172">
        <v>1540</v>
      </c>
      <c r="J1172">
        <v>8.4499999999999993</v>
      </c>
      <c r="K1172">
        <v>25.5</v>
      </c>
      <c r="L1172">
        <v>23</v>
      </c>
      <c r="M1172" s="175">
        <v>2.27</v>
      </c>
      <c r="N1172" t="s">
        <v>4404</v>
      </c>
    </row>
    <row r="1173" spans="1:14">
      <c r="A1173">
        <v>3541</v>
      </c>
      <c r="B1173" t="s">
        <v>196</v>
      </c>
      <c r="C1173">
        <v>21.6</v>
      </c>
      <c r="D1173">
        <v>21.6</v>
      </c>
      <c r="E1173" s="178">
        <v>-0.3</v>
      </c>
      <c r="F1173" s="176">
        <v>-1.37</v>
      </c>
      <c r="G1173" t="s">
        <v>6400</v>
      </c>
      <c r="H1173">
        <v>44</v>
      </c>
      <c r="I1173">
        <v>31</v>
      </c>
      <c r="J1173">
        <v>5.63</v>
      </c>
      <c r="K1173">
        <v>21.8</v>
      </c>
      <c r="L1173">
        <v>21.45</v>
      </c>
      <c r="M1173" s="175">
        <v>0.08</v>
      </c>
      <c r="N1173" t="s">
        <v>4452</v>
      </c>
    </row>
    <row r="1174" spans="1:14">
      <c r="A1174">
        <v>3543</v>
      </c>
      <c r="B1174" t="s">
        <v>1037</v>
      </c>
      <c r="C1174">
        <v>53.9</v>
      </c>
      <c r="D1174">
        <v>53.3</v>
      </c>
      <c r="E1174" s="178">
        <v>-1.2</v>
      </c>
      <c r="F1174" s="176">
        <v>-2.2000000000000002</v>
      </c>
      <c r="G1174" t="s">
        <v>6401</v>
      </c>
      <c r="H1174">
        <v>10429</v>
      </c>
      <c r="I1174">
        <v>4774</v>
      </c>
      <c r="J1174">
        <v>14.63</v>
      </c>
      <c r="K1174">
        <v>55.3</v>
      </c>
      <c r="L1174">
        <v>52.5</v>
      </c>
      <c r="M1174" s="175">
        <v>9.4600000000000009</v>
      </c>
      <c r="N1174" t="s">
        <v>3892</v>
      </c>
    </row>
    <row r="1175" spans="1:14">
      <c r="A1175">
        <v>3545</v>
      </c>
      <c r="B1175" t="s">
        <v>1038</v>
      </c>
      <c r="C1175">
        <v>49</v>
      </c>
      <c r="D1175">
        <v>48.6</v>
      </c>
      <c r="E1175" s="178">
        <v>-0.4</v>
      </c>
      <c r="F1175" s="176">
        <v>-0.82</v>
      </c>
      <c r="G1175" t="s">
        <v>6402</v>
      </c>
      <c r="H1175">
        <v>579</v>
      </c>
      <c r="I1175">
        <v>583</v>
      </c>
      <c r="J1175">
        <v>22.24</v>
      </c>
      <c r="K1175">
        <v>49.35</v>
      </c>
      <c r="L1175">
        <v>48.25</v>
      </c>
      <c r="M1175" s="175">
        <v>0.26</v>
      </c>
      <c r="N1175" t="s">
        <v>1747</v>
      </c>
    </row>
    <row r="1176" spans="1:14">
      <c r="A1176">
        <v>3546</v>
      </c>
      <c r="B1176" t="s">
        <v>1039</v>
      </c>
      <c r="C1176">
        <v>71.900000000000006</v>
      </c>
      <c r="D1176">
        <v>71.099999999999994</v>
      </c>
      <c r="E1176" s="178">
        <v>-0.7</v>
      </c>
      <c r="F1176" s="176">
        <v>-0.97</v>
      </c>
      <c r="G1176" t="s">
        <v>6403</v>
      </c>
      <c r="H1176">
        <v>126</v>
      </c>
      <c r="I1176">
        <v>100</v>
      </c>
      <c r="J1176">
        <v>6.13</v>
      </c>
      <c r="K1176">
        <v>72.2</v>
      </c>
      <c r="L1176">
        <v>70.900000000000006</v>
      </c>
      <c r="M1176" s="175">
        <v>0.21</v>
      </c>
      <c r="N1176" t="s">
        <v>3236</v>
      </c>
    </row>
    <row r="1177" spans="1:14">
      <c r="A1177">
        <v>3548</v>
      </c>
      <c r="B1177" t="s">
        <v>1040</v>
      </c>
      <c r="C1177">
        <v>92.1</v>
      </c>
      <c r="D1177">
        <v>87.7</v>
      </c>
      <c r="E1177" s="178">
        <v>-3.2</v>
      </c>
      <c r="F1177" s="176">
        <v>-3.52</v>
      </c>
      <c r="G1177" t="s">
        <v>6131</v>
      </c>
      <c r="H1177">
        <v>1043</v>
      </c>
      <c r="I1177">
        <v>700</v>
      </c>
      <c r="J1177">
        <v>6.77</v>
      </c>
      <c r="K1177">
        <v>92.8</v>
      </c>
      <c r="L1177">
        <v>87.5</v>
      </c>
      <c r="M1177" s="175">
        <v>1.54</v>
      </c>
      <c r="N1177" t="s">
        <v>1748</v>
      </c>
    </row>
    <row r="1178" spans="1:14">
      <c r="A1178">
        <v>3550</v>
      </c>
      <c r="B1178" t="s">
        <v>1041</v>
      </c>
      <c r="C1178">
        <v>24.35</v>
      </c>
      <c r="D1178">
        <v>23.8</v>
      </c>
      <c r="E1178" s="178">
        <v>-0.5</v>
      </c>
      <c r="F1178" s="176">
        <v>-2.06</v>
      </c>
      <c r="G1178" t="s">
        <v>6208</v>
      </c>
      <c r="H1178">
        <v>2268</v>
      </c>
      <c r="I1178">
        <v>1418</v>
      </c>
      <c r="J1178">
        <v>10.76</v>
      </c>
      <c r="K1178">
        <v>25.3</v>
      </c>
      <c r="L1178">
        <v>23.8</v>
      </c>
      <c r="M1178" s="175">
        <v>2.11</v>
      </c>
      <c r="N1178" t="s">
        <v>3711</v>
      </c>
    </row>
    <row r="1179" spans="1:14">
      <c r="A1179">
        <v>3551</v>
      </c>
      <c r="B1179" t="s">
        <v>1042</v>
      </c>
      <c r="C1179">
        <v>180.5</v>
      </c>
      <c r="D1179">
        <v>178.5</v>
      </c>
      <c r="E1179" s="178">
        <v>-2</v>
      </c>
      <c r="F1179" s="176">
        <v>-1.1100000000000001</v>
      </c>
      <c r="G1179" t="s">
        <v>6404</v>
      </c>
      <c r="H1179">
        <v>278</v>
      </c>
      <c r="I1179">
        <v>277</v>
      </c>
      <c r="J1179">
        <v>6.23</v>
      </c>
      <c r="K1179">
        <v>180.5</v>
      </c>
      <c r="L1179">
        <v>177.5</v>
      </c>
      <c r="M1179" s="175">
        <v>0.45</v>
      </c>
      <c r="N1179" t="s">
        <v>3381</v>
      </c>
    </row>
    <row r="1180" spans="1:14">
      <c r="A1180">
        <v>3552</v>
      </c>
      <c r="B1180" t="s">
        <v>1043</v>
      </c>
      <c r="C1180">
        <v>44</v>
      </c>
      <c r="D1180">
        <v>43.3</v>
      </c>
      <c r="E1180" s="178">
        <v>-0.7</v>
      </c>
      <c r="F1180" s="176">
        <v>-1.59</v>
      </c>
      <c r="G1180" t="s">
        <v>6112</v>
      </c>
      <c r="H1180">
        <v>222</v>
      </c>
      <c r="I1180">
        <v>160</v>
      </c>
      <c r="J1180">
        <v>9.7899999999999991</v>
      </c>
      <c r="K1180">
        <v>44</v>
      </c>
      <c r="L1180">
        <v>42.95</v>
      </c>
      <c r="M1180" s="175">
        <v>0.23</v>
      </c>
      <c r="N1180" t="s">
        <v>3237</v>
      </c>
    </row>
    <row r="1181" spans="1:14">
      <c r="A1181">
        <v>3555</v>
      </c>
      <c r="B1181" t="s">
        <v>3051</v>
      </c>
      <c r="C1181">
        <v>185.5</v>
      </c>
      <c r="D1181">
        <v>202</v>
      </c>
      <c r="E1181" s="178">
        <v>18</v>
      </c>
      <c r="F1181" s="176">
        <v>9.7799999999999994</v>
      </c>
      <c r="G1181" t="s">
        <v>6405</v>
      </c>
      <c r="H1181">
        <v>371</v>
      </c>
      <c r="I1181">
        <v>105</v>
      </c>
      <c r="J1181">
        <v>4</v>
      </c>
      <c r="K1181">
        <v>202</v>
      </c>
      <c r="L1181">
        <v>185</v>
      </c>
      <c r="M1181" s="175">
        <v>0.93</v>
      </c>
      <c r="N1181" t="s">
        <v>5035</v>
      </c>
    </row>
    <row r="1182" spans="1:14">
      <c r="A1182">
        <v>3556</v>
      </c>
      <c r="B1182" t="s">
        <v>1044</v>
      </c>
      <c r="C1182">
        <v>62.9</v>
      </c>
      <c r="D1182">
        <v>61.6</v>
      </c>
      <c r="E1182" s="178">
        <v>-1.3</v>
      </c>
      <c r="F1182" s="176">
        <v>-2.0699999999999998</v>
      </c>
      <c r="G1182" t="s">
        <v>6406</v>
      </c>
      <c r="H1182">
        <v>166</v>
      </c>
      <c r="I1182">
        <v>312</v>
      </c>
      <c r="J1182">
        <v>6.37</v>
      </c>
      <c r="K1182">
        <v>62.9</v>
      </c>
      <c r="L1182">
        <v>61.4</v>
      </c>
      <c r="M1182" s="175">
        <v>0.26</v>
      </c>
      <c r="N1182" t="s">
        <v>4998</v>
      </c>
    </row>
    <row r="1183" spans="1:14">
      <c r="A1183">
        <v>3557</v>
      </c>
      <c r="B1183" t="s">
        <v>1045</v>
      </c>
      <c r="C1183">
        <v>24</v>
      </c>
      <c r="D1183">
        <v>24.2</v>
      </c>
      <c r="E1183" s="178">
        <v>0</v>
      </c>
      <c r="F1183" s="176">
        <v>0</v>
      </c>
      <c r="G1183" t="s">
        <v>6407</v>
      </c>
      <c r="H1183">
        <v>34</v>
      </c>
      <c r="I1183">
        <v>19</v>
      </c>
      <c r="J1183">
        <v>8.43</v>
      </c>
      <c r="K1183">
        <v>24.95</v>
      </c>
      <c r="L1183">
        <v>24</v>
      </c>
      <c r="M1183" s="175">
        <v>0.04</v>
      </c>
      <c r="N1183" t="s">
        <v>2085</v>
      </c>
    </row>
    <row r="1184" spans="1:14">
      <c r="A1184">
        <v>3558</v>
      </c>
      <c r="B1184" t="s">
        <v>1046</v>
      </c>
      <c r="C1184">
        <v>124.5</v>
      </c>
      <c r="D1184">
        <v>122.5</v>
      </c>
      <c r="E1184" s="178">
        <v>-3</v>
      </c>
      <c r="F1184" s="176">
        <v>-2.39</v>
      </c>
      <c r="G1184" t="s">
        <v>6408</v>
      </c>
      <c r="H1184">
        <v>83</v>
      </c>
      <c r="I1184">
        <v>117</v>
      </c>
      <c r="J1184">
        <v>5.91</v>
      </c>
      <c r="K1184">
        <v>125</v>
      </c>
      <c r="L1184">
        <v>122</v>
      </c>
      <c r="M1184" s="175">
        <v>0.14000000000000001</v>
      </c>
      <c r="N1184" t="s">
        <v>4572</v>
      </c>
    </row>
    <row r="1185" spans="1:14">
      <c r="A1185">
        <v>3563</v>
      </c>
      <c r="B1185" t="s">
        <v>121</v>
      </c>
      <c r="C1185">
        <v>697</v>
      </c>
      <c r="D1185">
        <v>682</v>
      </c>
      <c r="E1185" s="178">
        <v>-15</v>
      </c>
      <c r="F1185" s="176">
        <v>-2.15</v>
      </c>
      <c r="G1185" t="s">
        <v>6409</v>
      </c>
      <c r="H1185">
        <v>362</v>
      </c>
      <c r="I1185">
        <v>311</v>
      </c>
      <c r="J1185">
        <v>6.4</v>
      </c>
      <c r="K1185">
        <v>705</v>
      </c>
      <c r="L1185">
        <v>672</v>
      </c>
      <c r="M1185" s="175">
        <v>0.56999999999999995</v>
      </c>
      <c r="N1185" t="s">
        <v>3576</v>
      </c>
    </row>
    <row r="1186" spans="1:14">
      <c r="A1186">
        <v>3564</v>
      </c>
      <c r="B1186" t="s">
        <v>1047</v>
      </c>
      <c r="C1186">
        <v>44.25</v>
      </c>
      <c r="D1186">
        <v>44</v>
      </c>
      <c r="E1186" s="178">
        <v>-0.55000000000000004</v>
      </c>
      <c r="F1186" s="176">
        <v>-1.23</v>
      </c>
      <c r="G1186" t="s">
        <v>6062</v>
      </c>
      <c r="H1186">
        <v>140</v>
      </c>
      <c r="I1186">
        <v>68</v>
      </c>
      <c r="J1186">
        <v>5.91</v>
      </c>
      <c r="K1186">
        <v>45.5</v>
      </c>
      <c r="L1186">
        <v>43.7</v>
      </c>
      <c r="M1186" s="175">
        <v>0.24</v>
      </c>
      <c r="N1186" t="s">
        <v>1749</v>
      </c>
    </row>
    <row r="1187" spans="1:14">
      <c r="A1187">
        <v>3567</v>
      </c>
      <c r="B1187" t="s">
        <v>1048</v>
      </c>
      <c r="C1187">
        <v>25.3</v>
      </c>
      <c r="D1187">
        <v>25.25</v>
      </c>
      <c r="E1187" s="178">
        <v>-0.15</v>
      </c>
      <c r="F1187" s="176">
        <v>-0.59</v>
      </c>
      <c r="G1187" t="s">
        <v>5970</v>
      </c>
      <c r="H1187">
        <v>13</v>
      </c>
      <c r="I1187">
        <v>20</v>
      </c>
      <c r="J1187">
        <v>3.4</v>
      </c>
      <c r="K1187">
        <v>25.4</v>
      </c>
      <c r="L1187">
        <v>25.25</v>
      </c>
      <c r="M1187" s="175">
        <v>0.04</v>
      </c>
      <c r="N1187" t="s">
        <v>1750</v>
      </c>
    </row>
    <row r="1188" spans="1:14">
      <c r="A1188">
        <v>3570</v>
      </c>
      <c r="B1188" t="s">
        <v>1049</v>
      </c>
      <c r="C1188">
        <v>163.5</v>
      </c>
      <c r="D1188">
        <v>164.5</v>
      </c>
      <c r="E1188" s="178">
        <v>0</v>
      </c>
      <c r="F1188" s="176">
        <v>0</v>
      </c>
      <c r="G1188" t="s">
        <v>5745</v>
      </c>
      <c r="H1188">
        <v>6</v>
      </c>
      <c r="I1188">
        <v>14</v>
      </c>
      <c r="J1188">
        <v>1.71</v>
      </c>
      <c r="K1188">
        <v>164.5</v>
      </c>
      <c r="L1188">
        <v>163</v>
      </c>
      <c r="M1188" s="175">
        <v>0.04</v>
      </c>
      <c r="N1188" t="s">
        <v>1751</v>
      </c>
    </row>
    <row r="1189" spans="1:14">
      <c r="A1189">
        <v>3576</v>
      </c>
      <c r="B1189" t="s">
        <v>1050</v>
      </c>
      <c r="C1189">
        <v>17.350000000000001</v>
      </c>
      <c r="D1189">
        <v>18.2</v>
      </c>
      <c r="E1189" s="178">
        <v>0.7</v>
      </c>
      <c r="F1189" s="176">
        <v>4</v>
      </c>
      <c r="G1189" t="s">
        <v>6410</v>
      </c>
      <c r="H1189">
        <v>37812</v>
      </c>
      <c r="I1189">
        <v>10237</v>
      </c>
      <c r="J1189">
        <v>162.78</v>
      </c>
      <c r="K1189">
        <v>18.2</v>
      </c>
      <c r="L1189">
        <v>17.100000000000001</v>
      </c>
      <c r="M1189" s="175">
        <v>2.3199999999999998</v>
      </c>
      <c r="N1189" t="s">
        <v>1752</v>
      </c>
    </row>
    <row r="1190" spans="1:14">
      <c r="A1190">
        <v>3577</v>
      </c>
      <c r="B1190" t="s">
        <v>1051</v>
      </c>
      <c r="C1190">
        <v>115</v>
      </c>
      <c r="D1190">
        <v>117</v>
      </c>
      <c r="E1190" s="178">
        <v>3</v>
      </c>
      <c r="F1190" s="176">
        <v>2.63</v>
      </c>
      <c r="G1190" t="s">
        <v>6411</v>
      </c>
      <c r="H1190">
        <v>661</v>
      </c>
      <c r="I1190">
        <v>246</v>
      </c>
      <c r="J1190">
        <v>6.4</v>
      </c>
      <c r="K1190">
        <v>120</v>
      </c>
      <c r="L1190">
        <v>113.5</v>
      </c>
      <c r="M1190" s="175">
        <v>1.03</v>
      </c>
      <c r="N1190" t="s">
        <v>1753</v>
      </c>
    </row>
    <row r="1191" spans="1:14">
      <c r="A1191">
        <v>3580</v>
      </c>
      <c r="B1191" t="s">
        <v>1052</v>
      </c>
      <c r="C1191">
        <v>82.1</v>
      </c>
      <c r="D1191">
        <v>80.5</v>
      </c>
      <c r="E1191" s="178">
        <v>-1.8</v>
      </c>
      <c r="F1191" s="176">
        <v>-2.19</v>
      </c>
      <c r="G1191" t="s">
        <v>6412</v>
      </c>
      <c r="H1191">
        <v>173</v>
      </c>
      <c r="I1191">
        <v>186</v>
      </c>
      <c r="J1191">
        <v>3.95</v>
      </c>
      <c r="K1191">
        <v>82.2</v>
      </c>
      <c r="L1191">
        <v>79.5</v>
      </c>
      <c r="M1191" s="175">
        <v>0.44</v>
      </c>
      <c r="N1191" t="s">
        <v>1754</v>
      </c>
    </row>
    <row r="1192" spans="1:14">
      <c r="A1192">
        <v>3581</v>
      </c>
      <c r="B1192" t="s">
        <v>1053</v>
      </c>
      <c r="C1192">
        <v>108.5</v>
      </c>
      <c r="D1192">
        <v>107</v>
      </c>
      <c r="E1192" s="178">
        <v>-3.5</v>
      </c>
      <c r="F1192" s="176">
        <v>-3.17</v>
      </c>
      <c r="G1192" t="s">
        <v>6413</v>
      </c>
      <c r="H1192">
        <v>202</v>
      </c>
      <c r="I1192">
        <v>335</v>
      </c>
      <c r="J1192">
        <v>5.0999999999999996</v>
      </c>
      <c r="K1192">
        <v>109</v>
      </c>
      <c r="L1192">
        <v>103.5</v>
      </c>
      <c r="M1192" s="175">
        <v>0.4</v>
      </c>
      <c r="N1192" t="s">
        <v>3238</v>
      </c>
    </row>
    <row r="1193" spans="1:14">
      <c r="A1193">
        <v>3583</v>
      </c>
      <c r="B1193" t="s">
        <v>1054</v>
      </c>
      <c r="C1193">
        <v>748</v>
      </c>
      <c r="D1193">
        <v>724</v>
      </c>
      <c r="E1193" s="178">
        <v>-25</v>
      </c>
      <c r="F1193" s="176">
        <v>-3.34</v>
      </c>
      <c r="G1193" t="s">
        <v>5443</v>
      </c>
      <c r="H1193">
        <v>1499</v>
      </c>
      <c r="I1193">
        <v>1068</v>
      </c>
      <c r="J1193">
        <v>8.39</v>
      </c>
      <c r="K1193">
        <v>748</v>
      </c>
      <c r="L1193">
        <v>700</v>
      </c>
      <c r="M1193" s="175">
        <v>1.87</v>
      </c>
      <c r="N1193" t="s">
        <v>4199</v>
      </c>
    </row>
    <row r="1194" spans="1:14">
      <c r="A1194">
        <v>3587</v>
      </c>
      <c r="B1194" t="s">
        <v>1055</v>
      </c>
      <c r="C1194">
        <v>251</v>
      </c>
      <c r="D1194">
        <v>247</v>
      </c>
      <c r="E1194" s="178">
        <v>-5.5</v>
      </c>
      <c r="F1194" s="176">
        <v>-2.1800000000000002</v>
      </c>
      <c r="G1194" t="s">
        <v>6414</v>
      </c>
      <c r="H1194">
        <v>278</v>
      </c>
      <c r="I1194">
        <v>391</v>
      </c>
      <c r="J1194">
        <v>7.17</v>
      </c>
      <c r="K1194">
        <v>251</v>
      </c>
      <c r="L1194">
        <v>242</v>
      </c>
      <c r="M1194" s="175">
        <v>0.39</v>
      </c>
      <c r="N1194" t="s">
        <v>2161</v>
      </c>
    </row>
    <row r="1195" spans="1:14">
      <c r="A1195">
        <v>3588</v>
      </c>
      <c r="B1195" t="s">
        <v>1056</v>
      </c>
      <c r="C1195">
        <v>52.6</v>
      </c>
      <c r="D1195">
        <v>52.5</v>
      </c>
      <c r="E1195" s="178">
        <v>-1.2</v>
      </c>
      <c r="F1195" s="176">
        <v>-2.23</v>
      </c>
      <c r="G1195" t="s">
        <v>5303</v>
      </c>
      <c r="H1195">
        <v>115</v>
      </c>
      <c r="I1195">
        <v>147</v>
      </c>
      <c r="J1195">
        <v>6.2</v>
      </c>
      <c r="K1195">
        <v>53.5</v>
      </c>
      <c r="L1195">
        <v>52.1</v>
      </c>
      <c r="M1195" s="175">
        <v>0.19</v>
      </c>
      <c r="N1195" t="s">
        <v>1755</v>
      </c>
    </row>
    <row r="1196" spans="1:14">
      <c r="A1196">
        <v>3591</v>
      </c>
      <c r="B1196" t="s">
        <v>1057</v>
      </c>
      <c r="C1196">
        <v>22.05</v>
      </c>
      <c r="D1196">
        <v>22.3</v>
      </c>
      <c r="E1196" s="178">
        <v>0.1</v>
      </c>
      <c r="F1196" s="176">
        <v>0.45</v>
      </c>
      <c r="G1196" t="s">
        <v>5473</v>
      </c>
      <c r="H1196">
        <v>245</v>
      </c>
      <c r="I1196">
        <v>621</v>
      </c>
      <c r="J1196">
        <v>14.54</v>
      </c>
      <c r="K1196">
        <v>22.35</v>
      </c>
      <c r="L1196">
        <v>21.9</v>
      </c>
      <c r="M1196" s="175">
        <v>0.17</v>
      </c>
      <c r="N1196" t="s">
        <v>3239</v>
      </c>
    </row>
    <row r="1197" spans="1:14">
      <c r="A1197">
        <v>3592</v>
      </c>
      <c r="B1197" t="s">
        <v>2064</v>
      </c>
      <c r="C1197">
        <v>224</v>
      </c>
      <c r="D1197">
        <v>219</v>
      </c>
      <c r="E1197" s="178">
        <v>-8</v>
      </c>
      <c r="F1197" s="176">
        <v>-3.52</v>
      </c>
      <c r="G1197" t="s">
        <v>5432</v>
      </c>
      <c r="H1197">
        <v>2085</v>
      </c>
      <c r="I1197">
        <v>185</v>
      </c>
      <c r="J1197">
        <v>7.59</v>
      </c>
      <c r="K1197">
        <v>225</v>
      </c>
      <c r="L1197">
        <v>219</v>
      </c>
      <c r="M1197" s="175">
        <v>2.75</v>
      </c>
      <c r="N1197" t="s">
        <v>2065</v>
      </c>
    </row>
    <row r="1198" spans="1:14">
      <c r="A1198">
        <v>3593</v>
      </c>
      <c r="B1198" t="s">
        <v>4769</v>
      </c>
      <c r="C1198">
        <v>10.5</v>
      </c>
      <c r="D1198">
        <v>10.9</v>
      </c>
      <c r="E1198" s="178">
        <v>-0.1</v>
      </c>
      <c r="F1198" s="176">
        <v>-0.91</v>
      </c>
      <c r="G1198" t="s">
        <v>5428</v>
      </c>
      <c r="H1198">
        <v>29</v>
      </c>
      <c r="I1198">
        <v>24</v>
      </c>
      <c r="J1198">
        <v>6.08</v>
      </c>
      <c r="K1198">
        <v>10.9</v>
      </c>
      <c r="L1198">
        <v>10.45</v>
      </c>
      <c r="M1198" s="175">
        <v>0.05</v>
      </c>
      <c r="N1198" t="s">
        <v>4770</v>
      </c>
    </row>
    <row r="1199" spans="1:14">
      <c r="A1199">
        <v>3594</v>
      </c>
      <c r="B1199" t="s">
        <v>1058</v>
      </c>
      <c r="C1199">
        <v>49.5</v>
      </c>
      <c r="D1199">
        <v>48.25</v>
      </c>
      <c r="E1199" s="178">
        <v>-1.25</v>
      </c>
      <c r="F1199" s="176">
        <v>-2.5299999999999998</v>
      </c>
      <c r="G1199" t="s">
        <v>6415</v>
      </c>
      <c r="H1199">
        <v>598</v>
      </c>
      <c r="I1199">
        <v>584</v>
      </c>
      <c r="J1199">
        <v>9.59</v>
      </c>
      <c r="K1199">
        <v>49.85</v>
      </c>
      <c r="L1199">
        <v>48.25</v>
      </c>
      <c r="M1199" s="175">
        <v>0.62</v>
      </c>
      <c r="N1199" t="s">
        <v>1756</v>
      </c>
    </row>
    <row r="1200" spans="1:14">
      <c r="A1200">
        <v>3596</v>
      </c>
      <c r="B1200" t="s">
        <v>1757</v>
      </c>
      <c r="C1200">
        <v>161</v>
      </c>
      <c r="D1200">
        <v>158</v>
      </c>
      <c r="E1200" s="178">
        <v>-3.5</v>
      </c>
      <c r="F1200" s="176">
        <v>-2.17</v>
      </c>
      <c r="G1200" t="s">
        <v>6244</v>
      </c>
      <c r="H1200">
        <v>1862</v>
      </c>
      <c r="I1200">
        <v>1170</v>
      </c>
      <c r="J1200">
        <v>22.04</v>
      </c>
      <c r="K1200">
        <v>161</v>
      </c>
      <c r="L1200">
        <v>158</v>
      </c>
      <c r="M1200" s="175">
        <v>0.85</v>
      </c>
      <c r="N1200" t="s">
        <v>4200</v>
      </c>
    </row>
    <row r="1201" spans="1:14">
      <c r="A1201">
        <v>3597</v>
      </c>
      <c r="B1201" t="s">
        <v>1059</v>
      </c>
      <c r="C1201">
        <v>26</v>
      </c>
      <c r="D1201">
        <v>26.4</v>
      </c>
      <c r="E1201" s="178">
        <v>0</v>
      </c>
      <c r="F1201" s="176">
        <v>0</v>
      </c>
      <c r="G1201" t="s">
        <v>5559</v>
      </c>
      <c r="H1201">
        <v>5</v>
      </c>
      <c r="I1201">
        <v>25</v>
      </c>
      <c r="J1201">
        <v>3.92</v>
      </c>
      <c r="K1201">
        <v>26.8</v>
      </c>
      <c r="L1201">
        <v>26</v>
      </c>
      <c r="M1201" s="175">
        <v>0.01</v>
      </c>
      <c r="N1201" t="s">
        <v>2195</v>
      </c>
    </row>
    <row r="1202" spans="1:14">
      <c r="A1202">
        <v>3605</v>
      </c>
      <c r="B1202" t="s">
        <v>1060</v>
      </c>
      <c r="C1202">
        <v>128.5</v>
      </c>
      <c r="D1202">
        <v>139</v>
      </c>
      <c r="E1202" s="178">
        <v>8</v>
      </c>
      <c r="F1202" s="176">
        <v>6.11</v>
      </c>
      <c r="G1202" t="s">
        <v>6416</v>
      </c>
      <c r="H1202">
        <v>36212</v>
      </c>
      <c r="I1202">
        <v>14154</v>
      </c>
      <c r="J1202">
        <v>17.559999999999999</v>
      </c>
      <c r="K1202">
        <v>141</v>
      </c>
      <c r="L1202">
        <v>127.5</v>
      </c>
      <c r="M1202" s="175">
        <v>20.73</v>
      </c>
      <c r="N1202" t="s">
        <v>2246</v>
      </c>
    </row>
    <row r="1203" spans="1:14">
      <c r="A1203">
        <v>3607</v>
      </c>
      <c r="B1203" t="s">
        <v>1061</v>
      </c>
      <c r="C1203">
        <v>14.15</v>
      </c>
      <c r="D1203">
        <v>14</v>
      </c>
      <c r="E1203" s="178">
        <v>-0.15</v>
      </c>
      <c r="F1203" s="176">
        <v>-1.06</v>
      </c>
      <c r="G1203" t="s">
        <v>5309</v>
      </c>
      <c r="H1203">
        <v>123</v>
      </c>
      <c r="I1203">
        <v>168</v>
      </c>
      <c r="J1203">
        <v>12.17</v>
      </c>
      <c r="K1203">
        <v>14.15</v>
      </c>
      <c r="L1203">
        <v>13.9</v>
      </c>
      <c r="M1203" s="175">
        <v>0.1</v>
      </c>
      <c r="N1203" t="s">
        <v>3531</v>
      </c>
    </row>
    <row r="1204" spans="1:14">
      <c r="A1204">
        <v>3609</v>
      </c>
      <c r="B1204" t="s">
        <v>1758</v>
      </c>
      <c r="C1204">
        <v>18.5</v>
      </c>
      <c r="D1204">
        <v>17.55</v>
      </c>
      <c r="E1204" s="178">
        <v>-1.25</v>
      </c>
      <c r="F1204" s="176">
        <v>-6.65</v>
      </c>
      <c r="G1204" t="s">
        <v>5475</v>
      </c>
      <c r="H1204">
        <v>381</v>
      </c>
      <c r="I1204">
        <v>254</v>
      </c>
      <c r="J1204">
        <v>3.84</v>
      </c>
      <c r="K1204">
        <v>18.600000000000001</v>
      </c>
      <c r="L1204">
        <v>17.45</v>
      </c>
      <c r="M1204" s="175">
        <v>0.99</v>
      </c>
      <c r="N1204" t="s">
        <v>3960</v>
      </c>
    </row>
    <row r="1205" spans="1:14">
      <c r="A1205">
        <v>3611</v>
      </c>
      <c r="B1205" t="s">
        <v>1062</v>
      </c>
      <c r="C1205">
        <v>184.5</v>
      </c>
      <c r="D1205">
        <v>184</v>
      </c>
      <c r="E1205" s="178">
        <v>-1</v>
      </c>
      <c r="F1205" s="176">
        <v>-0.54</v>
      </c>
      <c r="G1205" t="s">
        <v>6417</v>
      </c>
      <c r="H1205">
        <v>54</v>
      </c>
      <c r="I1205">
        <v>45</v>
      </c>
      <c r="J1205">
        <v>4.76</v>
      </c>
      <c r="K1205">
        <v>185</v>
      </c>
      <c r="L1205">
        <v>183</v>
      </c>
      <c r="M1205" s="175">
        <v>0.11</v>
      </c>
      <c r="N1205" t="s">
        <v>4371</v>
      </c>
    </row>
    <row r="1206" spans="1:14">
      <c r="A1206">
        <v>3615</v>
      </c>
      <c r="B1206" t="s">
        <v>1063</v>
      </c>
      <c r="C1206">
        <v>37.799999999999997</v>
      </c>
      <c r="D1206">
        <v>37.4</v>
      </c>
      <c r="E1206" s="178">
        <v>-0.65</v>
      </c>
      <c r="F1206" s="176">
        <v>-1.71</v>
      </c>
      <c r="G1206" t="s">
        <v>6418</v>
      </c>
      <c r="H1206">
        <v>323</v>
      </c>
      <c r="I1206">
        <v>571</v>
      </c>
      <c r="J1206">
        <v>6.85</v>
      </c>
      <c r="K1206">
        <v>38.6</v>
      </c>
      <c r="L1206">
        <v>37.299999999999997</v>
      </c>
      <c r="M1206" s="175">
        <v>0.47</v>
      </c>
      <c r="N1206" t="s">
        <v>1759</v>
      </c>
    </row>
    <row r="1207" spans="1:14">
      <c r="A1207">
        <v>3617</v>
      </c>
      <c r="B1207" t="s">
        <v>1064</v>
      </c>
      <c r="C1207">
        <v>244</v>
      </c>
      <c r="D1207">
        <v>254</v>
      </c>
      <c r="E1207" s="178">
        <v>10.5</v>
      </c>
      <c r="F1207" s="176">
        <v>4.3099999999999996</v>
      </c>
      <c r="G1207" t="s">
        <v>6419</v>
      </c>
      <c r="H1207">
        <v>739</v>
      </c>
      <c r="I1207">
        <v>632</v>
      </c>
      <c r="J1207">
        <v>9.48</v>
      </c>
      <c r="K1207">
        <v>254</v>
      </c>
      <c r="L1207">
        <v>240</v>
      </c>
      <c r="M1207" s="175">
        <v>0.78</v>
      </c>
      <c r="N1207" t="s">
        <v>1760</v>
      </c>
    </row>
    <row r="1208" spans="1:14">
      <c r="A1208">
        <v>3622</v>
      </c>
      <c r="B1208" t="s">
        <v>1065</v>
      </c>
      <c r="C1208">
        <v>53.5</v>
      </c>
      <c r="D1208">
        <v>53.1</v>
      </c>
      <c r="E1208" s="178">
        <v>-0.4</v>
      </c>
      <c r="F1208" s="176">
        <v>-0.75</v>
      </c>
      <c r="G1208" t="s">
        <v>6420</v>
      </c>
      <c r="H1208">
        <v>310</v>
      </c>
      <c r="I1208">
        <v>823</v>
      </c>
      <c r="J1208">
        <v>15.13</v>
      </c>
      <c r="K1208">
        <v>53.6</v>
      </c>
      <c r="L1208">
        <v>53</v>
      </c>
      <c r="M1208" s="175">
        <v>0.2</v>
      </c>
      <c r="N1208" t="s">
        <v>1761</v>
      </c>
    </row>
    <row r="1209" spans="1:14">
      <c r="A1209">
        <v>3623</v>
      </c>
      <c r="B1209" t="s">
        <v>1066</v>
      </c>
      <c r="C1209">
        <v>22.2</v>
      </c>
      <c r="D1209">
        <v>22.45</v>
      </c>
      <c r="E1209" s="178">
        <v>0.25</v>
      </c>
      <c r="F1209" s="176">
        <v>1.1299999999999999</v>
      </c>
      <c r="G1209" t="s">
        <v>6199</v>
      </c>
      <c r="H1209">
        <v>45</v>
      </c>
      <c r="I1209">
        <v>44</v>
      </c>
      <c r="J1209">
        <v>2.92</v>
      </c>
      <c r="K1209">
        <v>22.65</v>
      </c>
      <c r="L1209">
        <v>21.95</v>
      </c>
      <c r="M1209" s="175">
        <v>0.15</v>
      </c>
      <c r="N1209" t="s">
        <v>3240</v>
      </c>
    </row>
    <row r="1210" spans="1:14">
      <c r="A1210">
        <v>3624</v>
      </c>
      <c r="B1210" t="s">
        <v>1067</v>
      </c>
      <c r="C1210">
        <v>90.7</v>
      </c>
      <c r="D1210">
        <v>88.3</v>
      </c>
      <c r="E1210" s="178">
        <v>-3.5</v>
      </c>
      <c r="F1210" s="176">
        <v>-3.81</v>
      </c>
      <c r="G1210" t="s">
        <v>6421</v>
      </c>
      <c r="H1210">
        <v>5200</v>
      </c>
      <c r="I1210">
        <v>6909</v>
      </c>
      <c r="J1210">
        <v>11.73</v>
      </c>
      <c r="K1210">
        <v>94</v>
      </c>
      <c r="L1210">
        <v>87.3</v>
      </c>
      <c r="M1210" s="175">
        <v>4.43</v>
      </c>
      <c r="N1210" t="s">
        <v>2196</v>
      </c>
    </row>
    <row r="1211" spans="1:14">
      <c r="A1211">
        <v>3625</v>
      </c>
      <c r="B1211" t="s">
        <v>1068</v>
      </c>
      <c r="C1211">
        <v>12.05</v>
      </c>
      <c r="D1211">
        <v>12.85</v>
      </c>
      <c r="E1211" s="178">
        <v>0.55000000000000004</v>
      </c>
      <c r="F1211" s="176">
        <v>4.47</v>
      </c>
      <c r="G1211" t="s">
        <v>5376</v>
      </c>
      <c r="H1211">
        <v>329</v>
      </c>
      <c r="I1211">
        <v>389</v>
      </c>
      <c r="J1211">
        <v>11.42</v>
      </c>
      <c r="K1211">
        <v>13.5</v>
      </c>
      <c r="L1211">
        <v>12.05</v>
      </c>
      <c r="M1211" s="175">
        <v>0.28999999999999998</v>
      </c>
      <c r="N1211" t="s">
        <v>2197</v>
      </c>
    </row>
    <row r="1212" spans="1:14">
      <c r="A1212">
        <v>3628</v>
      </c>
      <c r="B1212" t="s">
        <v>1069</v>
      </c>
      <c r="C1212">
        <v>68</v>
      </c>
      <c r="D1212">
        <v>67.8</v>
      </c>
      <c r="E1212" s="178">
        <v>-0.6</v>
      </c>
      <c r="F1212" s="176">
        <v>-0.88</v>
      </c>
      <c r="G1212" t="s">
        <v>5212</v>
      </c>
      <c r="H1212">
        <v>26</v>
      </c>
      <c r="I1212">
        <v>39</v>
      </c>
      <c r="J1212">
        <v>4.5</v>
      </c>
      <c r="K1212">
        <v>69.2</v>
      </c>
      <c r="L1212">
        <v>67.2</v>
      </c>
      <c r="M1212" s="175">
        <v>0.06</v>
      </c>
      <c r="N1212" t="s">
        <v>3241</v>
      </c>
    </row>
    <row r="1213" spans="1:14">
      <c r="A1213">
        <v>3629</v>
      </c>
      <c r="B1213" t="s">
        <v>1070</v>
      </c>
      <c r="C1213">
        <v>19.649999999999999</v>
      </c>
      <c r="D1213">
        <v>19.899999999999999</v>
      </c>
      <c r="E1213" s="178">
        <v>0.25</v>
      </c>
      <c r="F1213" s="176">
        <v>1.27</v>
      </c>
      <c r="G1213" t="s">
        <v>6422</v>
      </c>
      <c r="H1213">
        <v>25</v>
      </c>
      <c r="I1213">
        <v>18</v>
      </c>
      <c r="J1213">
        <v>3.3</v>
      </c>
      <c r="K1213">
        <v>20</v>
      </c>
      <c r="L1213">
        <v>19.649999999999999</v>
      </c>
      <c r="M1213" s="175">
        <v>0.08</v>
      </c>
      <c r="N1213" t="s">
        <v>3977</v>
      </c>
    </row>
    <row r="1214" spans="1:14">
      <c r="A1214">
        <v>3630</v>
      </c>
      <c r="B1214" t="s">
        <v>1071</v>
      </c>
      <c r="C1214">
        <v>26.25</v>
      </c>
      <c r="D1214">
        <v>26.5</v>
      </c>
      <c r="E1214" s="178">
        <v>0.1</v>
      </c>
      <c r="F1214" s="176">
        <v>0.38</v>
      </c>
      <c r="G1214" t="s">
        <v>6423</v>
      </c>
      <c r="H1214">
        <v>451</v>
      </c>
      <c r="I1214">
        <v>824</v>
      </c>
      <c r="J1214">
        <v>20.420000000000002</v>
      </c>
      <c r="K1214">
        <v>26.75</v>
      </c>
      <c r="L1214">
        <v>25.95</v>
      </c>
      <c r="M1214" s="175">
        <v>0.22</v>
      </c>
      <c r="N1214" t="s">
        <v>3712</v>
      </c>
    </row>
    <row r="1215" spans="1:14">
      <c r="A1215">
        <v>3631</v>
      </c>
      <c r="B1215" t="s">
        <v>1072</v>
      </c>
      <c r="C1215">
        <v>43.35</v>
      </c>
      <c r="D1215">
        <v>40.9</v>
      </c>
      <c r="E1215" s="178">
        <v>-3.3</v>
      </c>
      <c r="F1215" s="176">
        <v>-7.47</v>
      </c>
      <c r="G1215" t="s">
        <v>6424</v>
      </c>
      <c r="H1215">
        <v>990</v>
      </c>
      <c r="I1215">
        <v>278</v>
      </c>
      <c r="J1215">
        <v>8.18</v>
      </c>
      <c r="K1215">
        <v>44.8</v>
      </c>
      <c r="L1215">
        <v>40.65</v>
      </c>
      <c r="M1215" s="175">
        <v>1.21</v>
      </c>
      <c r="N1215" t="s">
        <v>3577</v>
      </c>
    </row>
    <row r="1216" spans="1:14">
      <c r="A1216">
        <v>3632</v>
      </c>
      <c r="B1216" t="s">
        <v>1073</v>
      </c>
      <c r="C1216" t="s">
        <v>1667</v>
      </c>
      <c r="D1216" t="s">
        <v>1667</v>
      </c>
      <c r="E1216" s="178" t="s">
        <v>1667</v>
      </c>
      <c r="F1216" s="176" t="s">
        <v>1667</v>
      </c>
      <c r="G1216" t="s">
        <v>1667</v>
      </c>
      <c r="H1216">
        <v>0</v>
      </c>
      <c r="I1216">
        <v>14</v>
      </c>
      <c r="J1216">
        <v>4.09</v>
      </c>
      <c r="K1216" t="s">
        <v>1667</v>
      </c>
      <c r="L1216" t="s">
        <v>1667</v>
      </c>
      <c r="M1216" s="175">
        <v>0</v>
      </c>
      <c r="N1216" t="s">
        <v>1762</v>
      </c>
    </row>
    <row r="1217" spans="1:14">
      <c r="A1217">
        <v>3645</v>
      </c>
      <c r="B1217" t="s">
        <v>1074</v>
      </c>
      <c r="C1217">
        <v>75.400000000000006</v>
      </c>
      <c r="D1217">
        <v>74.5</v>
      </c>
      <c r="E1217" s="178">
        <v>-2.1</v>
      </c>
      <c r="F1217" s="176">
        <v>-2.74</v>
      </c>
      <c r="G1217" t="s">
        <v>6425</v>
      </c>
      <c r="H1217">
        <v>9924</v>
      </c>
      <c r="I1217">
        <v>2607</v>
      </c>
      <c r="J1217">
        <v>13.68</v>
      </c>
      <c r="K1217">
        <v>77.8</v>
      </c>
      <c r="L1217">
        <v>73.5</v>
      </c>
      <c r="M1217" s="175">
        <v>7.26</v>
      </c>
      <c r="N1217" t="s">
        <v>3242</v>
      </c>
    </row>
    <row r="1218" spans="1:14">
      <c r="A1218">
        <v>3646</v>
      </c>
      <c r="B1218" t="s">
        <v>1075</v>
      </c>
      <c r="C1218">
        <v>23.6</v>
      </c>
      <c r="D1218">
        <v>23.55</v>
      </c>
      <c r="E1218" s="178">
        <v>0.1</v>
      </c>
      <c r="F1218" s="176">
        <v>0.43</v>
      </c>
      <c r="G1218" t="s">
        <v>6426</v>
      </c>
      <c r="H1218">
        <v>19</v>
      </c>
      <c r="I1218">
        <v>20</v>
      </c>
      <c r="J1218">
        <v>3.93</v>
      </c>
      <c r="K1218">
        <v>23.9</v>
      </c>
      <c r="L1218">
        <v>23.55</v>
      </c>
      <c r="M1218" s="175">
        <v>0.05</v>
      </c>
      <c r="N1218" t="s">
        <v>2247</v>
      </c>
    </row>
    <row r="1219" spans="1:14">
      <c r="A1219">
        <v>3652</v>
      </c>
      <c r="B1219" t="s">
        <v>1076</v>
      </c>
      <c r="C1219">
        <v>33.1</v>
      </c>
      <c r="D1219">
        <v>32.85</v>
      </c>
      <c r="E1219" s="178">
        <v>-0.75</v>
      </c>
      <c r="F1219" s="176">
        <v>-2.23</v>
      </c>
      <c r="G1219" t="s">
        <v>6427</v>
      </c>
      <c r="H1219">
        <v>76</v>
      </c>
      <c r="I1219">
        <v>103</v>
      </c>
      <c r="J1219">
        <v>7.51</v>
      </c>
      <c r="K1219">
        <v>33.200000000000003</v>
      </c>
      <c r="L1219">
        <v>32.700000000000003</v>
      </c>
      <c r="M1219" s="175">
        <v>0.1</v>
      </c>
      <c r="N1219" t="s">
        <v>4925</v>
      </c>
    </row>
    <row r="1220" spans="1:14">
      <c r="A1220">
        <v>3653</v>
      </c>
      <c r="B1220" t="s">
        <v>1077</v>
      </c>
      <c r="C1220">
        <v>5710</v>
      </c>
      <c r="D1220">
        <v>5990</v>
      </c>
      <c r="E1220" s="178">
        <v>205</v>
      </c>
      <c r="F1220" s="176">
        <v>3.54</v>
      </c>
      <c r="G1220" t="s">
        <v>6428</v>
      </c>
      <c r="H1220">
        <v>1640</v>
      </c>
      <c r="I1220">
        <v>1555</v>
      </c>
      <c r="J1220">
        <v>14.72</v>
      </c>
      <c r="K1220">
        <v>6045</v>
      </c>
      <c r="L1220">
        <v>5690</v>
      </c>
      <c r="M1220" s="175">
        <v>1.1200000000000001</v>
      </c>
      <c r="N1220" t="s">
        <v>2248</v>
      </c>
    </row>
    <row r="1221" spans="1:14">
      <c r="A1221">
        <v>3661</v>
      </c>
      <c r="B1221" t="s">
        <v>1078</v>
      </c>
      <c r="C1221">
        <v>4015</v>
      </c>
      <c r="D1221">
        <v>4075</v>
      </c>
      <c r="E1221" s="178">
        <v>10</v>
      </c>
      <c r="F1221" s="176">
        <v>0.25</v>
      </c>
      <c r="G1221" t="s">
        <v>6429</v>
      </c>
      <c r="H1221">
        <v>1889</v>
      </c>
      <c r="I1221">
        <v>1658</v>
      </c>
      <c r="J1221">
        <v>8.6300000000000008</v>
      </c>
      <c r="K1221">
        <v>4085</v>
      </c>
      <c r="L1221">
        <v>3900</v>
      </c>
      <c r="M1221" s="175">
        <v>2.2599999999999998</v>
      </c>
      <c r="N1221" t="s">
        <v>3243</v>
      </c>
    </row>
    <row r="1222" spans="1:14">
      <c r="A1222">
        <v>3663</v>
      </c>
      <c r="B1222" t="s">
        <v>261</v>
      </c>
      <c r="C1222">
        <v>62.8</v>
      </c>
      <c r="D1222">
        <v>61.7</v>
      </c>
      <c r="E1222" s="178">
        <v>-1.1000000000000001</v>
      </c>
      <c r="F1222" s="176">
        <v>-1.75</v>
      </c>
      <c r="G1222" t="s">
        <v>6430</v>
      </c>
      <c r="H1222">
        <v>292</v>
      </c>
      <c r="I1222">
        <v>339</v>
      </c>
      <c r="J1222">
        <v>10.85</v>
      </c>
      <c r="K1222">
        <v>63.6</v>
      </c>
      <c r="L1222">
        <v>60.9</v>
      </c>
      <c r="M1222" s="175">
        <v>0.27</v>
      </c>
      <c r="N1222" t="s">
        <v>1763</v>
      </c>
    </row>
    <row r="1223" spans="1:14">
      <c r="A1223">
        <v>3664</v>
      </c>
      <c r="B1223" t="s">
        <v>1079</v>
      </c>
      <c r="C1223">
        <v>6.9</v>
      </c>
      <c r="D1223">
        <v>6.9</v>
      </c>
      <c r="E1223" s="178">
        <v>0.62</v>
      </c>
      <c r="F1223" s="176">
        <v>9.8699999999999992</v>
      </c>
      <c r="G1223" t="s">
        <v>6431</v>
      </c>
      <c r="H1223">
        <v>96</v>
      </c>
      <c r="I1223">
        <v>18</v>
      </c>
      <c r="J1223">
        <v>7.59</v>
      </c>
      <c r="K1223">
        <v>6.9</v>
      </c>
      <c r="L1223">
        <v>6.88</v>
      </c>
      <c r="M1223" s="175">
        <v>0.13</v>
      </c>
      <c r="N1223" t="s">
        <v>4932</v>
      </c>
    </row>
    <row r="1224" spans="1:14">
      <c r="A1224">
        <v>3665</v>
      </c>
      <c r="B1224" t="s">
        <v>1080</v>
      </c>
      <c r="C1224">
        <v>2230</v>
      </c>
      <c r="D1224">
        <v>2170</v>
      </c>
      <c r="E1224" s="178">
        <v>-90</v>
      </c>
      <c r="F1224" s="176">
        <v>-3.98</v>
      </c>
      <c r="G1224" t="s">
        <v>6271</v>
      </c>
      <c r="H1224">
        <v>3013</v>
      </c>
      <c r="I1224">
        <v>3855</v>
      </c>
      <c r="J1224">
        <v>19.96</v>
      </c>
      <c r="K1224">
        <v>2240</v>
      </c>
      <c r="L1224">
        <v>2105</v>
      </c>
      <c r="M1224" s="175">
        <v>1.51</v>
      </c>
      <c r="N1224" t="s">
        <v>2081</v>
      </c>
    </row>
    <row r="1225" spans="1:14">
      <c r="A1225">
        <v>3666</v>
      </c>
      <c r="B1225" t="s">
        <v>1081</v>
      </c>
      <c r="C1225">
        <v>24.9</v>
      </c>
      <c r="D1225">
        <v>25.3</v>
      </c>
      <c r="E1225" s="178">
        <v>0.2</v>
      </c>
      <c r="F1225" s="176">
        <v>0.8</v>
      </c>
      <c r="G1225" t="s">
        <v>5367</v>
      </c>
      <c r="H1225">
        <v>68</v>
      </c>
      <c r="I1225">
        <v>45</v>
      </c>
      <c r="J1225">
        <v>13.89</v>
      </c>
      <c r="K1225">
        <v>25.3</v>
      </c>
      <c r="L1225">
        <v>24.7</v>
      </c>
      <c r="M1225" s="175">
        <v>0.05</v>
      </c>
      <c r="N1225" t="s">
        <v>1764</v>
      </c>
    </row>
    <row r="1226" spans="1:14">
      <c r="A1226">
        <v>3669</v>
      </c>
      <c r="B1226" t="s">
        <v>1082</v>
      </c>
      <c r="C1226">
        <v>35.75</v>
      </c>
      <c r="D1226">
        <v>35.4</v>
      </c>
      <c r="E1226" s="178">
        <v>-0.3</v>
      </c>
      <c r="F1226" s="176">
        <v>-0.84</v>
      </c>
      <c r="G1226" t="s">
        <v>5456</v>
      </c>
      <c r="H1226">
        <v>258</v>
      </c>
      <c r="I1226">
        <v>262</v>
      </c>
      <c r="J1226">
        <v>9.2899999999999991</v>
      </c>
      <c r="K1226">
        <v>35.75</v>
      </c>
      <c r="L1226">
        <v>34.9</v>
      </c>
      <c r="M1226" s="175">
        <v>0.28000000000000003</v>
      </c>
      <c r="N1226" t="s">
        <v>1765</v>
      </c>
    </row>
    <row r="1227" spans="1:14">
      <c r="A1227">
        <v>3672</v>
      </c>
      <c r="B1227" t="s">
        <v>1083</v>
      </c>
      <c r="C1227">
        <v>12.9</v>
      </c>
      <c r="D1227">
        <v>12.9</v>
      </c>
      <c r="E1227" s="178">
        <v>0.45</v>
      </c>
      <c r="F1227" s="176">
        <v>3.61</v>
      </c>
      <c r="G1227" t="s">
        <v>6432</v>
      </c>
      <c r="H1227">
        <v>14</v>
      </c>
      <c r="I1227">
        <v>9</v>
      </c>
      <c r="J1227">
        <v>4.08</v>
      </c>
      <c r="K1227">
        <v>12.9</v>
      </c>
      <c r="L1227">
        <v>12.85</v>
      </c>
      <c r="M1227" s="175">
        <v>0.03</v>
      </c>
      <c r="N1227" t="s">
        <v>1766</v>
      </c>
    </row>
    <row r="1228" spans="1:14">
      <c r="A1228">
        <v>3673</v>
      </c>
      <c r="B1228" t="s">
        <v>1084</v>
      </c>
      <c r="C1228">
        <v>67.599999999999994</v>
      </c>
      <c r="D1228">
        <v>68.2</v>
      </c>
      <c r="E1228" s="178">
        <v>0.6</v>
      </c>
      <c r="F1228" s="176">
        <v>0.89</v>
      </c>
      <c r="G1228" t="s">
        <v>6433</v>
      </c>
      <c r="H1228">
        <v>5497</v>
      </c>
      <c r="I1228">
        <v>7084</v>
      </c>
      <c r="J1228">
        <v>40.67</v>
      </c>
      <c r="K1228">
        <v>69.5</v>
      </c>
      <c r="L1228">
        <v>67.099999999999994</v>
      </c>
      <c r="M1228" s="175">
        <v>1.35</v>
      </c>
      <c r="N1228" t="s">
        <v>1767</v>
      </c>
    </row>
    <row r="1229" spans="1:14">
      <c r="A1229">
        <v>3675</v>
      </c>
      <c r="B1229" t="s">
        <v>1085</v>
      </c>
      <c r="C1229">
        <v>277</v>
      </c>
      <c r="D1229">
        <v>272.5</v>
      </c>
      <c r="E1229" s="178">
        <v>-5</v>
      </c>
      <c r="F1229" s="176">
        <v>-1.8</v>
      </c>
      <c r="G1229" t="s">
        <v>6224</v>
      </c>
      <c r="H1229">
        <v>532</v>
      </c>
      <c r="I1229">
        <v>946</v>
      </c>
      <c r="J1229">
        <v>5.31</v>
      </c>
      <c r="K1229">
        <v>279</v>
      </c>
      <c r="L1229">
        <v>266.5</v>
      </c>
      <c r="M1229" s="175">
        <v>1</v>
      </c>
      <c r="N1229" t="s">
        <v>1768</v>
      </c>
    </row>
    <row r="1230" spans="1:14">
      <c r="A1230">
        <v>3679</v>
      </c>
      <c r="B1230" t="s">
        <v>1086</v>
      </c>
      <c r="C1230">
        <v>107.5</v>
      </c>
      <c r="D1230">
        <v>108.5</v>
      </c>
      <c r="E1230" s="178">
        <v>2</v>
      </c>
      <c r="F1230" s="176">
        <v>1.88</v>
      </c>
      <c r="G1230" t="s">
        <v>5379</v>
      </c>
      <c r="H1230">
        <v>23</v>
      </c>
      <c r="I1230">
        <v>54</v>
      </c>
      <c r="J1230">
        <v>6.3</v>
      </c>
      <c r="K1230">
        <v>108.5</v>
      </c>
      <c r="L1230">
        <v>107</v>
      </c>
      <c r="M1230" s="175">
        <v>0.04</v>
      </c>
      <c r="N1230" t="s">
        <v>1769</v>
      </c>
    </row>
    <row r="1231" spans="1:14">
      <c r="A1231">
        <v>3680</v>
      </c>
      <c r="B1231" t="s">
        <v>122</v>
      </c>
      <c r="C1231">
        <v>500</v>
      </c>
      <c r="D1231">
        <v>493</v>
      </c>
      <c r="E1231" s="178">
        <v>-7</v>
      </c>
      <c r="F1231" s="176">
        <v>-1.4</v>
      </c>
      <c r="G1231" t="s">
        <v>6434</v>
      </c>
      <c r="H1231">
        <v>1310</v>
      </c>
      <c r="I1231">
        <v>1155</v>
      </c>
      <c r="J1231">
        <v>9.6199999999999992</v>
      </c>
      <c r="K1231">
        <v>516</v>
      </c>
      <c r="L1231">
        <v>484.5</v>
      </c>
      <c r="M1231" s="175">
        <v>1.36</v>
      </c>
      <c r="N1231" t="s">
        <v>3175</v>
      </c>
    </row>
    <row r="1232" spans="1:14">
      <c r="A1232">
        <v>3684</v>
      </c>
      <c r="B1232" t="s">
        <v>1087</v>
      </c>
      <c r="C1232">
        <v>52.8</v>
      </c>
      <c r="D1232">
        <v>54</v>
      </c>
      <c r="E1232" s="178">
        <v>-0.5</v>
      </c>
      <c r="F1232" s="176">
        <v>-0.92</v>
      </c>
      <c r="G1232" t="s">
        <v>6435</v>
      </c>
      <c r="H1232">
        <v>25</v>
      </c>
      <c r="I1232">
        <v>43</v>
      </c>
      <c r="J1232">
        <v>3.03</v>
      </c>
      <c r="K1232">
        <v>54</v>
      </c>
      <c r="L1232">
        <v>52.8</v>
      </c>
      <c r="M1232" s="175">
        <v>0.08</v>
      </c>
      <c r="N1232" t="s">
        <v>1770</v>
      </c>
    </row>
    <row r="1233" spans="1:14">
      <c r="A1233">
        <v>3685</v>
      </c>
      <c r="B1233" t="s">
        <v>1088</v>
      </c>
      <c r="C1233">
        <v>36.9</v>
      </c>
      <c r="D1233">
        <v>38.049999999999997</v>
      </c>
      <c r="E1233" s="178">
        <v>1.1499999999999999</v>
      </c>
      <c r="F1233" s="176">
        <v>3.12</v>
      </c>
      <c r="G1233" t="s">
        <v>6436</v>
      </c>
      <c r="H1233">
        <v>1290</v>
      </c>
      <c r="I1233">
        <v>459</v>
      </c>
      <c r="J1233">
        <v>7.96</v>
      </c>
      <c r="K1233">
        <v>39.5</v>
      </c>
      <c r="L1233">
        <v>36.549999999999997</v>
      </c>
      <c r="M1233" s="175">
        <v>1.62</v>
      </c>
      <c r="N1233" t="s">
        <v>1771</v>
      </c>
    </row>
    <row r="1234" spans="1:14">
      <c r="A1234">
        <v>3686</v>
      </c>
      <c r="B1234" t="s">
        <v>2198</v>
      </c>
      <c r="C1234">
        <v>14.45</v>
      </c>
      <c r="D1234">
        <v>14.45</v>
      </c>
      <c r="E1234" s="178">
        <v>0</v>
      </c>
      <c r="F1234" s="176">
        <v>0</v>
      </c>
      <c r="G1234" t="s">
        <v>6437</v>
      </c>
      <c r="H1234">
        <v>47</v>
      </c>
      <c r="I1234">
        <v>49</v>
      </c>
      <c r="J1234">
        <v>7.65</v>
      </c>
      <c r="K1234">
        <v>14.55</v>
      </c>
      <c r="L1234">
        <v>14.3</v>
      </c>
      <c r="M1234" s="175">
        <v>0.06</v>
      </c>
      <c r="N1234" t="s">
        <v>4124</v>
      </c>
    </row>
    <row r="1235" spans="1:14">
      <c r="A1235">
        <v>3687</v>
      </c>
      <c r="B1235" t="s">
        <v>1089</v>
      </c>
      <c r="C1235">
        <v>63.6</v>
      </c>
      <c r="D1235">
        <v>63.4</v>
      </c>
      <c r="E1235" s="178">
        <v>-0.2</v>
      </c>
      <c r="F1235" s="176">
        <v>-0.31</v>
      </c>
      <c r="G1235" t="s">
        <v>5411</v>
      </c>
      <c r="H1235">
        <v>36</v>
      </c>
      <c r="I1235">
        <v>41</v>
      </c>
      <c r="J1235">
        <v>3.01</v>
      </c>
      <c r="K1235">
        <v>64.400000000000006</v>
      </c>
      <c r="L1235">
        <v>63.2</v>
      </c>
      <c r="M1235" s="175">
        <v>0.12</v>
      </c>
      <c r="N1235" t="s">
        <v>1772</v>
      </c>
    </row>
    <row r="1236" spans="1:14">
      <c r="A1236">
        <v>3689</v>
      </c>
      <c r="B1236" t="s">
        <v>1090</v>
      </c>
      <c r="C1236">
        <v>115</v>
      </c>
      <c r="D1236">
        <v>118.5</v>
      </c>
      <c r="E1236" s="178">
        <v>2</v>
      </c>
      <c r="F1236" s="176">
        <v>1.72</v>
      </c>
      <c r="G1236" t="s">
        <v>6438</v>
      </c>
      <c r="H1236">
        <v>1604</v>
      </c>
      <c r="I1236">
        <v>1468</v>
      </c>
      <c r="J1236">
        <v>8.9499999999999993</v>
      </c>
      <c r="K1236">
        <v>119</v>
      </c>
      <c r="L1236">
        <v>114.5</v>
      </c>
      <c r="M1236" s="175">
        <v>1.79</v>
      </c>
      <c r="N1236" t="s">
        <v>2199</v>
      </c>
    </row>
    <row r="1237" spans="1:14">
      <c r="A1237">
        <v>3691</v>
      </c>
      <c r="B1237" t="s">
        <v>1091</v>
      </c>
      <c r="C1237">
        <v>98.2</v>
      </c>
      <c r="D1237">
        <v>97.2</v>
      </c>
      <c r="E1237" s="178">
        <v>-2.8</v>
      </c>
      <c r="F1237" s="176">
        <v>-2.8</v>
      </c>
      <c r="G1237" t="s">
        <v>6439</v>
      </c>
      <c r="H1237">
        <v>333</v>
      </c>
      <c r="I1237">
        <v>305</v>
      </c>
      <c r="J1237">
        <v>9.19</v>
      </c>
      <c r="K1237">
        <v>98.6</v>
      </c>
      <c r="L1237">
        <v>96.8</v>
      </c>
      <c r="M1237" s="175">
        <v>0.36</v>
      </c>
      <c r="N1237" t="s">
        <v>4372</v>
      </c>
    </row>
    <row r="1238" spans="1:14">
      <c r="A1238">
        <v>3693</v>
      </c>
      <c r="B1238" t="s">
        <v>1092</v>
      </c>
      <c r="C1238">
        <v>580</v>
      </c>
      <c r="D1238">
        <v>604</v>
      </c>
      <c r="E1238" s="178">
        <v>17</v>
      </c>
      <c r="F1238" s="176">
        <v>2.9</v>
      </c>
      <c r="G1238" t="s">
        <v>6440</v>
      </c>
      <c r="H1238">
        <v>1555</v>
      </c>
      <c r="I1238">
        <v>1150</v>
      </c>
      <c r="J1238">
        <v>4.3</v>
      </c>
      <c r="K1238">
        <v>612</v>
      </c>
      <c r="L1238">
        <v>578</v>
      </c>
      <c r="M1238" s="175">
        <v>3.62</v>
      </c>
      <c r="N1238" t="s">
        <v>2249</v>
      </c>
    </row>
    <row r="1239" spans="1:14">
      <c r="A1239">
        <v>3694</v>
      </c>
      <c r="B1239" t="s">
        <v>1093</v>
      </c>
      <c r="C1239">
        <v>50.4</v>
      </c>
      <c r="D1239">
        <v>50.4</v>
      </c>
      <c r="E1239" s="178">
        <v>-0.4</v>
      </c>
      <c r="F1239" s="176">
        <v>-0.79</v>
      </c>
      <c r="G1239" t="s">
        <v>6441</v>
      </c>
      <c r="H1239">
        <v>314</v>
      </c>
      <c r="I1239">
        <v>566</v>
      </c>
      <c r="J1239">
        <v>15.49</v>
      </c>
      <c r="K1239">
        <v>50.9</v>
      </c>
      <c r="L1239">
        <v>50.1</v>
      </c>
      <c r="M1239" s="175">
        <v>0.2</v>
      </c>
      <c r="N1239" t="s">
        <v>4201</v>
      </c>
    </row>
    <row r="1240" spans="1:14">
      <c r="A1240">
        <v>3701</v>
      </c>
      <c r="B1240" t="s">
        <v>1094</v>
      </c>
      <c r="C1240">
        <v>40.15</v>
      </c>
      <c r="D1240">
        <v>40.9</v>
      </c>
      <c r="E1240" s="178">
        <v>-0.15</v>
      </c>
      <c r="F1240" s="176">
        <v>-0.37</v>
      </c>
      <c r="G1240" t="s">
        <v>6442</v>
      </c>
      <c r="H1240">
        <v>464</v>
      </c>
      <c r="I1240">
        <v>515</v>
      </c>
      <c r="J1240">
        <v>23.67</v>
      </c>
      <c r="K1240">
        <v>41.55</v>
      </c>
      <c r="L1240">
        <v>40.049999999999997</v>
      </c>
      <c r="M1240" s="175">
        <v>0.2</v>
      </c>
      <c r="N1240" t="s">
        <v>4202</v>
      </c>
    </row>
    <row r="1241" spans="1:14">
      <c r="A1241">
        <v>3702</v>
      </c>
      <c r="B1241" t="s">
        <v>1095</v>
      </c>
      <c r="C1241">
        <v>100</v>
      </c>
      <c r="D1241">
        <v>99.6</v>
      </c>
      <c r="E1241" s="178">
        <v>-0.4</v>
      </c>
      <c r="F1241" s="176">
        <v>-0.4</v>
      </c>
      <c r="G1241" t="s">
        <v>5205</v>
      </c>
      <c r="H1241">
        <v>10944</v>
      </c>
      <c r="I1241">
        <v>13633</v>
      </c>
      <c r="J1241">
        <v>170.66</v>
      </c>
      <c r="K1241">
        <v>100.5</v>
      </c>
      <c r="L1241">
        <v>97.2</v>
      </c>
      <c r="M1241" s="175">
        <v>0.65</v>
      </c>
      <c r="N1241" t="s">
        <v>3620</v>
      </c>
    </row>
    <row r="1242" spans="1:14">
      <c r="A1242">
        <v>3703</v>
      </c>
      <c r="B1242" t="s">
        <v>1096</v>
      </c>
      <c r="C1242">
        <v>19.399999999999999</v>
      </c>
      <c r="D1242">
        <v>19.55</v>
      </c>
      <c r="E1242" s="178">
        <v>0.15</v>
      </c>
      <c r="F1242" s="176">
        <v>0.77</v>
      </c>
      <c r="G1242" t="s">
        <v>5239</v>
      </c>
      <c r="H1242">
        <v>9999</v>
      </c>
      <c r="I1242">
        <v>1389</v>
      </c>
      <c r="J1242">
        <v>82.32</v>
      </c>
      <c r="K1242">
        <v>19.55</v>
      </c>
      <c r="L1242">
        <v>19.149999999999999</v>
      </c>
      <c r="M1242" s="175">
        <v>1.21</v>
      </c>
      <c r="N1242" t="s">
        <v>1773</v>
      </c>
    </row>
    <row r="1243" spans="1:14">
      <c r="A1243">
        <v>3704</v>
      </c>
      <c r="B1243" t="s">
        <v>2200</v>
      </c>
      <c r="C1243">
        <v>42</v>
      </c>
      <c r="D1243">
        <v>41.65</v>
      </c>
      <c r="E1243" s="178">
        <v>-0.35</v>
      </c>
      <c r="F1243" s="176">
        <v>-0.83</v>
      </c>
      <c r="G1243" t="s">
        <v>6443</v>
      </c>
      <c r="H1243">
        <v>2122</v>
      </c>
      <c r="I1243">
        <v>1257</v>
      </c>
      <c r="J1243">
        <v>41.54</v>
      </c>
      <c r="K1243">
        <v>43.6</v>
      </c>
      <c r="L1243">
        <v>41.65</v>
      </c>
      <c r="M1243" s="175">
        <v>0.51</v>
      </c>
      <c r="N1243" t="s">
        <v>2201</v>
      </c>
    </row>
    <row r="1244" spans="1:14">
      <c r="A1244">
        <v>3705</v>
      </c>
      <c r="B1244" t="s">
        <v>1097</v>
      </c>
      <c r="C1244">
        <v>55.9</v>
      </c>
      <c r="D1244">
        <v>55.8</v>
      </c>
      <c r="E1244" s="178">
        <v>-0.1</v>
      </c>
      <c r="F1244" s="176">
        <v>-0.18</v>
      </c>
      <c r="G1244" t="s">
        <v>5513</v>
      </c>
      <c r="H1244">
        <v>106</v>
      </c>
      <c r="I1244">
        <v>130</v>
      </c>
      <c r="J1244">
        <v>26.64</v>
      </c>
      <c r="K1244">
        <v>56</v>
      </c>
      <c r="L1244">
        <v>55.4</v>
      </c>
      <c r="M1244" s="175">
        <v>0.04</v>
      </c>
      <c r="N1244" t="s">
        <v>4405</v>
      </c>
    </row>
    <row r="1245" spans="1:14">
      <c r="A1245">
        <v>3706</v>
      </c>
      <c r="B1245" t="s">
        <v>257</v>
      </c>
      <c r="C1245">
        <v>92</v>
      </c>
      <c r="D1245">
        <v>92.5</v>
      </c>
      <c r="E1245" s="178">
        <v>0.4</v>
      </c>
      <c r="F1245" s="176">
        <v>0.43</v>
      </c>
      <c r="G1245" t="s">
        <v>6444</v>
      </c>
      <c r="H1245">
        <v>9462</v>
      </c>
      <c r="I1245">
        <v>6751</v>
      </c>
      <c r="J1245">
        <v>132.72</v>
      </c>
      <c r="K1245">
        <v>93.7</v>
      </c>
      <c r="L1245">
        <v>91.3</v>
      </c>
      <c r="M1245" s="175">
        <v>0.71</v>
      </c>
      <c r="N1245" t="s">
        <v>4602</v>
      </c>
    </row>
    <row r="1246" spans="1:14">
      <c r="A1246">
        <v>3707</v>
      </c>
      <c r="B1246" t="s">
        <v>262</v>
      </c>
      <c r="C1246">
        <v>63.1</v>
      </c>
      <c r="D1246">
        <v>62.5</v>
      </c>
      <c r="E1246" s="178">
        <v>-1.3</v>
      </c>
      <c r="F1246" s="176">
        <v>-2.04</v>
      </c>
      <c r="G1246" t="s">
        <v>5421</v>
      </c>
      <c r="H1246">
        <v>2781</v>
      </c>
      <c r="I1246">
        <v>3573</v>
      </c>
      <c r="J1246">
        <v>40.07</v>
      </c>
      <c r="K1246">
        <v>63.6</v>
      </c>
      <c r="L1246">
        <v>61.5</v>
      </c>
      <c r="M1246" s="175">
        <v>0.69</v>
      </c>
      <c r="N1246" t="s">
        <v>3578</v>
      </c>
    </row>
    <row r="1247" spans="1:14">
      <c r="A1247">
        <v>3708</v>
      </c>
      <c r="B1247" t="s">
        <v>1098</v>
      </c>
      <c r="C1247">
        <v>101.5</v>
      </c>
      <c r="D1247">
        <v>102.5</v>
      </c>
      <c r="E1247" s="178">
        <v>1.5</v>
      </c>
      <c r="F1247" s="176">
        <v>1.49</v>
      </c>
      <c r="G1247" t="s">
        <v>6445</v>
      </c>
      <c r="H1247">
        <v>384</v>
      </c>
      <c r="I1247">
        <v>401</v>
      </c>
      <c r="J1247">
        <v>9.02</v>
      </c>
      <c r="K1247">
        <v>103</v>
      </c>
      <c r="L1247">
        <v>100.5</v>
      </c>
      <c r="M1247" s="175">
        <v>0.42</v>
      </c>
      <c r="N1247" t="s">
        <v>3713</v>
      </c>
    </row>
    <row r="1248" spans="1:14">
      <c r="A1248">
        <v>3709</v>
      </c>
      <c r="B1248" t="s">
        <v>385</v>
      </c>
      <c r="C1248">
        <v>66.8</v>
      </c>
      <c r="D1248">
        <v>66.599999999999994</v>
      </c>
      <c r="E1248" s="178">
        <v>-0.7</v>
      </c>
      <c r="F1248" s="176">
        <v>-1.04</v>
      </c>
      <c r="G1248" t="s">
        <v>6446</v>
      </c>
      <c r="H1248">
        <v>275</v>
      </c>
      <c r="I1248">
        <v>335</v>
      </c>
      <c r="J1248">
        <v>14.56</v>
      </c>
      <c r="K1248">
        <v>67.3</v>
      </c>
      <c r="L1248">
        <v>66.400000000000006</v>
      </c>
      <c r="M1248" s="175">
        <v>0.19</v>
      </c>
      <c r="N1248" t="s">
        <v>2164</v>
      </c>
    </row>
    <row r="1249" spans="1:14">
      <c r="A1249">
        <v>3710</v>
      </c>
      <c r="B1249" t="s">
        <v>1099</v>
      </c>
      <c r="C1249">
        <v>5.12</v>
      </c>
      <c r="D1249">
        <v>5.08</v>
      </c>
      <c r="E1249" s="178">
        <v>0</v>
      </c>
      <c r="F1249" s="176">
        <v>0</v>
      </c>
      <c r="G1249" t="s">
        <v>5276</v>
      </c>
      <c r="H1249">
        <v>346</v>
      </c>
      <c r="I1249">
        <v>216</v>
      </c>
      <c r="J1249">
        <v>28.73</v>
      </c>
      <c r="K1249">
        <v>5.12</v>
      </c>
      <c r="L1249">
        <v>4.96</v>
      </c>
      <c r="M1249" s="175">
        <v>0.12</v>
      </c>
      <c r="N1249" t="s">
        <v>3951</v>
      </c>
    </row>
    <row r="1250" spans="1:14">
      <c r="A1250">
        <v>3711</v>
      </c>
      <c r="B1250" t="s">
        <v>397</v>
      </c>
      <c r="C1250">
        <v>601</v>
      </c>
      <c r="D1250">
        <v>584</v>
      </c>
      <c r="E1250" s="178">
        <v>-37</v>
      </c>
      <c r="F1250" s="176">
        <v>-5.96</v>
      </c>
      <c r="G1250" t="s">
        <v>6447</v>
      </c>
      <c r="H1250">
        <v>30714</v>
      </c>
      <c r="I1250">
        <v>12497</v>
      </c>
      <c r="J1250">
        <v>448.04</v>
      </c>
      <c r="K1250">
        <v>601</v>
      </c>
      <c r="L1250">
        <v>565</v>
      </c>
      <c r="M1250" s="175">
        <v>0.69</v>
      </c>
      <c r="N1250" t="s">
        <v>4999</v>
      </c>
    </row>
    <row r="1251" spans="1:14">
      <c r="A1251">
        <v>3712</v>
      </c>
      <c r="B1251" t="s">
        <v>326</v>
      </c>
      <c r="C1251">
        <v>20.7</v>
      </c>
      <c r="D1251">
        <v>21</v>
      </c>
      <c r="E1251" s="178">
        <v>0.25</v>
      </c>
      <c r="F1251" s="176">
        <v>1.2</v>
      </c>
      <c r="G1251" t="s">
        <v>6448</v>
      </c>
      <c r="H1251">
        <v>557</v>
      </c>
      <c r="I1251">
        <v>2541</v>
      </c>
      <c r="J1251">
        <v>24.62</v>
      </c>
      <c r="K1251">
        <v>21.05</v>
      </c>
      <c r="L1251">
        <v>20.55</v>
      </c>
      <c r="M1251" s="175">
        <v>0.23</v>
      </c>
      <c r="N1251" t="s">
        <v>5000</v>
      </c>
    </row>
    <row r="1252" spans="1:14">
      <c r="A1252">
        <v>3713</v>
      </c>
      <c r="B1252" t="s">
        <v>387</v>
      </c>
      <c r="C1252">
        <v>14.2</v>
      </c>
      <c r="D1252">
        <v>14.75</v>
      </c>
      <c r="E1252" s="178">
        <v>0</v>
      </c>
      <c r="F1252" s="176">
        <v>0</v>
      </c>
      <c r="G1252" t="s">
        <v>6449</v>
      </c>
      <c r="H1252">
        <v>42</v>
      </c>
      <c r="I1252">
        <v>20</v>
      </c>
      <c r="J1252">
        <v>8.81</v>
      </c>
      <c r="K1252">
        <v>14.75</v>
      </c>
      <c r="L1252">
        <v>14.2</v>
      </c>
      <c r="M1252" s="175">
        <v>0.05</v>
      </c>
      <c r="N1252" t="s">
        <v>3382</v>
      </c>
    </row>
    <row r="1253" spans="1:14">
      <c r="A1253">
        <v>3714</v>
      </c>
      <c r="B1253" t="s">
        <v>1774</v>
      </c>
      <c r="C1253">
        <v>62.2</v>
      </c>
      <c r="D1253">
        <v>61.6</v>
      </c>
      <c r="E1253" s="178">
        <v>-1</v>
      </c>
      <c r="F1253" s="176">
        <v>-1.6</v>
      </c>
      <c r="G1253" t="s">
        <v>6450</v>
      </c>
      <c r="H1253">
        <v>5798</v>
      </c>
      <c r="I1253">
        <v>13620</v>
      </c>
      <c r="J1253">
        <v>73.790000000000006</v>
      </c>
      <c r="K1253">
        <v>62.5</v>
      </c>
      <c r="L1253">
        <v>60.6</v>
      </c>
      <c r="M1253" s="175">
        <v>0.87</v>
      </c>
      <c r="N1253" t="s">
        <v>4338</v>
      </c>
    </row>
    <row r="1254" spans="1:14">
      <c r="A1254">
        <v>3715</v>
      </c>
      <c r="B1254" t="s">
        <v>2148</v>
      </c>
      <c r="C1254">
        <v>122</v>
      </c>
      <c r="D1254">
        <v>120.5</v>
      </c>
      <c r="E1254" s="178">
        <v>-4.5</v>
      </c>
      <c r="F1254" s="176">
        <v>-3.6</v>
      </c>
      <c r="G1254" t="s">
        <v>6451</v>
      </c>
      <c r="H1254">
        <v>11671</v>
      </c>
      <c r="I1254">
        <v>4284</v>
      </c>
      <c r="J1254">
        <v>28.36</v>
      </c>
      <c r="K1254">
        <v>126</v>
      </c>
      <c r="L1254">
        <v>119.5</v>
      </c>
      <c r="M1254" s="175">
        <v>4.12</v>
      </c>
      <c r="N1254" t="s">
        <v>2149</v>
      </c>
    </row>
    <row r="1255" spans="1:14">
      <c r="A1255">
        <v>3716</v>
      </c>
      <c r="B1255" t="s">
        <v>4007</v>
      </c>
      <c r="C1255">
        <v>34.75</v>
      </c>
      <c r="D1255">
        <v>34.799999999999997</v>
      </c>
      <c r="E1255" s="178">
        <v>-0.05</v>
      </c>
      <c r="F1255" s="176">
        <v>-0.14000000000000001</v>
      </c>
      <c r="G1255" t="s">
        <v>6452</v>
      </c>
      <c r="H1255">
        <v>249</v>
      </c>
      <c r="I1255">
        <v>471</v>
      </c>
      <c r="J1255">
        <v>15.06</v>
      </c>
      <c r="K1255">
        <v>34.950000000000003</v>
      </c>
      <c r="L1255">
        <v>34.6</v>
      </c>
      <c r="M1255" s="175">
        <v>0.17</v>
      </c>
      <c r="N1255" t="s">
        <v>3083</v>
      </c>
    </row>
    <row r="1256" spans="1:14">
      <c r="A1256">
        <v>3717</v>
      </c>
      <c r="B1256" t="s">
        <v>4587</v>
      </c>
      <c r="C1256">
        <v>23.2</v>
      </c>
      <c r="D1256">
        <v>22.65</v>
      </c>
      <c r="E1256" s="178">
        <v>-0.6</v>
      </c>
      <c r="F1256" s="176">
        <v>-2.58</v>
      </c>
      <c r="G1256" t="s">
        <v>6453</v>
      </c>
      <c r="H1256">
        <v>1224</v>
      </c>
      <c r="I1256">
        <v>1294</v>
      </c>
      <c r="J1256">
        <v>21.16</v>
      </c>
      <c r="K1256">
        <v>23.3</v>
      </c>
      <c r="L1256">
        <v>22.65</v>
      </c>
      <c r="M1256" s="175">
        <v>0.59</v>
      </c>
      <c r="N1256" t="s">
        <v>4588</v>
      </c>
    </row>
    <row r="1257" spans="1:14">
      <c r="A1257">
        <v>4102</v>
      </c>
      <c r="B1257" t="s">
        <v>1100</v>
      </c>
      <c r="C1257">
        <v>19.2</v>
      </c>
      <c r="D1257">
        <v>19.45</v>
      </c>
      <c r="E1257" s="178">
        <v>-0.2</v>
      </c>
      <c r="F1257" s="176">
        <v>-1.02</v>
      </c>
      <c r="G1257" t="s">
        <v>5330</v>
      </c>
      <c r="H1257">
        <v>6</v>
      </c>
      <c r="I1257">
        <v>28</v>
      </c>
      <c r="J1257">
        <v>4.24</v>
      </c>
      <c r="K1257">
        <v>19.45</v>
      </c>
      <c r="L1257">
        <v>19.149999999999999</v>
      </c>
      <c r="M1257" s="175">
        <v>0.01</v>
      </c>
      <c r="N1257" t="s">
        <v>4418</v>
      </c>
    </row>
    <row r="1258" spans="1:14">
      <c r="A1258">
        <v>4104</v>
      </c>
      <c r="B1258" t="s">
        <v>1101</v>
      </c>
      <c r="C1258">
        <v>71</v>
      </c>
      <c r="D1258">
        <v>71.2</v>
      </c>
      <c r="E1258" s="178">
        <v>0.2</v>
      </c>
      <c r="F1258" s="176">
        <v>0.28000000000000003</v>
      </c>
      <c r="G1258" t="s">
        <v>6454</v>
      </c>
      <c r="H1258">
        <v>103</v>
      </c>
      <c r="I1258">
        <v>95</v>
      </c>
      <c r="J1258">
        <v>18.84</v>
      </c>
      <c r="K1258">
        <v>71.3</v>
      </c>
      <c r="L1258">
        <v>71</v>
      </c>
      <c r="M1258" s="175">
        <v>0.05</v>
      </c>
      <c r="N1258" t="s">
        <v>3401</v>
      </c>
    </row>
    <row r="1259" spans="1:14">
      <c r="A1259">
        <v>4105</v>
      </c>
      <c r="B1259" t="s">
        <v>1102</v>
      </c>
      <c r="C1259">
        <v>77.8</v>
      </c>
      <c r="D1259">
        <v>77.8</v>
      </c>
      <c r="E1259" s="178">
        <v>0</v>
      </c>
      <c r="F1259" s="176">
        <v>0</v>
      </c>
      <c r="G1259" t="s">
        <v>6455</v>
      </c>
      <c r="H1259">
        <v>385</v>
      </c>
      <c r="I1259">
        <v>367</v>
      </c>
      <c r="J1259">
        <v>24.87</v>
      </c>
      <c r="K1259">
        <v>78</v>
      </c>
      <c r="L1259">
        <v>77.5</v>
      </c>
      <c r="M1259" s="175">
        <v>0.15</v>
      </c>
      <c r="N1259" t="s">
        <v>4406</v>
      </c>
    </row>
    <row r="1260" spans="1:14">
      <c r="A1260">
        <v>4106</v>
      </c>
      <c r="B1260" t="s">
        <v>1103</v>
      </c>
      <c r="C1260">
        <v>24.2</v>
      </c>
      <c r="D1260">
        <v>24.35</v>
      </c>
      <c r="E1260" s="178">
        <v>-0.05</v>
      </c>
      <c r="F1260" s="176">
        <v>-0.2</v>
      </c>
      <c r="G1260" t="s">
        <v>6456</v>
      </c>
      <c r="H1260">
        <v>36</v>
      </c>
      <c r="I1260">
        <v>151</v>
      </c>
      <c r="J1260">
        <v>10.09</v>
      </c>
      <c r="K1260">
        <v>24.35</v>
      </c>
      <c r="L1260">
        <v>24.05</v>
      </c>
      <c r="M1260" s="175">
        <v>0.04</v>
      </c>
      <c r="N1260" t="s">
        <v>1775</v>
      </c>
    </row>
    <row r="1261" spans="1:14">
      <c r="A1261">
        <v>4107</v>
      </c>
      <c r="B1261" t="s">
        <v>1104</v>
      </c>
      <c r="C1261">
        <v>113.5</v>
      </c>
      <c r="D1261">
        <v>114</v>
      </c>
      <c r="E1261" s="178">
        <v>0</v>
      </c>
      <c r="F1261" s="176">
        <v>0</v>
      </c>
      <c r="G1261" t="s">
        <v>5220</v>
      </c>
      <c r="H1261">
        <v>26</v>
      </c>
      <c r="I1261">
        <v>40</v>
      </c>
      <c r="J1261">
        <v>6.93</v>
      </c>
      <c r="K1261">
        <v>114</v>
      </c>
      <c r="L1261">
        <v>113</v>
      </c>
      <c r="M1261" s="175">
        <v>0.04</v>
      </c>
      <c r="N1261" t="s">
        <v>4903</v>
      </c>
    </row>
    <row r="1262" spans="1:14">
      <c r="A1262">
        <v>4108</v>
      </c>
      <c r="B1262" t="s">
        <v>1105</v>
      </c>
      <c r="C1262">
        <v>11.85</v>
      </c>
      <c r="D1262">
        <v>11.55</v>
      </c>
      <c r="E1262" s="178">
        <v>-0.85</v>
      </c>
      <c r="F1262" s="176">
        <v>-6.85</v>
      </c>
      <c r="G1262" t="s">
        <v>6457</v>
      </c>
      <c r="H1262">
        <v>1068</v>
      </c>
      <c r="I1262">
        <v>577</v>
      </c>
      <c r="J1262">
        <v>19.86</v>
      </c>
      <c r="K1262">
        <v>11.9</v>
      </c>
      <c r="L1262">
        <v>11.5</v>
      </c>
      <c r="M1262" s="175">
        <v>0.54</v>
      </c>
      <c r="N1262" t="s">
        <v>1776</v>
      </c>
    </row>
    <row r="1263" spans="1:14">
      <c r="A1263">
        <v>4109</v>
      </c>
      <c r="B1263" t="s">
        <v>1106</v>
      </c>
      <c r="C1263">
        <v>11.25</v>
      </c>
      <c r="D1263">
        <v>11.2</v>
      </c>
      <c r="E1263" s="178">
        <v>-0.05</v>
      </c>
      <c r="F1263" s="176">
        <v>-0.44</v>
      </c>
      <c r="G1263" t="s">
        <v>5630</v>
      </c>
      <c r="H1263">
        <v>83</v>
      </c>
      <c r="I1263">
        <v>137</v>
      </c>
      <c r="J1263">
        <v>11.87</v>
      </c>
      <c r="K1263">
        <v>11.35</v>
      </c>
      <c r="L1263">
        <v>11.15</v>
      </c>
      <c r="M1263" s="175">
        <v>7.0000000000000007E-2</v>
      </c>
      <c r="N1263" t="s">
        <v>1777</v>
      </c>
    </row>
    <row r="1264" spans="1:14">
      <c r="A1264">
        <v>4111</v>
      </c>
      <c r="B1264" t="s">
        <v>1107</v>
      </c>
      <c r="C1264">
        <v>28.75</v>
      </c>
      <c r="D1264">
        <v>28.8</v>
      </c>
      <c r="E1264" s="178">
        <v>0.05</v>
      </c>
      <c r="F1264" s="176">
        <v>0.17</v>
      </c>
      <c r="G1264" t="s">
        <v>6458</v>
      </c>
      <c r="H1264">
        <v>28</v>
      </c>
      <c r="I1264">
        <v>137</v>
      </c>
      <c r="J1264">
        <v>5.98</v>
      </c>
      <c r="K1264">
        <v>28.8</v>
      </c>
      <c r="L1264">
        <v>28.7</v>
      </c>
      <c r="M1264" s="175">
        <v>0.05</v>
      </c>
      <c r="N1264" t="s">
        <v>4407</v>
      </c>
    </row>
    <row r="1265" spans="1:14">
      <c r="A1265">
        <v>4113</v>
      </c>
      <c r="B1265" t="s">
        <v>1108</v>
      </c>
      <c r="C1265">
        <v>14.95</v>
      </c>
      <c r="D1265">
        <v>15</v>
      </c>
      <c r="E1265" s="178">
        <v>-0.1</v>
      </c>
      <c r="F1265" s="176">
        <v>-0.66</v>
      </c>
      <c r="G1265" t="s">
        <v>5740</v>
      </c>
      <c r="H1265">
        <v>91</v>
      </c>
      <c r="I1265">
        <v>138</v>
      </c>
      <c r="J1265">
        <v>23.11</v>
      </c>
      <c r="K1265">
        <v>15.05</v>
      </c>
      <c r="L1265">
        <v>14.9</v>
      </c>
      <c r="M1265" s="175">
        <v>0.04</v>
      </c>
      <c r="N1265" t="s">
        <v>5001</v>
      </c>
    </row>
    <row r="1266" spans="1:14">
      <c r="A1266">
        <v>4114</v>
      </c>
      <c r="B1266" t="s">
        <v>4640</v>
      </c>
      <c r="C1266">
        <v>30</v>
      </c>
      <c r="D1266">
        <v>29.8</v>
      </c>
      <c r="E1266" s="178">
        <v>-0.1</v>
      </c>
      <c r="F1266" s="176">
        <v>-0.33</v>
      </c>
      <c r="G1266" t="s">
        <v>5654</v>
      </c>
      <c r="H1266">
        <v>519</v>
      </c>
      <c r="I1266">
        <v>688</v>
      </c>
      <c r="J1266">
        <v>55.04</v>
      </c>
      <c r="K1266">
        <v>30.05</v>
      </c>
      <c r="L1266">
        <v>29.8</v>
      </c>
      <c r="M1266" s="175">
        <v>0.09</v>
      </c>
      <c r="N1266" t="s">
        <v>4641</v>
      </c>
    </row>
    <row r="1267" spans="1:14">
      <c r="A1267">
        <v>4116</v>
      </c>
      <c r="B1267" t="s">
        <v>1109</v>
      </c>
      <c r="C1267">
        <v>40.299999999999997</v>
      </c>
      <c r="D1267">
        <v>40.049999999999997</v>
      </c>
      <c r="E1267" s="178">
        <v>0.1</v>
      </c>
      <c r="F1267" s="176">
        <v>0.25</v>
      </c>
      <c r="G1267" t="s">
        <v>5365</v>
      </c>
      <c r="H1267">
        <v>12</v>
      </c>
      <c r="I1267">
        <v>27</v>
      </c>
      <c r="J1267">
        <v>4.46</v>
      </c>
      <c r="K1267">
        <v>40.299999999999997</v>
      </c>
      <c r="L1267">
        <v>40</v>
      </c>
      <c r="M1267" s="175">
        <v>0.03</v>
      </c>
      <c r="N1267" t="s">
        <v>4203</v>
      </c>
    </row>
    <row r="1268" spans="1:14">
      <c r="A1268">
        <v>4119</v>
      </c>
      <c r="B1268" t="s">
        <v>1110</v>
      </c>
      <c r="C1268">
        <v>53.6</v>
      </c>
      <c r="D1268">
        <v>55.4</v>
      </c>
      <c r="E1268" s="178">
        <v>1</v>
      </c>
      <c r="F1268" s="176">
        <v>1.84</v>
      </c>
      <c r="G1268" t="s">
        <v>6137</v>
      </c>
      <c r="H1268">
        <v>285</v>
      </c>
      <c r="I1268">
        <v>110</v>
      </c>
      <c r="J1268">
        <v>11.95</v>
      </c>
      <c r="K1268">
        <v>55.4</v>
      </c>
      <c r="L1268">
        <v>53.6</v>
      </c>
      <c r="M1268" s="175">
        <v>0.24</v>
      </c>
      <c r="N1268" t="s">
        <v>4419</v>
      </c>
    </row>
    <row r="1269" spans="1:14">
      <c r="A1269">
        <v>4120</v>
      </c>
      <c r="B1269" t="s">
        <v>1111</v>
      </c>
      <c r="C1269">
        <v>47.3</v>
      </c>
      <c r="D1269">
        <v>47.4</v>
      </c>
      <c r="E1269" s="178">
        <v>0.05</v>
      </c>
      <c r="F1269" s="176">
        <v>0.11</v>
      </c>
      <c r="G1269" t="s">
        <v>6459</v>
      </c>
      <c r="H1269">
        <v>9</v>
      </c>
      <c r="I1269">
        <v>22</v>
      </c>
      <c r="J1269">
        <v>8.67</v>
      </c>
      <c r="K1269">
        <v>47.4</v>
      </c>
      <c r="L1269">
        <v>47.1</v>
      </c>
      <c r="M1269" s="175">
        <v>0.01</v>
      </c>
      <c r="N1269" t="s">
        <v>4904</v>
      </c>
    </row>
    <row r="1270" spans="1:14">
      <c r="A1270">
        <v>4121</v>
      </c>
      <c r="B1270" t="s">
        <v>1112</v>
      </c>
      <c r="C1270">
        <v>13.1</v>
      </c>
      <c r="D1270">
        <v>13.1</v>
      </c>
      <c r="E1270" s="178">
        <v>-0.05</v>
      </c>
      <c r="F1270" s="176">
        <v>-0.38</v>
      </c>
      <c r="G1270" t="s">
        <v>6460</v>
      </c>
      <c r="H1270">
        <v>13</v>
      </c>
      <c r="I1270">
        <v>27</v>
      </c>
      <c r="J1270">
        <v>8.31</v>
      </c>
      <c r="K1270">
        <v>13.1</v>
      </c>
      <c r="L1270">
        <v>13</v>
      </c>
      <c r="M1270" s="175">
        <v>0.02</v>
      </c>
      <c r="N1270" t="s">
        <v>1778</v>
      </c>
    </row>
    <row r="1271" spans="1:14">
      <c r="A1271">
        <v>4123</v>
      </c>
      <c r="B1271" t="s">
        <v>1113</v>
      </c>
      <c r="C1271">
        <v>31.8</v>
      </c>
      <c r="D1271">
        <v>31.25</v>
      </c>
      <c r="E1271" s="178">
        <v>-0.45</v>
      </c>
      <c r="F1271" s="176">
        <v>-1.42</v>
      </c>
      <c r="G1271" t="s">
        <v>6461</v>
      </c>
      <c r="H1271">
        <v>1586</v>
      </c>
      <c r="I1271">
        <v>1641</v>
      </c>
      <c r="J1271">
        <v>80.75</v>
      </c>
      <c r="K1271">
        <v>31.8</v>
      </c>
      <c r="L1271">
        <v>31.25</v>
      </c>
      <c r="M1271" s="175">
        <v>0.2</v>
      </c>
      <c r="N1271" t="s">
        <v>4408</v>
      </c>
    </row>
    <row r="1272" spans="1:14">
      <c r="A1272">
        <v>4126</v>
      </c>
      <c r="B1272" t="s">
        <v>1114</v>
      </c>
      <c r="C1272">
        <v>77.2</v>
      </c>
      <c r="D1272">
        <v>77.900000000000006</v>
      </c>
      <c r="E1272" s="178">
        <v>0.2</v>
      </c>
      <c r="F1272" s="176">
        <v>0.26</v>
      </c>
      <c r="G1272" t="s">
        <v>6462</v>
      </c>
      <c r="H1272">
        <v>50</v>
      </c>
      <c r="I1272">
        <v>21</v>
      </c>
      <c r="J1272">
        <v>7.26</v>
      </c>
      <c r="K1272">
        <v>78.2</v>
      </c>
      <c r="L1272">
        <v>77.2</v>
      </c>
      <c r="M1272" s="175">
        <v>7.0000000000000007E-2</v>
      </c>
      <c r="N1272" t="s">
        <v>4453</v>
      </c>
    </row>
    <row r="1273" spans="1:14">
      <c r="A1273">
        <v>4127</v>
      </c>
      <c r="B1273" t="s">
        <v>1115</v>
      </c>
      <c r="C1273">
        <v>78.8</v>
      </c>
      <c r="D1273">
        <v>71.3</v>
      </c>
      <c r="E1273" s="178">
        <v>-7.5</v>
      </c>
      <c r="F1273" s="176">
        <v>-9.52</v>
      </c>
      <c r="G1273" t="s">
        <v>6463</v>
      </c>
      <c r="H1273">
        <v>481</v>
      </c>
      <c r="I1273">
        <v>243</v>
      </c>
      <c r="J1273">
        <v>4.58</v>
      </c>
      <c r="K1273">
        <v>78.8</v>
      </c>
      <c r="L1273">
        <v>71</v>
      </c>
      <c r="M1273" s="175">
        <v>1.05</v>
      </c>
      <c r="N1273" t="s">
        <v>3621</v>
      </c>
    </row>
    <row r="1274" spans="1:14">
      <c r="A1274">
        <v>4128</v>
      </c>
      <c r="B1274" t="s">
        <v>1116</v>
      </c>
      <c r="C1274">
        <v>15.15</v>
      </c>
      <c r="D1274">
        <v>15.05</v>
      </c>
      <c r="E1274" s="178">
        <v>-0.25</v>
      </c>
      <c r="F1274" s="176">
        <v>-1.63</v>
      </c>
      <c r="G1274" t="s">
        <v>5926</v>
      </c>
      <c r="H1274">
        <v>815</v>
      </c>
      <c r="I1274">
        <v>939</v>
      </c>
      <c r="J1274">
        <v>58.82</v>
      </c>
      <c r="K1274">
        <v>15.3</v>
      </c>
      <c r="L1274">
        <v>15</v>
      </c>
      <c r="M1274" s="175">
        <v>0.14000000000000001</v>
      </c>
      <c r="N1274" t="s">
        <v>1779</v>
      </c>
    </row>
    <row r="1275" spans="1:14">
      <c r="A1275">
        <v>4129</v>
      </c>
      <c r="B1275" t="s">
        <v>1117</v>
      </c>
      <c r="C1275">
        <v>82.3</v>
      </c>
      <c r="D1275">
        <v>81.7</v>
      </c>
      <c r="E1275" s="178">
        <v>-0.7</v>
      </c>
      <c r="F1275" s="176">
        <v>-0.85</v>
      </c>
      <c r="G1275" t="s">
        <v>6464</v>
      </c>
      <c r="H1275">
        <v>255</v>
      </c>
      <c r="I1275">
        <v>992</v>
      </c>
      <c r="J1275">
        <v>9.64</v>
      </c>
      <c r="K1275">
        <v>82.8</v>
      </c>
      <c r="L1275">
        <v>81.5</v>
      </c>
      <c r="M1275" s="175">
        <v>0.26</v>
      </c>
      <c r="N1275" t="s">
        <v>3119</v>
      </c>
    </row>
    <row r="1276" spans="1:14">
      <c r="A1276">
        <v>4131</v>
      </c>
      <c r="B1276" t="s">
        <v>3065</v>
      </c>
      <c r="C1276">
        <v>30.95</v>
      </c>
      <c r="D1276">
        <v>30.6</v>
      </c>
      <c r="E1276" s="178">
        <v>-0.35</v>
      </c>
      <c r="F1276" s="176">
        <v>-1.1299999999999999</v>
      </c>
      <c r="G1276" t="s">
        <v>6465</v>
      </c>
      <c r="H1276">
        <v>19</v>
      </c>
      <c r="I1276">
        <v>18</v>
      </c>
      <c r="J1276">
        <v>3.99</v>
      </c>
      <c r="K1276">
        <v>30.95</v>
      </c>
      <c r="L1276">
        <v>29.2</v>
      </c>
      <c r="M1276" s="175">
        <v>0.05</v>
      </c>
      <c r="N1276" t="s">
        <v>2067</v>
      </c>
    </row>
    <row r="1277" spans="1:14">
      <c r="A1277">
        <v>4133</v>
      </c>
      <c r="B1277" t="s">
        <v>1118</v>
      </c>
      <c r="C1277">
        <v>20.55</v>
      </c>
      <c r="D1277">
        <v>20.75</v>
      </c>
      <c r="E1277" s="178">
        <v>0.15</v>
      </c>
      <c r="F1277" s="176">
        <v>0.73</v>
      </c>
      <c r="G1277" t="s">
        <v>6246</v>
      </c>
      <c r="H1277">
        <v>37</v>
      </c>
      <c r="I1277">
        <v>77</v>
      </c>
      <c r="J1277">
        <v>6.06</v>
      </c>
      <c r="K1277">
        <v>20.85</v>
      </c>
      <c r="L1277">
        <v>20.55</v>
      </c>
      <c r="M1277" s="175">
        <v>0.06</v>
      </c>
      <c r="N1277" t="s">
        <v>4373</v>
      </c>
    </row>
    <row r="1278" spans="1:14">
      <c r="A1278">
        <v>4137</v>
      </c>
      <c r="B1278" t="s">
        <v>1119</v>
      </c>
      <c r="C1278">
        <v>85.9</v>
      </c>
      <c r="D1278">
        <v>84.2</v>
      </c>
      <c r="E1278" s="178">
        <v>-1.7</v>
      </c>
      <c r="F1278" s="176">
        <v>-1.98</v>
      </c>
      <c r="G1278" t="s">
        <v>6466</v>
      </c>
      <c r="H1278">
        <v>305</v>
      </c>
      <c r="I1278">
        <v>278</v>
      </c>
      <c r="J1278">
        <v>8.25</v>
      </c>
      <c r="K1278">
        <v>85.9</v>
      </c>
      <c r="L1278">
        <v>84</v>
      </c>
      <c r="M1278" s="175">
        <v>0.37</v>
      </c>
      <c r="N1278" t="s">
        <v>3532</v>
      </c>
    </row>
    <row r="1279" spans="1:14">
      <c r="A1279">
        <v>4138</v>
      </c>
      <c r="B1279" t="s">
        <v>1120</v>
      </c>
      <c r="C1279">
        <v>52.6</v>
      </c>
      <c r="D1279">
        <v>52.3</v>
      </c>
      <c r="E1279" s="178">
        <v>-0.5</v>
      </c>
      <c r="F1279" s="176">
        <v>-0.95</v>
      </c>
      <c r="G1279" t="s">
        <v>5267</v>
      </c>
      <c r="H1279">
        <v>35</v>
      </c>
      <c r="I1279">
        <v>67</v>
      </c>
      <c r="J1279">
        <v>3.99</v>
      </c>
      <c r="K1279">
        <v>52.9</v>
      </c>
      <c r="L1279">
        <v>52.1</v>
      </c>
      <c r="M1279" s="175">
        <v>0.09</v>
      </c>
      <c r="N1279" t="s">
        <v>1780</v>
      </c>
    </row>
    <row r="1280" spans="1:14">
      <c r="A1280">
        <v>4139</v>
      </c>
      <c r="B1280" t="s">
        <v>1121</v>
      </c>
      <c r="C1280">
        <v>40</v>
      </c>
      <c r="D1280">
        <v>41.9</v>
      </c>
      <c r="E1280" s="178">
        <v>1.9</v>
      </c>
      <c r="F1280" s="176">
        <v>4.75</v>
      </c>
      <c r="G1280" t="s">
        <v>5495</v>
      </c>
      <c r="H1280">
        <v>76</v>
      </c>
      <c r="I1280">
        <v>49</v>
      </c>
      <c r="J1280">
        <v>4.5</v>
      </c>
      <c r="K1280">
        <v>41.9</v>
      </c>
      <c r="L1280">
        <v>40</v>
      </c>
      <c r="M1280" s="175">
        <v>0.17</v>
      </c>
      <c r="N1280" t="s">
        <v>3176</v>
      </c>
    </row>
    <row r="1281" spans="1:14">
      <c r="A1281">
        <v>4142</v>
      </c>
      <c r="B1281" t="s">
        <v>1122</v>
      </c>
      <c r="C1281">
        <v>18</v>
      </c>
      <c r="D1281">
        <v>17.75</v>
      </c>
      <c r="E1281" s="178">
        <v>-0.15</v>
      </c>
      <c r="F1281" s="176">
        <v>-0.84</v>
      </c>
      <c r="G1281" t="s">
        <v>5479</v>
      </c>
      <c r="H1281">
        <v>572</v>
      </c>
      <c r="I1281">
        <v>1141</v>
      </c>
      <c r="J1281">
        <v>42.95</v>
      </c>
      <c r="K1281">
        <v>18</v>
      </c>
      <c r="L1281">
        <v>17.7</v>
      </c>
      <c r="M1281" s="175">
        <v>0.13</v>
      </c>
      <c r="N1281" t="s">
        <v>4374</v>
      </c>
    </row>
    <row r="1282" spans="1:14">
      <c r="A1282">
        <v>4147</v>
      </c>
      <c r="B1282" t="s">
        <v>1123</v>
      </c>
      <c r="C1282">
        <v>63.8</v>
      </c>
      <c r="D1282">
        <v>62.4</v>
      </c>
      <c r="E1282" s="178">
        <v>-1.7</v>
      </c>
      <c r="F1282" s="176">
        <v>-2.65</v>
      </c>
      <c r="G1282" t="s">
        <v>6467</v>
      </c>
      <c r="H1282">
        <v>993</v>
      </c>
      <c r="I1282">
        <v>1486</v>
      </c>
      <c r="J1282">
        <v>27.32</v>
      </c>
      <c r="K1282">
        <v>64.5</v>
      </c>
      <c r="L1282">
        <v>62.3</v>
      </c>
      <c r="M1282" s="175">
        <v>0.36</v>
      </c>
      <c r="N1282" t="s">
        <v>3244</v>
      </c>
    </row>
    <row r="1283" spans="1:14">
      <c r="A1283">
        <v>4148</v>
      </c>
      <c r="B1283" t="s">
        <v>325</v>
      </c>
      <c r="C1283">
        <v>33.1</v>
      </c>
      <c r="D1283">
        <v>32.4</v>
      </c>
      <c r="E1283" s="178">
        <v>-0.9</v>
      </c>
      <c r="F1283" s="176">
        <v>-2.7</v>
      </c>
      <c r="G1283" t="s">
        <v>5305</v>
      </c>
      <c r="H1283">
        <v>26</v>
      </c>
      <c r="I1283">
        <v>56</v>
      </c>
      <c r="J1283">
        <v>6.72</v>
      </c>
      <c r="K1283">
        <v>33.35</v>
      </c>
      <c r="L1283">
        <v>32.4</v>
      </c>
      <c r="M1283" s="175">
        <v>0.04</v>
      </c>
      <c r="N1283" t="s">
        <v>3714</v>
      </c>
    </row>
    <row r="1284" spans="1:14">
      <c r="A1284">
        <v>4153</v>
      </c>
      <c r="B1284" t="s">
        <v>88</v>
      </c>
      <c r="C1284">
        <v>32.65</v>
      </c>
      <c r="D1284">
        <v>32.450000000000003</v>
      </c>
      <c r="E1284" s="178">
        <v>-0.8</v>
      </c>
      <c r="F1284" s="176">
        <v>-2.41</v>
      </c>
      <c r="G1284" t="s">
        <v>6468</v>
      </c>
      <c r="H1284">
        <v>22</v>
      </c>
      <c r="I1284">
        <v>9</v>
      </c>
      <c r="J1284">
        <v>5.87</v>
      </c>
      <c r="K1284">
        <v>33.15</v>
      </c>
      <c r="L1284">
        <v>32.450000000000003</v>
      </c>
      <c r="M1284" s="175">
        <v>0.04</v>
      </c>
      <c r="N1284" t="s">
        <v>3066</v>
      </c>
    </row>
    <row r="1285" spans="1:14">
      <c r="A1285">
        <v>4154</v>
      </c>
      <c r="B1285" t="s">
        <v>4008</v>
      </c>
      <c r="C1285" t="s">
        <v>1667</v>
      </c>
      <c r="D1285" t="s">
        <v>1667</v>
      </c>
      <c r="E1285" s="178" t="s">
        <v>1667</v>
      </c>
      <c r="F1285" s="176" t="s">
        <v>1667</v>
      </c>
      <c r="G1285" t="s">
        <v>1667</v>
      </c>
      <c r="H1285">
        <v>0</v>
      </c>
      <c r="I1285">
        <v>8</v>
      </c>
      <c r="J1285">
        <v>3.84</v>
      </c>
      <c r="K1285" t="s">
        <v>1667</v>
      </c>
      <c r="L1285" t="s">
        <v>1667</v>
      </c>
      <c r="M1285" s="175">
        <v>0</v>
      </c>
      <c r="N1285" t="s">
        <v>4009</v>
      </c>
    </row>
    <row r="1286" spans="1:14">
      <c r="A1286">
        <v>4155</v>
      </c>
      <c r="B1286" t="s">
        <v>339</v>
      </c>
      <c r="C1286">
        <v>14.4</v>
      </c>
      <c r="D1286">
        <v>14.55</v>
      </c>
      <c r="E1286" s="178">
        <v>0.1</v>
      </c>
      <c r="F1286" s="176">
        <v>0.69</v>
      </c>
      <c r="G1286" t="s">
        <v>6469</v>
      </c>
      <c r="H1286">
        <v>118</v>
      </c>
      <c r="I1286">
        <v>149</v>
      </c>
      <c r="J1286">
        <v>13.97</v>
      </c>
      <c r="K1286">
        <v>14.6</v>
      </c>
      <c r="L1286">
        <v>14.4</v>
      </c>
      <c r="M1286" s="175">
        <v>0.08</v>
      </c>
      <c r="N1286" t="s">
        <v>3533</v>
      </c>
    </row>
    <row r="1287" spans="1:14">
      <c r="A1287">
        <v>4157</v>
      </c>
      <c r="B1287" t="s">
        <v>1124</v>
      </c>
      <c r="C1287">
        <v>8.99</v>
      </c>
      <c r="D1287">
        <v>8.98</v>
      </c>
      <c r="E1287" s="178">
        <v>-0.01</v>
      </c>
      <c r="F1287" s="176">
        <v>-0.11</v>
      </c>
      <c r="G1287" t="s">
        <v>6158</v>
      </c>
      <c r="H1287">
        <v>458</v>
      </c>
      <c r="I1287">
        <v>872</v>
      </c>
      <c r="J1287">
        <v>0.01</v>
      </c>
      <c r="K1287">
        <v>9.08</v>
      </c>
      <c r="L1287">
        <v>8.91</v>
      </c>
      <c r="M1287" s="175">
        <v>0.06</v>
      </c>
      <c r="N1287" t="s">
        <v>3579</v>
      </c>
    </row>
    <row r="1288" spans="1:14">
      <c r="A1288">
        <v>4160</v>
      </c>
      <c r="B1288" t="s">
        <v>3067</v>
      </c>
      <c r="C1288">
        <v>39.5</v>
      </c>
      <c r="D1288">
        <v>39.65</v>
      </c>
      <c r="E1288" s="178">
        <v>-0.1</v>
      </c>
      <c r="F1288" s="176">
        <v>-0.25</v>
      </c>
      <c r="G1288" t="s">
        <v>6470</v>
      </c>
      <c r="H1288">
        <v>16</v>
      </c>
      <c r="I1288">
        <v>24</v>
      </c>
      <c r="J1288">
        <v>2.67</v>
      </c>
      <c r="K1288">
        <v>39.950000000000003</v>
      </c>
      <c r="L1288">
        <v>39.35</v>
      </c>
      <c r="M1288" s="175">
        <v>0.06</v>
      </c>
      <c r="N1288" t="s">
        <v>5002</v>
      </c>
    </row>
    <row r="1289" spans="1:14">
      <c r="A1289">
        <v>4161</v>
      </c>
      <c r="B1289" t="s">
        <v>1125</v>
      </c>
      <c r="C1289">
        <v>22.9</v>
      </c>
      <c r="D1289">
        <v>22.9</v>
      </c>
      <c r="E1289" s="178">
        <v>0</v>
      </c>
      <c r="F1289" s="176">
        <v>0</v>
      </c>
      <c r="G1289" t="s">
        <v>6471</v>
      </c>
      <c r="H1289">
        <v>2</v>
      </c>
      <c r="I1289">
        <v>16</v>
      </c>
      <c r="J1289">
        <v>5.98</v>
      </c>
      <c r="K1289">
        <v>22.9</v>
      </c>
      <c r="L1289">
        <v>22.9</v>
      </c>
      <c r="M1289" s="175">
        <v>0</v>
      </c>
      <c r="N1289" t="s">
        <v>4905</v>
      </c>
    </row>
    <row r="1290" spans="1:14">
      <c r="A1290">
        <v>4162</v>
      </c>
      <c r="B1290" t="s">
        <v>1126</v>
      </c>
      <c r="C1290">
        <v>60</v>
      </c>
      <c r="D1290">
        <v>59</v>
      </c>
      <c r="E1290" s="178">
        <v>-1</v>
      </c>
      <c r="F1290" s="176">
        <v>-1.67</v>
      </c>
      <c r="G1290" t="s">
        <v>6472</v>
      </c>
      <c r="H1290">
        <v>200</v>
      </c>
      <c r="I1290">
        <v>177</v>
      </c>
      <c r="J1290">
        <v>14.37</v>
      </c>
      <c r="K1290">
        <v>60.1</v>
      </c>
      <c r="L1290">
        <v>58.8</v>
      </c>
      <c r="M1290" s="175">
        <v>0.14000000000000001</v>
      </c>
      <c r="N1290" t="s">
        <v>4409</v>
      </c>
    </row>
    <row r="1291" spans="1:14">
      <c r="A1291">
        <v>4163</v>
      </c>
      <c r="B1291" t="s">
        <v>1127</v>
      </c>
      <c r="C1291">
        <v>137</v>
      </c>
      <c r="D1291">
        <v>140</v>
      </c>
      <c r="E1291" s="178">
        <v>1</v>
      </c>
      <c r="F1291" s="176">
        <v>0.72</v>
      </c>
      <c r="G1291" t="s">
        <v>5841</v>
      </c>
      <c r="H1291">
        <v>23</v>
      </c>
      <c r="I1291">
        <v>75</v>
      </c>
      <c r="J1291">
        <v>5.07</v>
      </c>
      <c r="K1291">
        <v>141</v>
      </c>
      <c r="L1291">
        <v>137</v>
      </c>
      <c r="M1291" s="175">
        <v>0.05</v>
      </c>
      <c r="N1291" t="s">
        <v>3344</v>
      </c>
    </row>
    <row r="1292" spans="1:14">
      <c r="A1292">
        <v>4164</v>
      </c>
      <c r="B1292" t="s">
        <v>1128</v>
      </c>
      <c r="C1292">
        <v>26</v>
      </c>
      <c r="D1292">
        <v>25.75</v>
      </c>
      <c r="E1292" s="178">
        <v>-0.45</v>
      </c>
      <c r="F1292" s="176">
        <v>-1.72</v>
      </c>
      <c r="G1292" t="s">
        <v>5667</v>
      </c>
      <c r="H1292">
        <v>475</v>
      </c>
      <c r="I1292">
        <v>239</v>
      </c>
      <c r="J1292">
        <v>19.53</v>
      </c>
      <c r="K1292">
        <v>26.1</v>
      </c>
      <c r="L1292">
        <v>25.65</v>
      </c>
      <c r="M1292" s="175">
        <v>0.25</v>
      </c>
      <c r="N1292" t="s">
        <v>3893</v>
      </c>
    </row>
    <row r="1293" spans="1:14">
      <c r="A1293">
        <v>4166</v>
      </c>
      <c r="B1293" t="s">
        <v>4591</v>
      </c>
      <c r="C1293">
        <v>24.8</v>
      </c>
      <c r="D1293">
        <v>24.75</v>
      </c>
      <c r="E1293" s="178">
        <v>0.05</v>
      </c>
      <c r="F1293" s="176">
        <v>0.2</v>
      </c>
      <c r="G1293" t="s">
        <v>6473</v>
      </c>
      <c r="H1293">
        <v>133</v>
      </c>
      <c r="I1293">
        <v>64</v>
      </c>
      <c r="J1293">
        <v>24.3</v>
      </c>
      <c r="K1293">
        <v>25.2</v>
      </c>
      <c r="L1293">
        <v>24.6</v>
      </c>
      <c r="M1293" s="175">
        <v>0.05</v>
      </c>
      <c r="N1293" t="s">
        <v>4592</v>
      </c>
    </row>
    <row r="1294" spans="1:14">
      <c r="A1294">
        <v>4167</v>
      </c>
      <c r="B1294" t="s">
        <v>1129</v>
      </c>
      <c r="C1294">
        <v>20.100000000000001</v>
      </c>
      <c r="D1294">
        <v>19.75</v>
      </c>
      <c r="E1294" s="178">
        <v>-0.25</v>
      </c>
      <c r="F1294" s="176">
        <v>-1.25</v>
      </c>
      <c r="G1294" t="s">
        <v>6474</v>
      </c>
      <c r="H1294">
        <v>969</v>
      </c>
      <c r="I1294">
        <v>768</v>
      </c>
      <c r="J1294">
        <v>33.159999999999997</v>
      </c>
      <c r="K1294">
        <v>20.100000000000001</v>
      </c>
      <c r="L1294">
        <v>19.600000000000001</v>
      </c>
      <c r="M1294" s="175">
        <v>0.28999999999999998</v>
      </c>
      <c r="N1294" t="s">
        <v>3245</v>
      </c>
    </row>
    <row r="1295" spans="1:14">
      <c r="A1295">
        <v>4168</v>
      </c>
      <c r="B1295" t="s">
        <v>1130</v>
      </c>
      <c r="C1295">
        <v>22.4</v>
      </c>
      <c r="D1295">
        <v>22.55</v>
      </c>
      <c r="E1295" s="178">
        <v>-0.05</v>
      </c>
      <c r="F1295" s="176">
        <v>-0.22</v>
      </c>
      <c r="G1295" t="s">
        <v>5707</v>
      </c>
      <c r="H1295">
        <v>34</v>
      </c>
      <c r="I1295">
        <v>71</v>
      </c>
      <c r="J1295">
        <v>11.25</v>
      </c>
      <c r="K1295">
        <v>22.55</v>
      </c>
      <c r="L1295">
        <v>22.25</v>
      </c>
      <c r="M1295" s="175">
        <v>0.03</v>
      </c>
      <c r="N1295" t="s">
        <v>4375</v>
      </c>
    </row>
    <row r="1296" spans="1:14">
      <c r="A1296">
        <v>4169</v>
      </c>
      <c r="B1296" t="s">
        <v>4961</v>
      </c>
      <c r="C1296">
        <v>152.5</v>
      </c>
      <c r="D1296">
        <v>152</v>
      </c>
      <c r="E1296" s="178">
        <v>-2</v>
      </c>
      <c r="F1296" s="176">
        <v>-1.3</v>
      </c>
      <c r="G1296" t="s">
        <v>6475</v>
      </c>
      <c r="H1296">
        <v>83</v>
      </c>
      <c r="I1296">
        <v>82</v>
      </c>
      <c r="J1296">
        <v>6.64</v>
      </c>
      <c r="K1296">
        <v>155.5</v>
      </c>
      <c r="L1296">
        <v>152</v>
      </c>
      <c r="M1296" s="175">
        <v>0.12</v>
      </c>
      <c r="N1296" t="s">
        <v>4962</v>
      </c>
    </row>
    <row r="1297" spans="1:14">
      <c r="A1297">
        <v>4171</v>
      </c>
      <c r="B1297" t="s">
        <v>1131</v>
      </c>
      <c r="C1297">
        <v>17.05</v>
      </c>
      <c r="D1297">
        <v>17.149999999999999</v>
      </c>
      <c r="E1297" s="178">
        <v>0</v>
      </c>
      <c r="F1297" s="176">
        <v>0</v>
      </c>
      <c r="G1297" t="s">
        <v>6476</v>
      </c>
      <c r="H1297">
        <v>28</v>
      </c>
      <c r="I1297">
        <v>61</v>
      </c>
      <c r="J1297">
        <v>5.81</v>
      </c>
      <c r="K1297">
        <v>17.149999999999999</v>
      </c>
      <c r="L1297">
        <v>17</v>
      </c>
      <c r="M1297" s="175">
        <v>0.05</v>
      </c>
      <c r="N1297" t="s">
        <v>3246</v>
      </c>
    </row>
    <row r="1298" spans="1:14">
      <c r="A1298">
        <v>4173</v>
      </c>
      <c r="B1298" t="s">
        <v>1132</v>
      </c>
      <c r="C1298">
        <v>17.399999999999999</v>
      </c>
      <c r="D1298">
        <v>17.3</v>
      </c>
      <c r="E1298" s="178">
        <v>-0.1</v>
      </c>
      <c r="F1298" s="176">
        <v>-0.56999999999999995</v>
      </c>
      <c r="G1298" t="s">
        <v>6477</v>
      </c>
      <c r="H1298">
        <v>57</v>
      </c>
      <c r="I1298">
        <v>37</v>
      </c>
      <c r="J1298">
        <v>7.46</v>
      </c>
      <c r="K1298">
        <v>17.399999999999999</v>
      </c>
      <c r="L1298">
        <v>17.2</v>
      </c>
      <c r="M1298" s="175">
        <v>0.08</v>
      </c>
      <c r="N1298" t="s">
        <v>1781</v>
      </c>
    </row>
    <row r="1299" spans="1:14">
      <c r="A1299">
        <v>4174</v>
      </c>
      <c r="B1299" t="s">
        <v>4884</v>
      </c>
      <c r="C1299">
        <v>26.05</v>
      </c>
      <c r="D1299">
        <v>25.4</v>
      </c>
      <c r="E1299" s="178">
        <v>-0.75</v>
      </c>
      <c r="F1299" s="176">
        <v>-2.87</v>
      </c>
      <c r="G1299" t="s">
        <v>6478</v>
      </c>
      <c r="H1299">
        <v>451</v>
      </c>
      <c r="I1299">
        <v>212</v>
      </c>
      <c r="J1299">
        <v>13.16</v>
      </c>
      <c r="K1299">
        <v>26.05</v>
      </c>
      <c r="L1299">
        <v>25.35</v>
      </c>
      <c r="M1299" s="175">
        <v>0.34</v>
      </c>
      <c r="N1299" t="s">
        <v>4885</v>
      </c>
    </row>
    <row r="1300" spans="1:14">
      <c r="A1300">
        <v>4175</v>
      </c>
      <c r="B1300" t="s">
        <v>1133</v>
      </c>
      <c r="C1300">
        <v>51.5</v>
      </c>
      <c r="D1300">
        <v>51.1</v>
      </c>
      <c r="E1300" s="178">
        <v>-0.5</v>
      </c>
      <c r="F1300" s="176">
        <v>-0.97</v>
      </c>
      <c r="G1300" t="s">
        <v>5684</v>
      </c>
      <c r="H1300">
        <v>7</v>
      </c>
      <c r="I1300">
        <v>10</v>
      </c>
      <c r="J1300">
        <v>4.2300000000000004</v>
      </c>
      <c r="K1300">
        <v>51.5</v>
      </c>
      <c r="L1300">
        <v>50.7</v>
      </c>
      <c r="M1300" s="175">
        <v>0.02</v>
      </c>
      <c r="N1300" t="s">
        <v>4424</v>
      </c>
    </row>
    <row r="1301" spans="1:14">
      <c r="A1301">
        <v>4178</v>
      </c>
      <c r="B1301" t="s">
        <v>5078</v>
      </c>
      <c r="C1301">
        <v>17.2</v>
      </c>
      <c r="D1301">
        <v>17.2</v>
      </c>
      <c r="E1301" s="178">
        <v>0.05</v>
      </c>
      <c r="F1301" s="176">
        <v>0.28999999999999998</v>
      </c>
      <c r="G1301" t="s">
        <v>6479</v>
      </c>
      <c r="H1301">
        <v>118</v>
      </c>
      <c r="I1301">
        <v>78</v>
      </c>
      <c r="J1301">
        <v>21.59</v>
      </c>
      <c r="K1301">
        <v>17.2</v>
      </c>
      <c r="L1301">
        <v>17</v>
      </c>
      <c r="M1301" s="175">
        <v>0.05</v>
      </c>
      <c r="N1301" t="s">
        <v>5079</v>
      </c>
    </row>
    <row r="1302" spans="1:14">
      <c r="A1302">
        <v>4183</v>
      </c>
      <c r="B1302" t="s">
        <v>1134</v>
      </c>
      <c r="C1302" t="s">
        <v>1667</v>
      </c>
      <c r="D1302" t="s">
        <v>1667</v>
      </c>
      <c r="E1302" s="178" t="s">
        <v>1667</v>
      </c>
      <c r="F1302" s="176" t="s">
        <v>1667</v>
      </c>
      <c r="G1302" t="s">
        <v>1667</v>
      </c>
      <c r="H1302">
        <v>0</v>
      </c>
      <c r="I1302">
        <v>4</v>
      </c>
      <c r="J1302">
        <v>2.38</v>
      </c>
      <c r="K1302" t="s">
        <v>1667</v>
      </c>
      <c r="L1302" t="s">
        <v>1667</v>
      </c>
      <c r="M1302" s="175">
        <v>0</v>
      </c>
      <c r="N1302" t="s">
        <v>1782</v>
      </c>
    </row>
    <row r="1303" spans="1:14">
      <c r="A1303">
        <v>4188</v>
      </c>
      <c r="B1303" t="s">
        <v>1135</v>
      </c>
      <c r="C1303">
        <v>14.6</v>
      </c>
      <c r="D1303">
        <v>14.85</v>
      </c>
      <c r="E1303" s="178">
        <v>-1.3</v>
      </c>
      <c r="F1303" s="176">
        <v>-8.0500000000000007</v>
      </c>
      <c r="G1303" t="s">
        <v>6480</v>
      </c>
      <c r="H1303">
        <v>664</v>
      </c>
      <c r="I1303">
        <v>850</v>
      </c>
      <c r="J1303">
        <v>6.33</v>
      </c>
      <c r="K1303">
        <v>15.2</v>
      </c>
      <c r="L1303">
        <v>14.55</v>
      </c>
      <c r="M1303" s="175">
        <v>1.05</v>
      </c>
      <c r="N1303" t="s">
        <v>4204</v>
      </c>
    </row>
    <row r="1304" spans="1:14">
      <c r="A1304">
        <v>4190</v>
      </c>
      <c r="B1304" t="s">
        <v>1136</v>
      </c>
      <c r="C1304">
        <v>25.15</v>
      </c>
      <c r="D1304">
        <v>25.95</v>
      </c>
      <c r="E1304" s="178">
        <v>0</v>
      </c>
      <c r="F1304" s="176">
        <v>0</v>
      </c>
      <c r="G1304" t="s">
        <v>6481</v>
      </c>
      <c r="H1304">
        <v>21</v>
      </c>
      <c r="I1304">
        <v>11</v>
      </c>
      <c r="J1304">
        <v>6.13</v>
      </c>
      <c r="K1304">
        <v>26.3</v>
      </c>
      <c r="L1304">
        <v>25.15</v>
      </c>
      <c r="M1304" s="175">
        <v>0.03</v>
      </c>
      <c r="N1304" t="s">
        <v>4205</v>
      </c>
    </row>
    <row r="1305" spans="1:14">
      <c r="A1305">
        <v>4192</v>
      </c>
      <c r="B1305" t="s">
        <v>1137</v>
      </c>
      <c r="C1305">
        <v>19.05</v>
      </c>
      <c r="D1305">
        <v>19.05</v>
      </c>
      <c r="E1305" s="178">
        <v>0</v>
      </c>
      <c r="F1305" s="176">
        <v>0</v>
      </c>
      <c r="G1305" t="s">
        <v>6482</v>
      </c>
      <c r="H1305">
        <v>3</v>
      </c>
      <c r="I1305">
        <v>17</v>
      </c>
      <c r="J1305">
        <v>3.52</v>
      </c>
      <c r="K1305">
        <v>19.05</v>
      </c>
      <c r="L1305">
        <v>19.05</v>
      </c>
      <c r="M1305" s="175">
        <v>0.01</v>
      </c>
      <c r="N1305" t="s">
        <v>3580</v>
      </c>
    </row>
    <row r="1306" spans="1:14">
      <c r="A1306">
        <v>4198</v>
      </c>
      <c r="B1306" t="s">
        <v>2141</v>
      </c>
      <c r="C1306">
        <v>42</v>
      </c>
      <c r="D1306">
        <v>44</v>
      </c>
      <c r="E1306" s="178">
        <v>0</v>
      </c>
      <c r="F1306" s="176">
        <v>0</v>
      </c>
      <c r="G1306" t="s">
        <v>6483</v>
      </c>
      <c r="H1306">
        <v>8</v>
      </c>
      <c r="I1306">
        <v>11</v>
      </c>
      <c r="J1306">
        <v>2.41</v>
      </c>
      <c r="K1306">
        <v>44</v>
      </c>
      <c r="L1306">
        <v>42</v>
      </c>
      <c r="M1306" s="175">
        <v>0.03</v>
      </c>
      <c r="N1306" t="s">
        <v>2142</v>
      </c>
    </row>
    <row r="1307" spans="1:14">
      <c r="A1307">
        <v>4205</v>
      </c>
      <c r="B1307" t="s">
        <v>1138</v>
      </c>
      <c r="C1307">
        <v>69.400000000000006</v>
      </c>
      <c r="D1307">
        <v>69.7</v>
      </c>
      <c r="E1307" s="178">
        <v>0.4</v>
      </c>
      <c r="F1307" s="176">
        <v>0.57999999999999996</v>
      </c>
      <c r="G1307" t="s">
        <v>6484</v>
      </c>
      <c r="H1307">
        <v>14</v>
      </c>
      <c r="I1307">
        <v>20</v>
      </c>
      <c r="J1307">
        <v>9.76</v>
      </c>
      <c r="K1307">
        <v>70</v>
      </c>
      <c r="L1307">
        <v>69.3</v>
      </c>
      <c r="M1307" s="175">
        <v>0.01</v>
      </c>
      <c r="N1307" t="s">
        <v>3247</v>
      </c>
    </row>
    <row r="1308" spans="1:14">
      <c r="A1308">
        <v>4207</v>
      </c>
      <c r="B1308" t="s">
        <v>1139</v>
      </c>
      <c r="C1308">
        <v>20.3</v>
      </c>
      <c r="D1308">
        <v>20.8</v>
      </c>
      <c r="E1308" s="178">
        <v>0.25</v>
      </c>
      <c r="F1308" s="176">
        <v>1.22</v>
      </c>
      <c r="G1308" t="s">
        <v>6485</v>
      </c>
      <c r="H1308">
        <v>41</v>
      </c>
      <c r="I1308">
        <v>62</v>
      </c>
      <c r="J1308">
        <v>19.850000000000001</v>
      </c>
      <c r="K1308">
        <v>20.8</v>
      </c>
      <c r="L1308">
        <v>20.3</v>
      </c>
      <c r="M1308" s="175">
        <v>0.02</v>
      </c>
      <c r="N1308" t="s">
        <v>1783</v>
      </c>
    </row>
    <row r="1309" spans="1:14">
      <c r="A1309">
        <v>4303</v>
      </c>
      <c r="B1309" t="s">
        <v>1140</v>
      </c>
      <c r="C1309">
        <v>38.5</v>
      </c>
      <c r="D1309">
        <v>38.15</v>
      </c>
      <c r="E1309" s="178">
        <v>-0.85</v>
      </c>
      <c r="F1309" s="176">
        <v>-2.1800000000000002</v>
      </c>
      <c r="G1309" t="s">
        <v>6486</v>
      </c>
      <c r="H1309">
        <v>1531</v>
      </c>
      <c r="I1309">
        <v>3737</v>
      </c>
      <c r="J1309">
        <v>13.24</v>
      </c>
      <c r="K1309">
        <v>38.5</v>
      </c>
      <c r="L1309">
        <v>37.200000000000003</v>
      </c>
      <c r="M1309" s="175">
        <v>1.1599999999999999</v>
      </c>
      <c r="N1309" t="s">
        <v>3715</v>
      </c>
    </row>
    <row r="1310" spans="1:14">
      <c r="A1310">
        <v>4304</v>
      </c>
      <c r="B1310" t="s">
        <v>1141</v>
      </c>
      <c r="C1310">
        <v>22.55</v>
      </c>
      <c r="D1310">
        <v>25.3</v>
      </c>
      <c r="E1310" s="178">
        <v>0.7</v>
      </c>
      <c r="F1310" s="176">
        <v>2.85</v>
      </c>
      <c r="G1310" t="s">
        <v>6487</v>
      </c>
      <c r="H1310">
        <v>98</v>
      </c>
      <c r="I1310">
        <v>130</v>
      </c>
      <c r="J1310">
        <v>6.1</v>
      </c>
      <c r="K1310">
        <v>26</v>
      </c>
      <c r="L1310">
        <v>22.55</v>
      </c>
      <c r="M1310" s="175">
        <v>0.16</v>
      </c>
      <c r="N1310" t="s">
        <v>3440</v>
      </c>
    </row>
    <row r="1311" spans="1:14">
      <c r="A1311">
        <v>4305</v>
      </c>
      <c r="B1311" t="s">
        <v>1142</v>
      </c>
      <c r="C1311">
        <v>43.95</v>
      </c>
      <c r="D1311">
        <v>43.95</v>
      </c>
      <c r="E1311" s="178">
        <v>0.8</v>
      </c>
      <c r="F1311" s="176">
        <v>1.85</v>
      </c>
      <c r="G1311" t="s">
        <v>6488</v>
      </c>
      <c r="H1311">
        <v>1</v>
      </c>
      <c r="I1311">
        <v>0</v>
      </c>
      <c r="J1311">
        <v>5.5</v>
      </c>
      <c r="K1311">
        <v>43.95</v>
      </c>
      <c r="L1311">
        <v>43.95</v>
      </c>
      <c r="M1311" s="175">
        <v>0</v>
      </c>
      <c r="N1311" t="s">
        <v>1784</v>
      </c>
    </row>
    <row r="1312" spans="1:14">
      <c r="A1312">
        <v>4306</v>
      </c>
      <c r="B1312" t="s">
        <v>1143</v>
      </c>
      <c r="C1312">
        <v>15.1</v>
      </c>
      <c r="D1312">
        <v>15.05</v>
      </c>
      <c r="E1312" s="178">
        <v>0</v>
      </c>
      <c r="F1312" s="176">
        <v>0</v>
      </c>
      <c r="G1312" t="s">
        <v>6489</v>
      </c>
      <c r="H1312">
        <v>739</v>
      </c>
      <c r="I1312">
        <v>630</v>
      </c>
      <c r="J1312">
        <v>67.680000000000007</v>
      </c>
      <c r="K1312">
        <v>15.2</v>
      </c>
      <c r="L1312">
        <v>14.95</v>
      </c>
      <c r="M1312" s="175">
        <v>0.11</v>
      </c>
      <c r="N1312" t="s">
        <v>4376</v>
      </c>
    </row>
    <row r="1313" spans="1:14">
      <c r="A1313">
        <v>4401</v>
      </c>
      <c r="B1313" t="s">
        <v>1144</v>
      </c>
      <c r="C1313">
        <v>13.75</v>
      </c>
      <c r="D1313">
        <v>13.95</v>
      </c>
      <c r="E1313" s="178">
        <v>0.05</v>
      </c>
      <c r="F1313" s="176">
        <v>0.36</v>
      </c>
      <c r="G1313" t="s">
        <v>6490</v>
      </c>
      <c r="H1313">
        <v>31</v>
      </c>
      <c r="I1313">
        <v>38</v>
      </c>
      <c r="J1313">
        <v>12.27</v>
      </c>
      <c r="K1313">
        <v>13.95</v>
      </c>
      <c r="L1313">
        <v>13.75</v>
      </c>
      <c r="M1313" s="175">
        <v>0.03</v>
      </c>
      <c r="N1313" t="s">
        <v>3248</v>
      </c>
    </row>
    <row r="1314" spans="1:14">
      <c r="A1314">
        <v>4402</v>
      </c>
      <c r="B1314" t="s">
        <v>4039</v>
      </c>
      <c r="C1314">
        <v>14.7</v>
      </c>
      <c r="D1314">
        <v>14.95</v>
      </c>
      <c r="E1314" s="178">
        <v>0.45</v>
      </c>
      <c r="F1314" s="176">
        <v>3.1</v>
      </c>
      <c r="G1314" t="s">
        <v>6491</v>
      </c>
      <c r="H1314">
        <v>2</v>
      </c>
      <c r="I1314">
        <v>10</v>
      </c>
      <c r="J1314">
        <v>6.8</v>
      </c>
      <c r="K1314">
        <v>14.95</v>
      </c>
      <c r="L1314">
        <v>14.7</v>
      </c>
      <c r="M1314" s="175">
        <v>0</v>
      </c>
      <c r="N1314" t="s">
        <v>3622</v>
      </c>
    </row>
    <row r="1315" spans="1:14">
      <c r="A1315">
        <v>4406</v>
      </c>
      <c r="B1315" t="s">
        <v>1145</v>
      </c>
      <c r="C1315">
        <v>10.050000000000001</v>
      </c>
      <c r="D1315">
        <v>10.1</v>
      </c>
      <c r="E1315" s="178">
        <v>0.05</v>
      </c>
      <c r="F1315" s="176">
        <v>0.5</v>
      </c>
      <c r="G1315" t="s">
        <v>6432</v>
      </c>
      <c r="H1315">
        <v>18</v>
      </c>
      <c r="I1315">
        <v>26</v>
      </c>
      <c r="J1315">
        <v>5.19</v>
      </c>
      <c r="K1315">
        <v>10.1</v>
      </c>
      <c r="L1315">
        <v>10.050000000000001</v>
      </c>
      <c r="M1315" s="175">
        <v>0.03</v>
      </c>
      <c r="N1315" t="s">
        <v>1785</v>
      </c>
    </row>
    <row r="1316" spans="1:14">
      <c r="A1316">
        <v>4413</v>
      </c>
      <c r="B1316" t="s">
        <v>1146</v>
      </c>
      <c r="C1316">
        <v>20</v>
      </c>
      <c r="D1316">
        <v>19.899999999999999</v>
      </c>
      <c r="E1316" s="178">
        <v>0.1</v>
      </c>
      <c r="F1316" s="176">
        <v>0.51</v>
      </c>
      <c r="G1316" t="s">
        <v>6492</v>
      </c>
      <c r="H1316">
        <v>44</v>
      </c>
      <c r="I1316">
        <v>85</v>
      </c>
      <c r="J1316">
        <v>3.13</v>
      </c>
      <c r="K1316">
        <v>20.6</v>
      </c>
      <c r="L1316">
        <v>19.8</v>
      </c>
      <c r="M1316" s="175">
        <v>0.14000000000000001</v>
      </c>
      <c r="N1316" t="s">
        <v>3441</v>
      </c>
    </row>
    <row r="1317" spans="1:14">
      <c r="A1317">
        <v>4414</v>
      </c>
      <c r="B1317" t="s">
        <v>4551</v>
      </c>
      <c r="C1317">
        <v>8.35</v>
      </c>
      <c r="D1317">
        <v>8.3699999999999992</v>
      </c>
      <c r="E1317" s="178">
        <v>-0.02</v>
      </c>
      <c r="F1317" s="176">
        <v>-0.24</v>
      </c>
      <c r="G1317" t="s">
        <v>6493</v>
      </c>
      <c r="H1317">
        <v>98</v>
      </c>
      <c r="I1317">
        <v>139</v>
      </c>
      <c r="J1317">
        <v>28.83</v>
      </c>
      <c r="K1317">
        <v>8.39</v>
      </c>
      <c r="L1317">
        <v>8.33</v>
      </c>
      <c r="M1317" s="175">
        <v>0.04</v>
      </c>
      <c r="N1317" t="s">
        <v>5003</v>
      </c>
    </row>
    <row r="1318" spans="1:14">
      <c r="A1318">
        <v>4416</v>
      </c>
      <c r="B1318" t="s">
        <v>1147</v>
      </c>
      <c r="C1318">
        <v>12.65</v>
      </c>
      <c r="D1318">
        <v>12.7</v>
      </c>
      <c r="E1318" s="178">
        <v>-1.35</v>
      </c>
      <c r="F1318" s="176">
        <v>-9.61</v>
      </c>
      <c r="G1318" t="s">
        <v>6494</v>
      </c>
      <c r="H1318">
        <v>2415</v>
      </c>
      <c r="I1318">
        <v>2358</v>
      </c>
      <c r="J1318">
        <v>7.36</v>
      </c>
      <c r="K1318">
        <v>13.2</v>
      </c>
      <c r="L1318">
        <v>12.65</v>
      </c>
      <c r="M1318" s="175">
        <v>3.28</v>
      </c>
      <c r="N1318" t="s">
        <v>3442</v>
      </c>
    </row>
    <row r="1319" spans="1:14">
      <c r="A1319">
        <v>4417</v>
      </c>
      <c r="B1319" t="s">
        <v>1148</v>
      </c>
      <c r="C1319">
        <v>46.9</v>
      </c>
      <c r="D1319">
        <v>46.9</v>
      </c>
      <c r="E1319" s="178">
        <v>0.05</v>
      </c>
      <c r="F1319" s="176">
        <v>0.11</v>
      </c>
      <c r="G1319" t="s">
        <v>5246</v>
      </c>
      <c r="H1319">
        <v>36</v>
      </c>
      <c r="I1319">
        <v>25</v>
      </c>
      <c r="J1319">
        <v>8.4</v>
      </c>
      <c r="K1319">
        <v>46.9</v>
      </c>
      <c r="L1319">
        <v>46.85</v>
      </c>
      <c r="M1319" s="175">
        <v>0.04</v>
      </c>
      <c r="N1319" t="s">
        <v>3623</v>
      </c>
    </row>
    <row r="1320" spans="1:14">
      <c r="A1320">
        <v>4419</v>
      </c>
      <c r="B1320" t="s">
        <v>3912</v>
      </c>
      <c r="C1320">
        <v>46.1</v>
      </c>
      <c r="D1320">
        <v>45.7</v>
      </c>
      <c r="E1320" s="178">
        <v>-0.4</v>
      </c>
      <c r="F1320" s="176">
        <v>-0.87</v>
      </c>
      <c r="G1320" t="s">
        <v>5302</v>
      </c>
      <c r="H1320">
        <v>41</v>
      </c>
      <c r="I1320">
        <v>11</v>
      </c>
      <c r="J1320">
        <v>16.920000000000002</v>
      </c>
      <c r="K1320">
        <v>46.1</v>
      </c>
      <c r="L1320">
        <v>45.65</v>
      </c>
      <c r="M1320" s="175">
        <v>0.02</v>
      </c>
      <c r="N1320" t="s">
        <v>4502</v>
      </c>
    </row>
    <row r="1321" spans="1:14">
      <c r="A1321">
        <v>4420</v>
      </c>
      <c r="B1321" t="s">
        <v>1149</v>
      </c>
      <c r="C1321">
        <v>36.700000000000003</v>
      </c>
      <c r="D1321">
        <v>36.9</v>
      </c>
      <c r="E1321" s="178">
        <v>0.1</v>
      </c>
      <c r="F1321" s="176">
        <v>0.27</v>
      </c>
      <c r="G1321" t="s">
        <v>6495</v>
      </c>
      <c r="H1321">
        <v>9</v>
      </c>
      <c r="I1321">
        <v>10</v>
      </c>
      <c r="J1321">
        <v>4.05</v>
      </c>
      <c r="K1321">
        <v>36.9</v>
      </c>
      <c r="L1321">
        <v>36.6</v>
      </c>
      <c r="M1321" s="175">
        <v>0.02</v>
      </c>
      <c r="N1321" t="s">
        <v>3983</v>
      </c>
    </row>
    <row r="1322" spans="1:14">
      <c r="A1322">
        <v>4426</v>
      </c>
      <c r="B1322" t="s">
        <v>1150</v>
      </c>
      <c r="C1322">
        <v>7.67</v>
      </c>
      <c r="D1322">
        <v>7.59</v>
      </c>
      <c r="E1322" s="178">
        <v>-0.13</v>
      </c>
      <c r="F1322" s="176">
        <v>-1.68</v>
      </c>
      <c r="G1322" t="s">
        <v>6456</v>
      </c>
      <c r="H1322">
        <v>115</v>
      </c>
      <c r="I1322">
        <v>97</v>
      </c>
      <c r="J1322">
        <v>17.27</v>
      </c>
      <c r="K1322">
        <v>7.67</v>
      </c>
      <c r="L1322">
        <v>7.58</v>
      </c>
      <c r="M1322" s="175">
        <v>7.0000000000000007E-2</v>
      </c>
      <c r="N1322" t="s">
        <v>1786</v>
      </c>
    </row>
    <row r="1323" spans="1:14">
      <c r="A1323">
        <v>4430</v>
      </c>
      <c r="B1323" t="s">
        <v>1151</v>
      </c>
      <c r="C1323">
        <v>17.850000000000001</v>
      </c>
      <c r="D1323">
        <v>17.850000000000001</v>
      </c>
      <c r="E1323" s="178">
        <v>-0.1</v>
      </c>
      <c r="F1323" s="176">
        <v>-0.56000000000000005</v>
      </c>
      <c r="G1323" t="s">
        <v>6496</v>
      </c>
      <c r="H1323">
        <v>1</v>
      </c>
      <c r="I1323">
        <v>43</v>
      </c>
      <c r="J1323">
        <v>5.63</v>
      </c>
      <c r="K1323">
        <v>17.850000000000001</v>
      </c>
      <c r="L1323">
        <v>17.850000000000001</v>
      </c>
      <c r="M1323" s="175">
        <v>0</v>
      </c>
      <c r="N1323" t="s">
        <v>1787</v>
      </c>
    </row>
    <row r="1324" spans="1:14">
      <c r="A1324">
        <v>4432</v>
      </c>
      <c r="B1324" t="s">
        <v>1152</v>
      </c>
      <c r="C1324">
        <v>15.75</v>
      </c>
      <c r="D1324">
        <v>15.75</v>
      </c>
      <c r="E1324" s="178">
        <v>0.05</v>
      </c>
      <c r="F1324" s="176">
        <v>0.32</v>
      </c>
      <c r="G1324" t="s">
        <v>5528</v>
      </c>
      <c r="H1324">
        <v>11</v>
      </c>
      <c r="I1324">
        <v>20</v>
      </c>
      <c r="J1324">
        <v>5.0599999999999996</v>
      </c>
      <c r="K1324">
        <v>15.75</v>
      </c>
      <c r="L1324">
        <v>15.65</v>
      </c>
      <c r="M1324" s="175">
        <v>0.02</v>
      </c>
      <c r="N1324" t="s">
        <v>1788</v>
      </c>
    </row>
    <row r="1325" spans="1:14">
      <c r="A1325">
        <v>4433</v>
      </c>
      <c r="B1325" t="s">
        <v>1153</v>
      </c>
      <c r="C1325">
        <v>18.7</v>
      </c>
      <c r="D1325">
        <v>18.95</v>
      </c>
      <c r="E1325" s="178">
        <v>-0.05</v>
      </c>
      <c r="F1325" s="176">
        <v>-0.26</v>
      </c>
      <c r="G1325" t="s">
        <v>6497</v>
      </c>
      <c r="H1325">
        <v>30</v>
      </c>
      <c r="I1325">
        <v>40</v>
      </c>
      <c r="J1325">
        <v>6.13</v>
      </c>
      <c r="K1325">
        <v>19</v>
      </c>
      <c r="L1325">
        <v>18.600000000000001</v>
      </c>
      <c r="M1325" s="175">
        <v>0.05</v>
      </c>
      <c r="N1325" t="s">
        <v>1789</v>
      </c>
    </row>
    <row r="1326" spans="1:14">
      <c r="A1326">
        <v>4438</v>
      </c>
      <c r="B1326" t="s">
        <v>1154</v>
      </c>
      <c r="C1326">
        <v>59.8</v>
      </c>
      <c r="D1326">
        <v>59.3</v>
      </c>
      <c r="E1326" s="178">
        <v>-0.6</v>
      </c>
      <c r="F1326" s="176">
        <v>-1</v>
      </c>
      <c r="G1326" t="s">
        <v>5759</v>
      </c>
      <c r="H1326">
        <v>191</v>
      </c>
      <c r="I1326">
        <v>66</v>
      </c>
      <c r="J1326">
        <v>11.34</v>
      </c>
      <c r="K1326">
        <v>60.3</v>
      </c>
      <c r="L1326">
        <v>58.8</v>
      </c>
      <c r="M1326" s="175">
        <v>0.17</v>
      </c>
      <c r="N1326" t="s">
        <v>3249</v>
      </c>
    </row>
    <row r="1327" spans="1:14">
      <c r="A1327">
        <v>4439</v>
      </c>
      <c r="B1327" t="s">
        <v>1155</v>
      </c>
      <c r="C1327">
        <v>97</v>
      </c>
      <c r="D1327">
        <v>99</v>
      </c>
      <c r="E1327" s="178">
        <v>0.4</v>
      </c>
      <c r="F1327" s="176">
        <v>0.41</v>
      </c>
      <c r="G1327" t="s">
        <v>5558</v>
      </c>
      <c r="H1327">
        <v>24</v>
      </c>
      <c r="I1327">
        <v>16</v>
      </c>
      <c r="J1327">
        <v>3.81</v>
      </c>
      <c r="K1327">
        <v>99</v>
      </c>
      <c r="L1327">
        <v>96.3</v>
      </c>
      <c r="M1327" s="175">
        <v>0.06</v>
      </c>
      <c r="N1327" t="s">
        <v>1790</v>
      </c>
    </row>
    <row r="1328" spans="1:14">
      <c r="A1328">
        <v>4440</v>
      </c>
      <c r="B1328" t="s">
        <v>2010</v>
      </c>
      <c r="C1328">
        <v>17.600000000000001</v>
      </c>
      <c r="D1328">
        <v>17.5</v>
      </c>
      <c r="E1328" s="178">
        <v>-0.2</v>
      </c>
      <c r="F1328" s="176">
        <v>-1.1299999999999999</v>
      </c>
      <c r="G1328" t="s">
        <v>6020</v>
      </c>
      <c r="H1328">
        <v>122</v>
      </c>
      <c r="I1328">
        <v>32</v>
      </c>
      <c r="J1328">
        <v>6.76</v>
      </c>
      <c r="K1328">
        <v>17.600000000000001</v>
      </c>
      <c r="L1328">
        <v>17.350000000000001</v>
      </c>
      <c r="M1328" s="175">
        <v>0.18</v>
      </c>
      <c r="N1328" t="s">
        <v>2011</v>
      </c>
    </row>
    <row r="1329" spans="1:14">
      <c r="A1329">
        <v>4441</v>
      </c>
      <c r="B1329" t="s">
        <v>4609</v>
      </c>
      <c r="C1329">
        <v>176</v>
      </c>
      <c r="D1329">
        <v>171.5</v>
      </c>
      <c r="E1329" s="178">
        <v>-4.5</v>
      </c>
      <c r="F1329" s="176">
        <v>-2.56</v>
      </c>
      <c r="G1329" t="s">
        <v>6498</v>
      </c>
      <c r="H1329">
        <v>100</v>
      </c>
      <c r="I1329">
        <v>57</v>
      </c>
      <c r="J1329">
        <v>6.82</v>
      </c>
      <c r="K1329">
        <v>176</v>
      </c>
      <c r="L1329">
        <v>170</v>
      </c>
      <c r="M1329" s="175">
        <v>0.15</v>
      </c>
      <c r="N1329" t="s">
        <v>4610</v>
      </c>
    </row>
    <row r="1330" spans="1:14">
      <c r="A1330">
        <v>4442</v>
      </c>
      <c r="B1330" t="s">
        <v>3120</v>
      </c>
      <c r="C1330">
        <v>51.4</v>
      </c>
      <c r="D1330">
        <v>50.7</v>
      </c>
      <c r="E1330" s="178">
        <v>-0.7</v>
      </c>
      <c r="F1330" s="176">
        <v>-1.36</v>
      </c>
      <c r="G1330" t="s">
        <v>5243</v>
      </c>
      <c r="H1330">
        <v>23</v>
      </c>
      <c r="I1330">
        <v>41</v>
      </c>
      <c r="J1330">
        <v>3.27</v>
      </c>
      <c r="K1330">
        <v>51.4</v>
      </c>
      <c r="L1330">
        <v>50.7</v>
      </c>
      <c r="M1330" s="175">
        <v>7.0000000000000007E-2</v>
      </c>
      <c r="N1330" t="s">
        <v>3177</v>
      </c>
    </row>
    <row r="1331" spans="1:14">
      <c r="A1331">
        <v>4502</v>
      </c>
      <c r="B1331" t="s">
        <v>1156</v>
      </c>
      <c r="C1331">
        <v>15.6</v>
      </c>
      <c r="D1331">
        <v>15.7</v>
      </c>
      <c r="E1331" s="178">
        <v>0.05</v>
      </c>
      <c r="F1331" s="176">
        <v>0.32</v>
      </c>
      <c r="G1331" t="s">
        <v>6499</v>
      </c>
      <c r="H1331">
        <v>19</v>
      </c>
      <c r="I1331">
        <v>21</v>
      </c>
      <c r="J1331">
        <v>5.67</v>
      </c>
      <c r="K1331">
        <v>15.7</v>
      </c>
      <c r="L1331">
        <v>15.5</v>
      </c>
      <c r="M1331" s="175">
        <v>0.03</v>
      </c>
      <c r="N1331" t="s">
        <v>3581</v>
      </c>
    </row>
    <row r="1332" spans="1:14">
      <c r="A1332">
        <v>4503</v>
      </c>
      <c r="B1332" t="s">
        <v>1157</v>
      </c>
      <c r="C1332">
        <v>25.3</v>
      </c>
      <c r="D1332">
        <v>24.9</v>
      </c>
      <c r="E1332" s="178">
        <v>-0.55000000000000004</v>
      </c>
      <c r="F1332" s="176">
        <v>-2.16</v>
      </c>
      <c r="G1332" t="s">
        <v>5830</v>
      </c>
      <c r="H1332">
        <v>180</v>
      </c>
      <c r="I1332">
        <v>269</v>
      </c>
      <c r="J1332">
        <v>7.83</v>
      </c>
      <c r="K1332">
        <v>25.3</v>
      </c>
      <c r="L1332">
        <v>24.6</v>
      </c>
      <c r="M1332" s="175">
        <v>0.23</v>
      </c>
      <c r="N1332" t="s">
        <v>3913</v>
      </c>
    </row>
    <row r="1333" spans="1:14">
      <c r="A1333">
        <v>4506</v>
      </c>
      <c r="B1333" t="s">
        <v>1158</v>
      </c>
      <c r="C1333">
        <v>121.5</v>
      </c>
      <c r="D1333">
        <v>121.5</v>
      </c>
      <c r="E1333" s="178">
        <v>0</v>
      </c>
      <c r="F1333" s="176">
        <v>0</v>
      </c>
      <c r="G1333" t="s">
        <v>5310</v>
      </c>
      <c r="H1333">
        <v>21</v>
      </c>
      <c r="I1333">
        <v>48</v>
      </c>
      <c r="J1333">
        <v>17.7</v>
      </c>
      <c r="K1333">
        <v>122.5</v>
      </c>
      <c r="L1333">
        <v>121</v>
      </c>
      <c r="M1333" s="175">
        <v>0.01</v>
      </c>
      <c r="N1333" t="s">
        <v>1791</v>
      </c>
    </row>
    <row r="1334" spans="1:14">
      <c r="A1334">
        <v>4510</v>
      </c>
      <c r="B1334" t="s">
        <v>1159</v>
      </c>
      <c r="C1334">
        <v>45.2</v>
      </c>
      <c r="D1334">
        <v>44.75</v>
      </c>
      <c r="E1334" s="178">
        <v>-1</v>
      </c>
      <c r="F1334" s="176">
        <v>-2.19</v>
      </c>
      <c r="G1334" t="s">
        <v>6500</v>
      </c>
      <c r="H1334">
        <v>1070</v>
      </c>
      <c r="I1334">
        <v>1623</v>
      </c>
      <c r="J1334">
        <v>10.9</v>
      </c>
      <c r="K1334">
        <v>46.35</v>
      </c>
      <c r="L1334">
        <v>44.55</v>
      </c>
      <c r="M1334" s="175">
        <v>0.98</v>
      </c>
      <c r="N1334" t="s">
        <v>1792</v>
      </c>
    </row>
    <row r="1335" spans="1:14">
      <c r="A1335">
        <v>4513</v>
      </c>
      <c r="B1335" t="s">
        <v>1160</v>
      </c>
      <c r="C1335">
        <v>16.399999999999999</v>
      </c>
      <c r="D1335">
        <v>16.149999999999999</v>
      </c>
      <c r="E1335" s="178">
        <v>-0.25</v>
      </c>
      <c r="F1335" s="176">
        <v>-1.52</v>
      </c>
      <c r="G1335" t="s">
        <v>6501</v>
      </c>
      <c r="H1335">
        <v>243</v>
      </c>
      <c r="I1335">
        <v>275</v>
      </c>
      <c r="J1335">
        <v>14.38</v>
      </c>
      <c r="K1335">
        <v>16.45</v>
      </c>
      <c r="L1335">
        <v>16.100000000000001</v>
      </c>
      <c r="M1335" s="175">
        <v>0.17</v>
      </c>
      <c r="N1335" t="s">
        <v>4748</v>
      </c>
    </row>
    <row r="1336" spans="1:14">
      <c r="A1336">
        <v>4523</v>
      </c>
      <c r="B1336" t="s">
        <v>1161</v>
      </c>
      <c r="C1336">
        <v>23.9</v>
      </c>
      <c r="D1336">
        <v>23.8</v>
      </c>
      <c r="E1336" s="178">
        <v>-0.25</v>
      </c>
      <c r="F1336" s="176">
        <v>-1.04</v>
      </c>
      <c r="G1336" t="s">
        <v>5274</v>
      </c>
      <c r="H1336">
        <v>53</v>
      </c>
      <c r="I1336">
        <v>46</v>
      </c>
      <c r="J1336">
        <v>6.49</v>
      </c>
      <c r="K1336">
        <v>23.9</v>
      </c>
      <c r="L1336">
        <v>23.4</v>
      </c>
      <c r="M1336" s="175">
        <v>0.08</v>
      </c>
      <c r="N1336" t="s">
        <v>4377</v>
      </c>
    </row>
    <row r="1337" spans="1:14">
      <c r="A1337">
        <v>4526</v>
      </c>
      <c r="B1337" t="s">
        <v>1162</v>
      </c>
      <c r="C1337">
        <v>30.3</v>
      </c>
      <c r="D1337">
        <v>30.5</v>
      </c>
      <c r="E1337" s="178">
        <v>0.2</v>
      </c>
      <c r="F1337" s="176">
        <v>0.66</v>
      </c>
      <c r="G1337" t="s">
        <v>6502</v>
      </c>
      <c r="H1337">
        <v>830</v>
      </c>
      <c r="I1337">
        <v>836</v>
      </c>
      <c r="J1337">
        <v>25.48</v>
      </c>
      <c r="K1337">
        <v>30.75</v>
      </c>
      <c r="L1337">
        <v>30</v>
      </c>
      <c r="M1337" s="175">
        <v>0.33</v>
      </c>
      <c r="N1337" t="s">
        <v>3952</v>
      </c>
    </row>
    <row r="1338" spans="1:14">
      <c r="A1338">
        <v>4527</v>
      </c>
      <c r="B1338" t="s">
        <v>1163</v>
      </c>
      <c r="C1338">
        <v>41</v>
      </c>
      <c r="D1338">
        <v>41.55</v>
      </c>
      <c r="E1338" s="178">
        <v>0.55000000000000004</v>
      </c>
      <c r="F1338" s="176">
        <v>1.34</v>
      </c>
      <c r="G1338" t="s">
        <v>5657</v>
      </c>
      <c r="H1338">
        <v>7</v>
      </c>
      <c r="I1338">
        <v>16</v>
      </c>
      <c r="J1338">
        <v>7.62</v>
      </c>
      <c r="K1338">
        <v>41.55</v>
      </c>
      <c r="L1338">
        <v>41</v>
      </c>
      <c r="M1338" s="175">
        <v>0.01</v>
      </c>
      <c r="N1338" t="s">
        <v>3954</v>
      </c>
    </row>
    <row r="1339" spans="1:14">
      <c r="A1339">
        <v>4528</v>
      </c>
      <c r="B1339" t="s">
        <v>1164</v>
      </c>
      <c r="C1339">
        <v>15.05</v>
      </c>
      <c r="D1339">
        <v>15.05</v>
      </c>
      <c r="E1339" s="178">
        <v>0.05</v>
      </c>
      <c r="F1339" s="176">
        <v>0.33</v>
      </c>
      <c r="G1339" t="s">
        <v>6503</v>
      </c>
      <c r="H1339">
        <v>6</v>
      </c>
      <c r="I1339">
        <v>18</v>
      </c>
      <c r="J1339">
        <v>8.42</v>
      </c>
      <c r="K1339">
        <v>15.3</v>
      </c>
      <c r="L1339">
        <v>15.05</v>
      </c>
      <c r="M1339" s="175">
        <v>0.01</v>
      </c>
      <c r="N1339" t="s">
        <v>1793</v>
      </c>
    </row>
    <row r="1340" spans="1:14">
      <c r="A1340">
        <v>4529</v>
      </c>
      <c r="B1340" t="s">
        <v>1165</v>
      </c>
      <c r="C1340">
        <v>4.05</v>
      </c>
      <c r="D1340">
        <v>3.83</v>
      </c>
      <c r="E1340" s="178">
        <v>0.06</v>
      </c>
      <c r="F1340" s="176">
        <v>1.59</v>
      </c>
      <c r="G1340" t="s">
        <v>6504</v>
      </c>
      <c r="H1340">
        <v>200</v>
      </c>
      <c r="I1340">
        <v>38</v>
      </c>
      <c r="J1340">
        <v>8.4499999999999993</v>
      </c>
      <c r="K1340">
        <v>4.05</v>
      </c>
      <c r="L1340">
        <v>3.77</v>
      </c>
      <c r="M1340" s="175">
        <v>0.24</v>
      </c>
      <c r="N1340" t="s">
        <v>3250</v>
      </c>
    </row>
    <row r="1341" spans="1:14">
      <c r="A1341">
        <v>4530</v>
      </c>
      <c r="B1341" t="s">
        <v>6505</v>
      </c>
      <c r="C1341">
        <v>29</v>
      </c>
      <c r="D1341">
        <v>29</v>
      </c>
      <c r="E1341" s="178">
        <v>-0.9</v>
      </c>
      <c r="F1341" s="176">
        <v>-3.01</v>
      </c>
      <c r="G1341" t="s">
        <v>6506</v>
      </c>
      <c r="H1341">
        <v>1</v>
      </c>
      <c r="I1341">
        <v>48</v>
      </c>
      <c r="J1341">
        <v>3.58</v>
      </c>
      <c r="K1341">
        <v>29</v>
      </c>
      <c r="L1341">
        <v>29</v>
      </c>
      <c r="M1341" s="175">
        <v>0</v>
      </c>
      <c r="N1341" t="s">
        <v>5666</v>
      </c>
    </row>
    <row r="1342" spans="1:14">
      <c r="A1342">
        <v>4532</v>
      </c>
      <c r="B1342" t="s">
        <v>1166</v>
      </c>
      <c r="C1342">
        <v>23.9</v>
      </c>
      <c r="D1342">
        <v>23.85</v>
      </c>
      <c r="E1342" s="178">
        <v>-0.1</v>
      </c>
      <c r="F1342" s="176">
        <v>-0.42</v>
      </c>
      <c r="G1342" t="s">
        <v>6507</v>
      </c>
      <c r="H1342">
        <v>362</v>
      </c>
      <c r="I1342">
        <v>438</v>
      </c>
      <c r="J1342">
        <v>49.49</v>
      </c>
      <c r="K1342">
        <v>23.95</v>
      </c>
      <c r="L1342">
        <v>23.8</v>
      </c>
      <c r="M1342" s="175">
        <v>7.0000000000000007E-2</v>
      </c>
      <c r="N1342" t="s">
        <v>4425</v>
      </c>
    </row>
    <row r="1343" spans="1:14">
      <c r="A1343">
        <v>4533</v>
      </c>
      <c r="B1343" t="s">
        <v>1167</v>
      </c>
      <c r="C1343">
        <v>26.55</v>
      </c>
      <c r="D1343">
        <v>26.3</v>
      </c>
      <c r="E1343" s="178">
        <v>-0.2</v>
      </c>
      <c r="F1343" s="176">
        <v>-0.75</v>
      </c>
      <c r="G1343" t="s">
        <v>6508</v>
      </c>
      <c r="H1343">
        <v>427</v>
      </c>
      <c r="I1343">
        <v>542</v>
      </c>
      <c r="J1343">
        <v>17.84</v>
      </c>
      <c r="K1343">
        <v>26.55</v>
      </c>
      <c r="L1343">
        <v>25.85</v>
      </c>
      <c r="M1343" s="175">
        <v>0.24</v>
      </c>
      <c r="N1343" t="s">
        <v>1794</v>
      </c>
    </row>
    <row r="1344" spans="1:14">
      <c r="A1344">
        <v>4534</v>
      </c>
      <c r="B1344" t="s">
        <v>1168</v>
      </c>
      <c r="C1344">
        <v>30.35</v>
      </c>
      <c r="D1344">
        <v>29.5</v>
      </c>
      <c r="E1344" s="178">
        <v>-0.9</v>
      </c>
      <c r="F1344" s="176">
        <v>-2.96</v>
      </c>
      <c r="G1344" t="s">
        <v>6509</v>
      </c>
      <c r="H1344">
        <v>476</v>
      </c>
      <c r="I1344">
        <v>554</v>
      </c>
      <c r="J1344">
        <v>8.68</v>
      </c>
      <c r="K1344">
        <v>30.35</v>
      </c>
      <c r="L1344">
        <v>29.1</v>
      </c>
      <c r="M1344" s="175">
        <v>0.55000000000000004</v>
      </c>
      <c r="N1344" t="s">
        <v>3350</v>
      </c>
    </row>
    <row r="1345" spans="1:14">
      <c r="A1345">
        <v>4535</v>
      </c>
      <c r="B1345" t="s">
        <v>1169</v>
      </c>
      <c r="C1345">
        <v>28.2</v>
      </c>
      <c r="D1345">
        <v>27.95</v>
      </c>
      <c r="E1345" s="178">
        <v>-0.85</v>
      </c>
      <c r="F1345" s="176">
        <v>-2.95</v>
      </c>
      <c r="G1345" t="s">
        <v>5480</v>
      </c>
      <c r="H1345">
        <v>18</v>
      </c>
      <c r="I1345">
        <v>6</v>
      </c>
      <c r="J1345">
        <v>7.57</v>
      </c>
      <c r="K1345">
        <v>28.2</v>
      </c>
      <c r="L1345">
        <v>27.7</v>
      </c>
      <c r="M1345" s="175">
        <v>0.02</v>
      </c>
      <c r="N1345" t="s">
        <v>3251</v>
      </c>
    </row>
    <row r="1346" spans="1:14">
      <c r="A1346">
        <v>4536</v>
      </c>
      <c r="B1346" t="s">
        <v>1170</v>
      </c>
      <c r="C1346">
        <v>168</v>
      </c>
      <c r="D1346">
        <v>162</v>
      </c>
      <c r="E1346" s="178">
        <v>-5.5</v>
      </c>
      <c r="F1346" s="176">
        <v>-3.28</v>
      </c>
      <c r="G1346" t="s">
        <v>5568</v>
      </c>
      <c r="H1346">
        <v>502</v>
      </c>
      <c r="I1346">
        <v>128</v>
      </c>
      <c r="J1346">
        <v>9.08</v>
      </c>
      <c r="K1346">
        <v>168</v>
      </c>
      <c r="L1346">
        <v>162</v>
      </c>
      <c r="M1346" s="175">
        <v>0.55000000000000004</v>
      </c>
      <c r="N1346" t="s">
        <v>3252</v>
      </c>
    </row>
    <row r="1347" spans="1:14">
      <c r="A1347">
        <v>4538</v>
      </c>
      <c r="B1347" t="s">
        <v>344</v>
      </c>
      <c r="C1347">
        <v>17.3</v>
      </c>
      <c r="D1347">
        <v>17.75</v>
      </c>
      <c r="E1347" s="178">
        <v>0</v>
      </c>
      <c r="F1347" s="176">
        <v>0</v>
      </c>
      <c r="G1347" t="s">
        <v>6392</v>
      </c>
      <c r="H1347">
        <v>10</v>
      </c>
      <c r="I1347">
        <v>14</v>
      </c>
      <c r="J1347">
        <v>5.95</v>
      </c>
      <c r="K1347">
        <v>17.850000000000001</v>
      </c>
      <c r="L1347">
        <v>17.3</v>
      </c>
      <c r="M1347" s="175">
        <v>0.02</v>
      </c>
      <c r="N1347" t="s">
        <v>1795</v>
      </c>
    </row>
    <row r="1348" spans="1:14">
      <c r="A1348">
        <v>4540</v>
      </c>
      <c r="B1348" t="s">
        <v>336</v>
      </c>
      <c r="C1348">
        <v>59.1</v>
      </c>
      <c r="D1348">
        <v>59.1</v>
      </c>
      <c r="E1348" s="178">
        <v>-1.1000000000000001</v>
      </c>
      <c r="F1348" s="176">
        <v>-1.83</v>
      </c>
      <c r="G1348" t="s">
        <v>6510</v>
      </c>
      <c r="H1348">
        <v>1618</v>
      </c>
      <c r="I1348">
        <v>2391</v>
      </c>
      <c r="J1348">
        <v>11.52</v>
      </c>
      <c r="K1348">
        <v>60.8</v>
      </c>
      <c r="L1348">
        <v>58.8</v>
      </c>
      <c r="M1348" s="175">
        <v>1.4</v>
      </c>
      <c r="N1348" t="s">
        <v>3253</v>
      </c>
    </row>
    <row r="1349" spans="1:14">
      <c r="A1349">
        <v>4541</v>
      </c>
      <c r="B1349" t="s">
        <v>1171</v>
      </c>
      <c r="C1349">
        <v>65.5</v>
      </c>
      <c r="D1349">
        <v>66.599999999999994</v>
      </c>
      <c r="E1349" s="178">
        <v>1.1000000000000001</v>
      </c>
      <c r="F1349" s="176">
        <v>1.68</v>
      </c>
      <c r="G1349" t="s">
        <v>5227</v>
      </c>
      <c r="H1349">
        <v>1955</v>
      </c>
      <c r="I1349">
        <v>3021</v>
      </c>
      <c r="J1349">
        <v>6.76</v>
      </c>
      <c r="K1349">
        <v>68.400000000000006</v>
      </c>
      <c r="L1349">
        <v>64.5</v>
      </c>
      <c r="M1349" s="175">
        <v>2.89</v>
      </c>
      <c r="N1349" t="s">
        <v>3582</v>
      </c>
    </row>
    <row r="1350" spans="1:14">
      <c r="A1350">
        <v>4542</v>
      </c>
      <c r="B1350" t="s">
        <v>1172</v>
      </c>
      <c r="C1350">
        <v>280.5</v>
      </c>
      <c r="D1350">
        <v>293</v>
      </c>
      <c r="E1350" s="178">
        <v>7</v>
      </c>
      <c r="F1350" s="176">
        <v>2.4500000000000002</v>
      </c>
      <c r="G1350" t="s">
        <v>5515</v>
      </c>
      <c r="H1350">
        <v>1664</v>
      </c>
      <c r="I1350">
        <v>611</v>
      </c>
      <c r="J1350">
        <v>3.53</v>
      </c>
      <c r="K1350">
        <v>308</v>
      </c>
      <c r="L1350">
        <v>280</v>
      </c>
      <c r="M1350" s="175">
        <v>4.72</v>
      </c>
      <c r="N1350" t="s">
        <v>3254</v>
      </c>
    </row>
    <row r="1351" spans="1:14">
      <c r="A1351">
        <v>4543</v>
      </c>
      <c r="B1351" t="s">
        <v>1173</v>
      </c>
      <c r="C1351">
        <v>30.05</v>
      </c>
      <c r="D1351">
        <v>30</v>
      </c>
      <c r="E1351" s="178">
        <v>-0.05</v>
      </c>
      <c r="F1351" s="176">
        <v>-0.17</v>
      </c>
      <c r="G1351" t="s">
        <v>6511</v>
      </c>
      <c r="H1351">
        <v>70</v>
      </c>
      <c r="I1351">
        <v>105</v>
      </c>
      <c r="J1351">
        <v>6.28</v>
      </c>
      <c r="K1351">
        <v>30.3</v>
      </c>
      <c r="L1351">
        <v>29.75</v>
      </c>
      <c r="M1351" s="175">
        <v>0.11</v>
      </c>
      <c r="N1351" t="s">
        <v>1796</v>
      </c>
    </row>
    <row r="1352" spans="1:14">
      <c r="A1352">
        <v>4545</v>
      </c>
      <c r="B1352" t="s">
        <v>1174</v>
      </c>
      <c r="C1352">
        <v>31.55</v>
      </c>
      <c r="D1352">
        <v>31.65</v>
      </c>
      <c r="E1352" s="178">
        <v>-0.25</v>
      </c>
      <c r="F1352" s="176">
        <v>-0.78</v>
      </c>
      <c r="G1352" t="s">
        <v>5306</v>
      </c>
      <c r="H1352">
        <v>93</v>
      </c>
      <c r="I1352">
        <v>49</v>
      </c>
      <c r="J1352">
        <v>7.7</v>
      </c>
      <c r="K1352">
        <v>31.65</v>
      </c>
      <c r="L1352">
        <v>31.2</v>
      </c>
      <c r="M1352" s="175">
        <v>0.12</v>
      </c>
      <c r="N1352" t="s">
        <v>5004</v>
      </c>
    </row>
    <row r="1353" spans="1:14">
      <c r="A1353">
        <v>4549</v>
      </c>
      <c r="B1353" t="s">
        <v>1175</v>
      </c>
      <c r="C1353">
        <v>103</v>
      </c>
      <c r="D1353">
        <v>103</v>
      </c>
      <c r="E1353" s="178">
        <v>0</v>
      </c>
      <c r="F1353" s="176">
        <v>0</v>
      </c>
      <c r="G1353" t="s">
        <v>6512</v>
      </c>
      <c r="H1353">
        <v>106</v>
      </c>
      <c r="I1353">
        <v>73</v>
      </c>
      <c r="J1353">
        <v>5.7</v>
      </c>
      <c r="K1353">
        <v>104.5</v>
      </c>
      <c r="L1353">
        <v>102</v>
      </c>
      <c r="M1353" s="175">
        <v>0.19</v>
      </c>
      <c r="N1353" t="s">
        <v>1797</v>
      </c>
    </row>
    <row r="1354" spans="1:14">
      <c r="A1354">
        <v>4550</v>
      </c>
      <c r="B1354" t="s">
        <v>1176</v>
      </c>
      <c r="C1354">
        <v>24.05</v>
      </c>
      <c r="D1354">
        <v>24</v>
      </c>
      <c r="E1354" s="178">
        <v>-0.05</v>
      </c>
      <c r="F1354" s="176">
        <v>-0.21</v>
      </c>
      <c r="G1354" t="s">
        <v>5532</v>
      </c>
      <c r="H1354">
        <v>19</v>
      </c>
      <c r="I1354">
        <v>23</v>
      </c>
      <c r="J1354">
        <v>3.78</v>
      </c>
      <c r="K1354">
        <v>24.05</v>
      </c>
      <c r="L1354">
        <v>23.95</v>
      </c>
      <c r="M1354" s="175">
        <v>0.05</v>
      </c>
      <c r="N1354" t="s">
        <v>1798</v>
      </c>
    </row>
    <row r="1355" spans="1:14">
      <c r="A1355">
        <v>4551</v>
      </c>
      <c r="B1355" t="s">
        <v>1177</v>
      </c>
      <c r="C1355">
        <v>164.5</v>
      </c>
      <c r="D1355">
        <v>159.5</v>
      </c>
      <c r="E1355" s="178">
        <v>-2.5</v>
      </c>
      <c r="F1355" s="176">
        <v>-1.54</v>
      </c>
      <c r="G1355" t="s">
        <v>6147</v>
      </c>
      <c r="H1355">
        <v>976</v>
      </c>
      <c r="I1355">
        <v>1045</v>
      </c>
      <c r="J1355">
        <v>11.52</v>
      </c>
      <c r="K1355">
        <v>168.5</v>
      </c>
      <c r="L1355">
        <v>158</v>
      </c>
      <c r="M1355" s="175">
        <v>0.85</v>
      </c>
      <c r="N1355" t="s">
        <v>3894</v>
      </c>
    </row>
    <row r="1356" spans="1:14">
      <c r="A1356">
        <v>4552</v>
      </c>
      <c r="B1356" t="s">
        <v>1178</v>
      </c>
      <c r="C1356">
        <v>17.100000000000001</v>
      </c>
      <c r="D1356">
        <v>16.8</v>
      </c>
      <c r="E1356" s="178">
        <v>-0.3</v>
      </c>
      <c r="F1356" s="176">
        <v>-1.75</v>
      </c>
      <c r="G1356" t="s">
        <v>6513</v>
      </c>
      <c r="H1356">
        <v>347</v>
      </c>
      <c r="I1356">
        <v>154</v>
      </c>
      <c r="J1356">
        <v>11.6</v>
      </c>
      <c r="K1356">
        <v>17.100000000000001</v>
      </c>
      <c r="L1356">
        <v>16.75</v>
      </c>
      <c r="M1356" s="175">
        <v>0.3</v>
      </c>
      <c r="N1356" t="s">
        <v>3583</v>
      </c>
    </row>
    <row r="1357" spans="1:14">
      <c r="A1357">
        <v>4554</v>
      </c>
      <c r="B1357" t="s">
        <v>1179</v>
      </c>
      <c r="C1357">
        <v>30</v>
      </c>
      <c r="D1357">
        <v>29.85</v>
      </c>
      <c r="E1357" s="178">
        <v>0.05</v>
      </c>
      <c r="F1357" s="176">
        <v>0.17</v>
      </c>
      <c r="G1357" t="s">
        <v>6514</v>
      </c>
      <c r="H1357">
        <v>43</v>
      </c>
      <c r="I1357">
        <v>127</v>
      </c>
      <c r="J1357">
        <v>3.03</v>
      </c>
      <c r="K1357">
        <v>30</v>
      </c>
      <c r="L1357">
        <v>29.35</v>
      </c>
      <c r="M1357" s="175">
        <v>0.14000000000000001</v>
      </c>
      <c r="N1357" t="s">
        <v>1799</v>
      </c>
    </row>
    <row r="1358" spans="1:14">
      <c r="A1358">
        <v>4555</v>
      </c>
      <c r="B1358" t="s">
        <v>1180</v>
      </c>
      <c r="C1358">
        <v>47.1</v>
      </c>
      <c r="D1358">
        <v>46.4</v>
      </c>
      <c r="E1358" s="178">
        <v>-1</v>
      </c>
      <c r="F1358" s="176">
        <v>-2.11</v>
      </c>
      <c r="G1358" t="s">
        <v>6515</v>
      </c>
      <c r="H1358">
        <v>114</v>
      </c>
      <c r="I1358">
        <v>131</v>
      </c>
      <c r="J1358">
        <v>7</v>
      </c>
      <c r="K1358">
        <v>47.1</v>
      </c>
      <c r="L1358">
        <v>45.8</v>
      </c>
      <c r="M1358" s="175">
        <v>0.16</v>
      </c>
      <c r="N1358" t="s">
        <v>3255</v>
      </c>
    </row>
    <row r="1359" spans="1:14">
      <c r="A1359">
        <v>4556</v>
      </c>
      <c r="B1359" t="s">
        <v>4642</v>
      </c>
      <c r="C1359">
        <v>72.8</v>
      </c>
      <c r="D1359">
        <v>69.8</v>
      </c>
      <c r="E1359" s="178">
        <v>-0.8</v>
      </c>
      <c r="F1359" s="176">
        <v>-1.1299999999999999</v>
      </c>
      <c r="G1359" t="s">
        <v>6516</v>
      </c>
      <c r="H1359">
        <v>183</v>
      </c>
      <c r="I1359">
        <v>253</v>
      </c>
      <c r="J1359">
        <v>4.2300000000000004</v>
      </c>
      <c r="K1359">
        <v>72.8</v>
      </c>
      <c r="L1359">
        <v>68.5</v>
      </c>
      <c r="M1359" s="175">
        <v>0.43</v>
      </c>
      <c r="N1359" t="s">
        <v>4643</v>
      </c>
    </row>
    <row r="1360" spans="1:14">
      <c r="A1360">
        <v>4557</v>
      </c>
      <c r="B1360" t="s">
        <v>1181</v>
      </c>
      <c r="C1360">
        <v>50.5</v>
      </c>
      <c r="D1360">
        <v>50.9</v>
      </c>
      <c r="E1360" s="178">
        <v>-0.1</v>
      </c>
      <c r="F1360" s="176">
        <v>-0.2</v>
      </c>
      <c r="G1360" t="s">
        <v>5298</v>
      </c>
      <c r="H1360">
        <v>58</v>
      </c>
      <c r="I1360">
        <v>57</v>
      </c>
      <c r="J1360">
        <v>4.8</v>
      </c>
      <c r="K1360">
        <v>50.9</v>
      </c>
      <c r="L1360">
        <v>49.7</v>
      </c>
      <c r="M1360" s="175">
        <v>0.12</v>
      </c>
      <c r="N1360" t="s">
        <v>4342</v>
      </c>
    </row>
    <row r="1361" spans="1:14">
      <c r="A1361">
        <v>4558</v>
      </c>
      <c r="B1361" t="s">
        <v>2086</v>
      </c>
      <c r="C1361">
        <v>18.55</v>
      </c>
      <c r="D1361">
        <v>17.399999999999999</v>
      </c>
      <c r="E1361" s="178">
        <v>-1.25</v>
      </c>
      <c r="F1361" s="176">
        <v>-6.7</v>
      </c>
      <c r="G1361" t="s">
        <v>6517</v>
      </c>
      <c r="H1361">
        <v>135</v>
      </c>
      <c r="I1361">
        <v>132</v>
      </c>
      <c r="J1361">
        <v>5</v>
      </c>
      <c r="K1361">
        <v>19.05</v>
      </c>
      <c r="L1361">
        <v>17.05</v>
      </c>
      <c r="M1361" s="175">
        <v>0.27</v>
      </c>
      <c r="N1361" t="s">
        <v>2087</v>
      </c>
    </row>
    <row r="1362" spans="1:14">
      <c r="A1362">
        <v>4560</v>
      </c>
      <c r="B1362" t="s">
        <v>1182</v>
      </c>
      <c r="C1362">
        <v>30.5</v>
      </c>
      <c r="D1362">
        <v>29.5</v>
      </c>
      <c r="E1362" s="178">
        <v>-0.85</v>
      </c>
      <c r="F1362" s="176">
        <v>-2.8</v>
      </c>
      <c r="G1362" t="s">
        <v>6518</v>
      </c>
      <c r="H1362">
        <v>414</v>
      </c>
      <c r="I1362">
        <v>564</v>
      </c>
      <c r="J1362">
        <v>6.81</v>
      </c>
      <c r="K1362">
        <v>30.5</v>
      </c>
      <c r="L1362">
        <v>29.5</v>
      </c>
      <c r="M1362" s="175">
        <v>0.61</v>
      </c>
      <c r="N1362" t="s">
        <v>3383</v>
      </c>
    </row>
    <row r="1363" spans="1:14">
      <c r="A1363">
        <v>4561</v>
      </c>
      <c r="B1363" t="s">
        <v>333</v>
      </c>
      <c r="C1363">
        <v>44.2</v>
      </c>
      <c r="D1363">
        <v>43.5</v>
      </c>
      <c r="E1363" s="178">
        <v>-0.7</v>
      </c>
      <c r="F1363" s="176">
        <v>-1.58</v>
      </c>
      <c r="G1363" t="s">
        <v>5226</v>
      </c>
      <c r="H1363">
        <v>136</v>
      </c>
      <c r="I1363">
        <v>226</v>
      </c>
      <c r="J1363">
        <v>5.85</v>
      </c>
      <c r="K1363">
        <v>44.2</v>
      </c>
      <c r="L1363">
        <v>43.45</v>
      </c>
      <c r="M1363" s="175">
        <v>0.23</v>
      </c>
      <c r="N1363" t="s">
        <v>2250</v>
      </c>
    </row>
    <row r="1364" spans="1:14">
      <c r="A1364">
        <v>4562</v>
      </c>
      <c r="B1364" t="s">
        <v>370</v>
      </c>
      <c r="C1364">
        <v>30.55</v>
      </c>
      <c r="D1364">
        <v>30.9</v>
      </c>
      <c r="E1364" s="178">
        <v>-0.75</v>
      </c>
      <c r="F1364" s="176">
        <v>-2.37</v>
      </c>
      <c r="G1364" t="s">
        <v>5558</v>
      </c>
      <c r="H1364">
        <v>76</v>
      </c>
      <c r="I1364">
        <v>116</v>
      </c>
      <c r="J1364">
        <v>8.75</v>
      </c>
      <c r="K1364">
        <v>31.2</v>
      </c>
      <c r="L1364">
        <v>30.55</v>
      </c>
      <c r="M1364" s="175">
        <v>0.09</v>
      </c>
      <c r="N1364" t="s">
        <v>1800</v>
      </c>
    </row>
    <row r="1365" spans="1:14">
      <c r="A1365">
        <v>4563</v>
      </c>
      <c r="B1365" t="s">
        <v>1183</v>
      </c>
      <c r="C1365">
        <v>40.700000000000003</v>
      </c>
      <c r="D1365">
        <v>40.700000000000003</v>
      </c>
      <c r="E1365" s="178">
        <v>0</v>
      </c>
      <c r="F1365" s="176">
        <v>0</v>
      </c>
      <c r="G1365" t="s">
        <v>5162</v>
      </c>
      <c r="H1365">
        <v>41</v>
      </c>
      <c r="I1365">
        <v>70</v>
      </c>
      <c r="J1365">
        <v>5.5</v>
      </c>
      <c r="K1365">
        <v>40.700000000000003</v>
      </c>
      <c r="L1365">
        <v>39.9</v>
      </c>
      <c r="M1365" s="175">
        <v>7.0000000000000007E-2</v>
      </c>
      <c r="N1365" t="s">
        <v>1801</v>
      </c>
    </row>
    <row r="1366" spans="1:14">
      <c r="A1366">
        <v>4564</v>
      </c>
      <c r="B1366" t="s">
        <v>359</v>
      </c>
      <c r="C1366">
        <v>16.899999999999999</v>
      </c>
      <c r="D1366">
        <v>16.8</v>
      </c>
      <c r="E1366" s="178">
        <v>-0.1</v>
      </c>
      <c r="F1366" s="176">
        <v>-0.59</v>
      </c>
      <c r="G1366" t="s">
        <v>5835</v>
      </c>
      <c r="H1366">
        <v>575</v>
      </c>
      <c r="I1366">
        <v>648</v>
      </c>
      <c r="J1366">
        <v>23.28</v>
      </c>
      <c r="K1366">
        <v>16.899999999999999</v>
      </c>
      <c r="L1366">
        <v>16.600000000000001</v>
      </c>
      <c r="M1366" s="175">
        <v>0.25</v>
      </c>
      <c r="N1366" t="s">
        <v>1802</v>
      </c>
    </row>
    <row r="1367" spans="1:14">
      <c r="A1367">
        <v>4566</v>
      </c>
      <c r="B1367" t="s">
        <v>335</v>
      </c>
      <c r="C1367">
        <v>65.3</v>
      </c>
      <c r="D1367">
        <v>64.900000000000006</v>
      </c>
      <c r="E1367" s="178">
        <v>-0.8</v>
      </c>
      <c r="F1367" s="176">
        <v>-1.22</v>
      </c>
      <c r="G1367" t="s">
        <v>6383</v>
      </c>
      <c r="H1367">
        <v>932</v>
      </c>
      <c r="I1367">
        <v>1485</v>
      </c>
      <c r="J1367">
        <v>11.04</v>
      </c>
      <c r="K1367">
        <v>65.8</v>
      </c>
      <c r="L1367">
        <v>64.3</v>
      </c>
      <c r="M1367" s="175">
        <v>0.85</v>
      </c>
      <c r="N1367" t="s">
        <v>1803</v>
      </c>
    </row>
    <row r="1368" spans="1:14">
      <c r="A1368">
        <v>4568</v>
      </c>
      <c r="B1368" t="s">
        <v>355</v>
      </c>
      <c r="C1368" t="s">
        <v>1667</v>
      </c>
      <c r="D1368" t="s">
        <v>1667</v>
      </c>
      <c r="E1368" s="178" t="s">
        <v>1667</v>
      </c>
      <c r="F1368" s="176" t="s">
        <v>1667</v>
      </c>
      <c r="G1368" t="s">
        <v>1667</v>
      </c>
      <c r="H1368">
        <v>0</v>
      </c>
      <c r="I1368">
        <v>4</v>
      </c>
      <c r="J1368">
        <v>3.2</v>
      </c>
      <c r="K1368" t="s">
        <v>1667</v>
      </c>
      <c r="L1368" t="s">
        <v>1667</v>
      </c>
      <c r="M1368" s="175">
        <v>0</v>
      </c>
      <c r="N1368" t="s">
        <v>2604</v>
      </c>
    </row>
    <row r="1369" spans="1:14">
      <c r="A1369">
        <v>4569</v>
      </c>
      <c r="B1369" t="s">
        <v>3029</v>
      </c>
      <c r="C1369">
        <v>163</v>
      </c>
      <c r="D1369">
        <v>169.5</v>
      </c>
      <c r="E1369" s="178">
        <v>4</v>
      </c>
      <c r="F1369" s="176">
        <v>2.42</v>
      </c>
      <c r="G1369" t="s">
        <v>6519</v>
      </c>
      <c r="H1369">
        <v>256</v>
      </c>
      <c r="I1369">
        <v>92</v>
      </c>
      <c r="J1369">
        <v>3.06</v>
      </c>
      <c r="K1369">
        <v>169.5</v>
      </c>
      <c r="L1369">
        <v>160.5</v>
      </c>
      <c r="M1369" s="175">
        <v>0.84</v>
      </c>
      <c r="N1369" t="s">
        <v>3030</v>
      </c>
    </row>
    <row r="1370" spans="1:14">
      <c r="A1370">
        <v>4571</v>
      </c>
      <c r="B1370" t="s">
        <v>1184</v>
      </c>
      <c r="C1370">
        <v>156.5</v>
      </c>
      <c r="D1370">
        <v>156</v>
      </c>
      <c r="E1370" s="178">
        <v>-4.5</v>
      </c>
      <c r="F1370" s="176">
        <v>-2.8</v>
      </c>
      <c r="G1370" t="s">
        <v>6520</v>
      </c>
      <c r="H1370">
        <v>150</v>
      </c>
      <c r="I1370">
        <v>108</v>
      </c>
      <c r="J1370">
        <v>5.3</v>
      </c>
      <c r="K1370">
        <v>157</v>
      </c>
      <c r="L1370">
        <v>155</v>
      </c>
      <c r="M1370" s="175">
        <v>0.28000000000000003</v>
      </c>
      <c r="N1370" t="s">
        <v>1804</v>
      </c>
    </row>
    <row r="1371" spans="1:14">
      <c r="A1371">
        <v>4572</v>
      </c>
      <c r="B1371" t="s">
        <v>389</v>
      </c>
      <c r="C1371">
        <v>141</v>
      </c>
      <c r="D1371">
        <v>144</v>
      </c>
      <c r="E1371" s="178">
        <v>4</v>
      </c>
      <c r="F1371" s="176">
        <v>2.86</v>
      </c>
      <c r="G1371" t="s">
        <v>6521</v>
      </c>
      <c r="H1371">
        <v>62</v>
      </c>
      <c r="I1371">
        <v>11</v>
      </c>
      <c r="J1371">
        <v>4</v>
      </c>
      <c r="K1371">
        <v>148</v>
      </c>
      <c r="L1371">
        <v>141</v>
      </c>
      <c r="M1371" s="175">
        <v>0.15</v>
      </c>
      <c r="N1371" t="s">
        <v>3256</v>
      </c>
    </row>
    <row r="1372" spans="1:14">
      <c r="A1372">
        <v>4576</v>
      </c>
      <c r="B1372" t="s">
        <v>381</v>
      </c>
      <c r="C1372">
        <v>211</v>
      </c>
      <c r="D1372">
        <v>216.5</v>
      </c>
      <c r="E1372" s="178">
        <v>0.5</v>
      </c>
      <c r="F1372" s="176">
        <v>0.23</v>
      </c>
      <c r="G1372" t="s">
        <v>6522</v>
      </c>
      <c r="H1372">
        <v>1217</v>
      </c>
      <c r="I1372">
        <v>1527</v>
      </c>
      <c r="J1372">
        <v>11.98</v>
      </c>
      <c r="K1372">
        <v>219.5</v>
      </c>
      <c r="L1372">
        <v>208.5</v>
      </c>
      <c r="M1372" s="175">
        <v>1.02</v>
      </c>
      <c r="N1372" t="s">
        <v>4343</v>
      </c>
    </row>
    <row r="1373" spans="1:14">
      <c r="A1373">
        <v>4577</v>
      </c>
      <c r="B1373" t="s">
        <v>2122</v>
      </c>
      <c r="C1373">
        <v>91.5</v>
      </c>
      <c r="D1373">
        <v>86</v>
      </c>
      <c r="E1373" s="178">
        <v>-2.2000000000000002</v>
      </c>
      <c r="F1373" s="176">
        <v>-2.4900000000000002</v>
      </c>
      <c r="G1373" t="s">
        <v>5311</v>
      </c>
      <c r="H1373">
        <v>3042</v>
      </c>
      <c r="I1373">
        <v>500</v>
      </c>
      <c r="J1373">
        <v>4.91</v>
      </c>
      <c r="K1373">
        <v>93.2</v>
      </c>
      <c r="L1373">
        <v>81.3</v>
      </c>
      <c r="M1373" s="175">
        <v>6.19</v>
      </c>
      <c r="N1373" t="s">
        <v>2123</v>
      </c>
    </row>
    <row r="1374" spans="1:14">
      <c r="A1374">
        <v>4580</v>
      </c>
      <c r="B1374" t="s">
        <v>152</v>
      </c>
      <c r="C1374">
        <v>78.400000000000006</v>
      </c>
      <c r="D1374">
        <v>79.099999999999994</v>
      </c>
      <c r="E1374" s="178">
        <v>0.7</v>
      </c>
      <c r="F1374" s="176">
        <v>0.89</v>
      </c>
      <c r="G1374" t="s">
        <v>6523</v>
      </c>
      <c r="H1374">
        <v>66</v>
      </c>
      <c r="I1374">
        <v>39</v>
      </c>
      <c r="J1374">
        <v>4.68</v>
      </c>
      <c r="K1374">
        <v>79.2</v>
      </c>
      <c r="L1374">
        <v>78.400000000000006</v>
      </c>
      <c r="M1374" s="175">
        <v>0.14000000000000001</v>
      </c>
      <c r="N1374" t="s">
        <v>1805</v>
      </c>
    </row>
    <row r="1375" spans="1:14">
      <c r="A1375">
        <v>4581</v>
      </c>
      <c r="B1375" t="s">
        <v>1185</v>
      </c>
      <c r="C1375">
        <v>47.8</v>
      </c>
      <c r="D1375">
        <v>47.55</v>
      </c>
      <c r="E1375" s="178">
        <v>-0.35</v>
      </c>
      <c r="F1375" s="176">
        <v>-0.73</v>
      </c>
      <c r="G1375" t="s">
        <v>6524</v>
      </c>
      <c r="H1375">
        <v>10</v>
      </c>
      <c r="I1375">
        <v>8</v>
      </c>
      <c r="J1375">
        <v>3.39</v>
      </c>
      <c r="K1375">
        <v>47.8</v>
      </c>
      <c r="L1375">
        <v>47.5</v>
      </c>
      <c r="M1375" s="175">
        <v>0.03</v>
      </c>
      <c r="N1375" t="s">
        <v>1806</v>
      </c>
    </row>
    <row r="1376" spans="1:14">
      <c r="A1376">
        <v>4583</v>
      </c>
      <c r="B1376" t="s">
        <v>2107</v>
      </c>
      <c r="C1376">
        <v>453.5</v>
      </c>
      <c r="D1376">
        <v>460</v>
      </c>
      <c r="E1376" s="178">
        <v>-7</v>
      </c>
      <c r="F1376" s="176">
        <v>-1.5</v>
      </c>
      <c r="G1376" t="s">
        <v>5168</v>
      </c>
      <c r="H1376">
        <v>364</v>
      </c>
      <c r="I1376">
        <v>56</v>
      </c>
      <c r="J1376">
        <v>8.02</v>
      </c>
      <c r="K1376">
        <v>463</v>
      </c>
      <c r="L1376">
        <v>453.5</v>
      </c>
      <c r="M1376" s="175">
        <v>0.45</v>
      </c>
      <c r="N1376" t="s">
        <v>2108</v>
      </c>
    </row>
    <row r="1377" spans="1:14">
      <c r="A1377">
        <v>4584</v>
      </c>
      <c r="B1377" t="s">
        <v>2202</v>
      </c>
      <c r="C1377" t="s">
        <v>1667</v>
      </c>
      <c r="D1377" t="s">
        <v>1667</v>
      </c>
      <c r="E1377" s="178" t="s">
        <v>1667</v>
      </c>
      <c r="F1377" s="176" t="s">
        <v>1667</v>
      </c>
      <c r="G1377" t="s">
        <v>1667</v>
      </c>
      <c r="H1377">
        <v>0</v>
      </c>
      <c r="I1377">
        <v>1</v>
      </c>
      <c r="J1377">
        <v>3</v>
      </c>
      <c r="K1377" t="s">
        <v>1667</v>
      </c>
      <c r="L1377" t="s">
        <v>1667</v>
      </c>
      <c r="M1377" s="175">
        <v>0</v>
      </c>
      <c r="N1377" t="s">
        <v>2203</v>
      </c>
    </row>
    <row r="1378" spans="1:14">
      <c r="A1378">
        <v>4585</v>
      </c>
      <c r="B1378" t="s">
        <v>4654</v>
      </c>
      <c r="C1378">
        <v>300</v>
      </c>
      <c r="D1378">
        <v>293.5</v>
      </c>
      <c r="E1378" s="178">
        <v>-7</v>
      </c>
      <c r="F1378" s="176">
        <v>-2.33</v>
      </c>
      <c r="G1378" t="s">
        <v>6525</v>
      </c>
      <c r="H1378">
        <v>214</v>
      </c>
      <c r="I1378">
        <v>164</v>
      </c>
      <c r="J1378">
        <v>10.57</v>
      </c>
      <c r="K1378">
        <v>300</v>
      </c>
      <c r="L1378">
        <v>292.5</v>
      </c>
      <c r="M1378" s="175">
        <v>0.2</v>
      </c>
      <c r="N1378" t="s">
        <v>4655</v>
      </c>
    </row>
    <row r="1379" spans="1:14">
      <c r="A1379">
        <v>4588</v>
      </c>
      <c r="B1379" t="s">
        <v>3358</v>
      </c>
      <c r="C1379">
        <v>54</v>
      </c>
      <c r="D1379">
        <v>52.1</v>
      </c>
      <c r="E1379" s="178">
        <v>-1.2</v>
      </c>
      <c r="F1379" s="176">
        <v>-2.25</v>
      </c>
      <c r="G1379" t="s">
        <v>6014</v>
      </c>
      <c r="H1379">
        <v>50</v>
      </c>
      <c r="I1379">
        <v>32</v>
      </c>
      <c r="J1379">
        <v>4.3</v>
      </c>
      <c r="K1379">
        <v>54</v>
      </c>
      <c r="L1379">
        <v>52.1</v>
      </c>
      <c r="M1379" s="175">
        <v>0.12</v>
      </c>
      <c r="N1379" t="s">
        <v>4206</v>
      </c>
    </row>
    <row r="1380" spans="1:14">
      <c r="A1380">
        <v>4609</v>
      </c>
      <c r="B1380" t="s">
        <v>1186</v>
      </c>
      <c r="C1380">
        <v>4.5</v>
      </c>
      <c r="D1380">
        <v>4.45</v>
      </c>
      <c r="E1380" s="178">
        <v>-0.14000000000000001</v>
      </c>
      <c r="F1380" s="176">
        <v>-3.05</v>
      </c>
      <c r="G1380" t="s">
        <v>6526</v>
      </c>
      <c r="H1380">
        <v>6</v>
      </c>
      <c r="I1380">
        <v>40</v>
      </c>
      <c r="J1380">
        <v>4.79</v>
      </c>
      <c r="K1380">
        <v>4.5</v>
      </c>
      <c r="L1380">
        <v>4.45</v>
      </c>
      <c r="M1380" s="175">
        <v>0.01</v>
      </c>
      <c r="N1380" t="s">
        <v>1807</v>
      </c>
    </row>
    <row r="1381" spans="1:14">
      <c r="A1381">
        <v>4702</v>
      </c>
      <c r="B1381" t="s">
        <v>1187</v>
      </c>
      <c r="C1381">
        <v>9.66</v>
      </c>
      <c r="D1381">
        <v>9.64</v>
      </c>
      <c r="E1381" s="178">
        <v>0.02</v>
      </c>
      <c r="F1381" s="176">
        <v>0.21</v>
      </c>
      <c r="G1381" t="s">
        <v>5428</v>
      </c>
      <c r="H1381">
        <v>32</v>
      </c>
      <c r="I1381">
        <v>56</v>
      </c>
      <c r="J1381">
        <v>7.23</v>
      </c>
      <c r="K1381">
        <v>9.66</v>
      </c>
      <c r="L1381">
        <v>9.5500000000000007</v>
      </c>
      <c r="M1381" s="175">
        <v>0.04</v>
      </c>
      <c r="N1381" t="s">
        <v>4378</v>
      </c>
    </row>
    <row r="1382" spans="1:14">
      <c r="A1382">
        <v>4706</v>
      </c>
      <c r="B1382" t="s">
        <v>1188</v>
      </c>
      <c r="C1382">
        <v>32.049999999999997</v>
      </c>
      <c r="D1382">
        <v>32.1</v>
      </c>
      <c r="E1382" s="178">
        <v>-0.9</v>
      </c>
      <c r="F1382" s="176">
        <v>-2.73</v>
      </c>
      <c r="G1382" t="s">
        <v>5731</v>
      </c>
      <c r="H1382">
        <v>22</v>
      </c>
      <c r="I1382">
        <v>7</v>
      </c>
      <c r="J1382">
        <v>7.9</v>
      </c>
      <c r="K1382">
        <v>32.5</v>
      </c>
      <c r="L1382">
        <v>31.7</v>
      </c>
      <c r="M1382" s="175">
        <v>0.03</v>
      </c>
      <c r="N1382" t="s">
        <v>3257</v>
      </c>
    </row>
    <row r="1383" spans="1:14">
      <c r="A1383">
        <v>4707</v>
      </c>
      <c r="B1383" t="s">
        <v>4644</v>
      </c>
      <c r="C1383">
        <v>32.799999999999997</v>
      </c>
      <c r="D1383">
        <v>33.4</v>
      </c>
      <c r="E1383" s="178">
        <v>0.85</v>
      </c>
      <c r="F1383" s="176">
        <v>2.61</v>
      </c>
      <c r="G1383" t="s">
        <v>5203</v>
      </c>
      <c r="H1383">
        <v>3600</v>
      </c>
      <c r="I1383">
        <v>5990</v>
      </c>
      <c r="J1383">
        <v>41.38</v>
      </c>
      <c r="K1383">
        <v>34.85</v>
      </c>
      <c r="L1383">
        <v>32.25</v>
      </c>
      <c r="M1383" s="175">
        <v>0.87</v>
      </c>
      <c r="N1383" t="s">
        <v>4645</v>
      </c>
    </row>
    <row r="1384" spans="1:14">
      <c r="A1384">
        <v>4711</v>
      </c>
      <c r="B1384" t="s">
        <v>1189</v>
      </c>
      <c r="C1384">
        <v>16.600000000000001</v>
      </c>
      <c r="D1384">
        <v>16.899999999999999</v>
      </c>
      <c r="E1384" s="178">
        <v>0</v>
      </c>
      <c r="F1384" s="176">
        <v>0</v>
      </c>
      <c r="G1384" t="s">
        <v>5557</v>
      </c>
      <c r="H1384">
        <v>28</v>
      </c>
      <c r="I1384">
        <v>24</v>
      </c>
      <c r="J1384">
        <v>6.11</v>
      </c>
      <c r="K1384">
        <v>16.95</v>
      </c>
      <c r="L1384">
        <v>16.600000000000001</v>
      </c>
      <c r="M1384" s="175">
        <v>0.05</v>
      </c>
      <c r="N1384" t="s">
        <v>1808</v>
      </c>
    </row>
    <row r="1385" spans="1:14">
      <c r="A1385">
        <v>4714</v>
      </c>
      <c r="B1385" t="s">
        <v>1190</v>
      </c>
      <c r="C1385">
        <v>11.25</v>
      </c>
      <c r="D1385">
        <v>11.15</v>
      </c>
      <c r="E1385" s="178">
        <v>-0.25</v>
      </c>
      <c r="F1385" s="176">
        <v>-2.19</v>
      </c>
      <c r="G1385" t="s">
        <v>6527</v>
      </c>
      <c r="H1385">
        <v>1360</v>
      </c>
      <c r="I1385">
        <v>2748</v>
      </c>
      <c r="J1385">
        <v>22.18</v>
      </c>
      <c r="K1385">
        <v>11.45</v>
      </c>
      <c r="L1385">
        <v>11</v>
      </c>
      <c r="M1385" s="175">
        <v>0.61</v>
      </c>
      <c r="N1385" t="s">
        <v>1809</v>
      </c>
    </row>
    <row r="1386" spans="1:14">
      <c r="A1386">
        <v>4716</v>
      </c>
      <c r="B1386" t="s">
        <v>1191</v>
      </c>
      <c r="C1386">
        <v>19.05</v>
      </c>
      <c r="D1386">
        <v>19.3</v>
      </c>
      <c r="E1386" s="178">
        <v>0.15</v>
      </c>
      <c r="F1386" s="176">
        <v>0.78</v>
      </c>
      <c r="G1386" t="s">
        <v>5582</v>
      </c>
      <c r="H1386">
        <v>8295</v>
      </c>
      <c r="I1386">
        <v>1434</v>
      </c>
      <c r="J1386">
        <v>9.44</v>
      </c>
      <c r="K1386">
        <v>20.45</v>
      </c>
      <c r="L1386">
        <v>19</v>
      </c>
      <c r="M1386" s="175">
        <v>8.7799999999999994</v>
      </c>
      <c r="N1386" t="s">
        <v>1810</v>
      </c>
    </row>
    <row r="1387" spans="1:14">
      <c r="A1387">
        <v>4720</v>
      </c>
      <c r="B1387" t="s">
        <v>1192</v>
      </c>
      <c r="C1387">
        <v>18.649999999999999</v>
      </c>
      <c r="D1387">
        <v>19</v>
      </c>
      <c r="E1387" s="178">
        <v>0.05</v>
      </c>
      <c r="F1387" s="176">
        <v>0.26</v>
      </c>
      <c r="G1387" t="s">
        <v>6528</v>
      </c>
      <c r="H1387">
        <v>538</v>
      </c>
      <c r="I1387">
        <v>1166</v>
      </c>
      <c r="J1387">
        <v>11.45</v>
      </c>
      <c r="K1387">
        <v>19.3</v>
      </c>
      <c r="L1387">
        <v>18.45</v>
      </c>
      <c r="M1387" s="175">
        <v>0.47</v>
      </c>
      <c r="N1387" t="s">
        <v>3716</v>
      </c>
    </row>
    <row r="1388" spans="1:14">
      <c r="A1388">
        <v>4721</v>
      </c>
      <c r="B1388" t="s">
        <v>1193</v>
      </c>
      <c r="C1388">
        <v>74.8</v>
      </c>
      <c r="D1388">
        <v>74.400000000000006</v>
      </c>
      <c r="E1388" s="178">
        <v>-0.4</v>
      </c>
      <c r="F1388" s="176">
        <v>-0.53</v>
      </c>
      <c r="G1388" t="s">
        <v>6529</v>
      </c>
      <c r="H1388">
        <v>271</v>
      </c>
      <c r="I1388">
        <v>404</v>
      </c>
      <c r="J1388">
        <v>7.5</v>
      </c>
      <c r="K1388">
        <v>75.400000000000006</v>
      </c>
      <c r="L1388">
        <v>73.8</v>
      </c>
      <c r="M1388" s="175">
        <v>0.36</v>
      </c>
      <c r="N1388" t="s">
        <v>3584</v>
      </c>
    </row>
    <row r="1389" spans="1:14">
      <c r="A1389">
        <v>4722</v>
      </c>
      <c r="B1389" t="s">
        <v>1194</v>
      </c>
      <c r="C1389">
        <v>210.5</v>
      </c>
      <c r="D1389">
        <v>208</v>
      </c>
      <c r="E1389" s="178">
        <v>-5.5</v>
      </c>
      <c r="F1389" s="176">
        <v>-2.58</v>
      </c>
      <c r="G1389" t="s">
        <v>6530</v>
      </c>
      <c r="H1389">
        <v>455</v>
      </c>
      <c r="I1389">
        <v>560</v>
      </c>
      <c r="J1389">
        <v>10.41</v>
      </c>
      <c r="K1389">
        <v>217</v>
      </c>
      <c r="L1389">
        <v>206.5</v>
      </c>
      <c r="M1389" s="175">
        <v>0.44</v>
      </c>
      <c r="N1389" t="s">
        <v>1811</v>
      </c>
    </row>
    <row r="1390" spans="1:14">
      <c r="A1390">
        <v>4726</v>
      </c>
      <c r="B1390" t="s">
        <v>1195</v>
      </c>
      <c r="C1390">
        <v>24.2</v>
      </c>
      <c r="D1390">
        <v>24.05</v>
      </c>
      <c r="E1390" s="178">
        <v>-0.15</v>
      </c>
      <c r="F1390" s="176">
        <v>-0.62</v>
      </c>
      <c r="G1390" t="s">
        <v>5200</v>
      </c>
      <c r="H1390">
        <v>80</v>
      </c>
      <c r="I1390">
        <v>86</v>
      </c>
      <c r="J1390">
        <v>20.7</v>
      </c>
      <c r="K1390">
        <v>24.2</v>
      </c>
      <c r="L1390">
        <v>23.95</v>
      </c>
      <c r="M1390" s="175">
        <v>0.04</v>
      </c>
      <c r="N1390" t="s">
        <v>4207</v>
      </c>
    </row>
    <row r="1391" spans="1:14">
      <c r="A1391">
        <v>4728</v>
      </c>
      <c r="B1391" t="s">
        <v>1196</v>
      </c>
      <c r="C1391">
        <v>399</v>
      </c>
      <c r="D1391">
        <v>402</v>
      </c>
      <c r="E1391" s="178">
        <v>2</v>
      </c>
      <c r="F1391" s="176">
        <v>0.5</v>
      </c>
      <c r="G1391" t="s">
        <v>5169</v>
      </c>
      <c r="H1391">
        <v>3</v>
      </c>
      <c r="I1391">
        <v>8</v>
      </c>
      <c r="J1391">
        <v>5.45</v>
      </c>
      <c r="K1391">
        <v>402</v>
      </c>
      <c r="L1391">
        <v>399</v>
      </c>
      <c r="M1391" s="175">
        <v>0.01</v>
      </c>
      <c r="N1391" t="s">
        <v>4426</v>
      </c>
    </row>
    <row r="1392" spans="1:14">
      <c r="A1392">
        <v>4729</v>
      </c>
      <c r="B1392" t="s">
        <v>2174</v>
      </c>
      <c r="C1392">
        <v>18.600000000000001</v>
      </c>
      <c r="D1392">
        <v>18.850000000000001</v>
      </c>
      <c r="E1392" s="178">
        <v>0.15</v>
      </c>
      <c r="F1392" s="176">
        <v>0.8</v>
      </c>
      <c r="G1392" t="s">
        <v>5221</v>
      </c>
      <c r="H1392">
        <v>72</v>
      </c>
      <c r="I1392">
        <v>109</v>
      </c>
      <c r="J1392">
        <v>7.92</v>
      </c>
      <c r="K1392">
        <v>18.899999999999999</v>
      </c>
      <c r="L1392">
        <v>18.600000000000001</v>
      </c>
      <c r="M1392" s="175">
        <v>0.09</v>
      </c>
      <c r="N1392" t="s">
        <v>2175</v>
      </c>
    </row>
    <row r="1393" spans="1:14">
      <c r="A1393">
        <v>4735</v>
      </c>
      <c r="B1393" t="s">
        <v>1197</v>
      </c>
      <c r="C1393">
        <v>38.85</v>
      </c>
      <c r="D1393">
        <v>38</v>
      </c>
      <c r="E1393" s="178">
        <v>0.6</v>
      </c>
      <c r="F1393" s="176">
        <v>1.6</v>
      </c>
      <c r="G1393" t="s">
        <v>6531</v>
      </c>
      <c r="H1393">
        <v>120</v>
      </c>
      <c r="I1393">
        <v>99</v>
      </c>
      <c r="J1393">
        <v>4.16</v>
      </c>
      <c r="K1393">
        <v>38.85</v>
      </c>
      <c r="L1393">
        <v>37.5</v>
      </c>
      <c r="M1393" s="175">
        <v>0.28999999999999998</v>
      </c>
      <c r="N1393" t="s">
        <v>4427</v>
      </c>
    </row>
    <row r="1394" spans="1:14">
      <c r="A1394">
        <v>4736</v>
      </c>
      <c r="B1394" t="s">
        <v>1198</v>
      </c>
      <c r="C1394">
        <v>125.5</v>
      </c>
      <c r="D1394">
        <v>127.5</v>
      </c>
      <c r="E1394" s="178">
        <v>3</v>
      </c>
      <c r="F1394" s="176">
        <v>2.41</v>
      </c>
      <c r="G1394" t="s">
        <v>6532</v>
      </c>
      <c r="H1394">
        <v>712</v>
      </c>
      <c r="I1394">
        <v>513</v>
      </c>
      <c r="J1394">
        <v>10.49</v>
      </c>
      <c r="K1394">
        <v>130.5</v>
      </c>
      <c r="L1394">
        <v>125.5</v>
      </c>
      <c r="M1394" s="175">
        <v>0.68</v>
      </c>
      <c r="N1394" t="s">
        <v>4906</v>
      </c>
    </row>
    <row r="1395" spans="1:14">
      <c r="A1395">
        <v>4737</v>
      </c>
      <c r="B1395" t="s">
        <v>1199</v>
      </c>
      <c r="C1395">
        <v>57.8</v>
      </c>
      <c r="D1395">
        <v>57.6</v>
      </c>
      <c r="E1395" s="178">
        <v>-0.2</v>
      </c>
      <c r="F1395" s="176">
        <v>-0.35</v>
      </c>
      <c r="G1395" t="s">
        <v>5495</v>
      </c>
      <c r="H1395">
        <v>54</v>
      </c>
      <c r="I1395">
        <v>47</v>
      </c>
      <c r="J1395">
        <v>7.74</v>
      </c>
      <c r="K1395">
        <v>58.4</v>
      </c>
      <c r="L1395">
        <v>56.8</v>
      </c>
      <c r="M1395" s="175">
        <v>7.0000000000000007E-2</v>
      </c>
      <c r="N1395" t="s">
        <v>1812</v>
      </c>
    </row>
    <row r="1396" spans="1:14">
      <c r="A1396">
        <v>4739</v>
      </c>
      <c r="B1396" t="s">
        <v>231</v>
      </c>
      <c r="C1396">
        <v>87.1</v>
      </c>
      <c r="D1396">
        <v>87.4</v>
      </c>
      <c r="E1396" s="178">
        <v>-1.2</v>
      </c>
      <c r="F1396" s="176">
        <v>-1.35</v>
      </c>
      <c r="G1396" t="s">
        <v>6533</v>
      </c>
      <c r="H1396">
        <v>1058</v>
      </c>
      <c r="I1396">
        <v>1587</v>
      </c>
      <c r="J1396">
        <v>12.47</v>
      </c>
      <c r="K1396">
        <v>89.5</v>
      </c>
      <c r="L1396">
        <v>86.1</v>
      </c>
      <c r="M1396" s="175">
        <v>0.85</v>
      </c>
      <c r="N1396" t="s">
        <v>1813</v>
      </c>
    </row>
    <row r="1397" spans="1:14">
      <c r="A1397">
        <v>4741</v>
      </c>
      <c r="B1397" t="s">
        <v>377</v>
      </c>
      <c r="C1397">
        <v>42.4</v>
      </c>
      <c r="D1397">
        <v>43.15</v>
      </c>
      <c r="E1397" s="178">
        <v>0.75</v>
      </c>
      <c r="F1397" s="176">
        <v>1.77</v>
      </c>
      <c r="G1397" t="s">
        <v>5560</v>
      </c>
      <c r="H1397">
        <v>118</v>
      </c>
      <c r="I1397">
        <v>85</v>
      </c>
      <c r="J1397">
        <v>3.48</v>
      </c>
      <c r="K1397">
        <v>44</v>
      </c>
      <c r="L1397">
        <v>42.3</v>
      </c>
      <c r="M1397" s="175">
        <v>0.34</v>
      </c>
      <c r="N1397" t="s">
        <v>3717</v>
      </c>
    </row>
    <row r="1398" spans="1:14">
      <c r="A1398">
        <v>4743</v>
      </c>
      <c r="B1398" t="s">
        <v>1200</v>
      </c>
      <c r="C1398">
        <v>47</v>
      </c>
      <c r="D1398">
        <v>46.5</v>
      </c>
      <c r="E1398" s="178">
        <v>-0.45</v>
      </c>
      <c r="F1398" s="176">
        <v>-0.96</v>
      </c>
      <c r="G1398" t="s">
        <v>6534</v>
      </c>
      <c r="H1398">
        <v>1228</v>
      </c>
      <c r="I1398">
        <v>1481</v>
      </c>
      <c r="J1398">
        <v>48.05</v>
      </c>
      <c r="K1398">
        <v>47.1</v>
      </c>
      <c r="L1398">
        <v>46.05</v>
      </c>
      <c r="M1398" s="175">
        <v>0.26</v>
      </c>
      <c r="N1398" t="s">
        <v>4410</v>
      </c>
    </row>
    <row r="1399" spans="1:14">
      <c r="A1399">
        <v>4744</v>
      </c>
      <c r="B1399" t="s">
        <v>346</v>
      </c>
      <c r="C1399">
        <v>27.8</v>
      </c>
      <c r="D1399">
        <v>27.05</v>
      </c>
      <c r="E1399" s="178">
        <v>-0.45</v>
      </c>
      <c r="F1399" s="176">
        <v>-1.64</v>
      </c>
      <c r="G1399" t="s">
        <v>5539</v>
      </c>
      <c r="H1399">
        <v>32</v>
      </c>
      <c r="I1399">
        <v>57</v>
      </c>
      <c r="J1399">
        <v>5.69</v>
      </c>
      <c r="K1399">
        <v>27.8</v>
      </c>
      <c r="L1399">
        <v>27.05</v>
      </c>
      <c r="M1399" s="175">
        <v>0.06</v>
      </c>
      <c r="N1399" t="s">
        <v>2072</v>
      </c>
    </row>
    <row r="1400" spans="1:14">
      <c r="A1400">
        <v>4745</v>
      </c>
      <c r="B1400" t="s">
        <v>1201</v>
      </c>
      <c r="C1400">
        <v>11.9</v>
      </c>
      <c r="D1400">
        <v>11.9</v>
      </c>
      <c r="E1400" s="178">
        <v>0</v>
      </c>
      <c r="F1400" s="176">
        <v>0</v>
      </c>
      <c r="G1400" t="s">
        <v>6535</v>
      </c>
      <c r="H1400">
        <v>7</v>
      </c>
      <c r="I1400">
        <v>22</v>
      </c>
      <c r="J1400">
        <v>6.62</v>
      </c>
      <c r="K1400">
        <v>11.9</v>
      </c>
      <c r="L1400">
        <v>11.9</v>
      </c>
      <c r="M1400" s="175">
        <v>0.01</v>
      </c>
      <c r="N1400" t="s">
        <v>1814</v>
      </c>
    </row>
    <row r="1401" spans="1:14">
      <c r="A1401">
        <v>4746</v>
      </c>
      <c r="B1401" t="s">
        <v>1202</v>
      </c>
      <c r="C1401">
        <v>49.35</v>
      </c>
      <c r="D1401">
        <v>48.75</v>
      </c>
      <c r="E1401" s="178">
        <v>-0.6</v>
      </c>
      <c r="F1401" s="176">
        <v>-1.22</v>
      </c>
      <c r="G1401" t="s">
        <v>6536</v>
      </c>
      <c r="H1401">
        <v>701</v>
      </c>
      <c r="I1401">
        <v>729</v>
      </c>
      <c r="J1401">
        <v>12.03</v>
      </c>
      <c r="K1401">
        <v>49.55</v>
      </c>
      <c r="L1401">
        <v>48.5</v>
      </c>
      <c r="M1401" s="175">
        <v>0.57999999999999996</v>
      </c>
      <c r="N1401" t="s">
        <v>4240</v>
      </c>
    </row>
    <row r="1402" spans="1:14">
      <c r="A1402">
        <v>4747</v>
      </c>
      <c r="B1402" t="s">
        <v>6537</v>
      </c>
      <c r="C1402">
        <v>29.1</v>
      </c>
      <c r="D1402">
        <v>27.35</v>
      </c>
      <c r="E1402" s="178">
        <v>-0.9</v>
      </c>
      <c r="F1402" s="176">
        <v>-3.19</v>
      </c>
      <c r="G1402" t="s">
        <v>6538</v>
      </c>
      <c r="H1402">
        <v>135</v>
      </c>
      <c r="I1402">
        <v>0</v>
      </c>
      <c r="J1402">
        <v>4.55</v>
      </c>
      <c r="K1402">
        <v>29.15</v>
      </c>
      <c r="L1402">
        <v>27.3</v>
      </c>
      <c r="M1402" s="175">
        <v>0.15</v>
      </c>
      <c r="N1402" t="s">
        <v>1815</v>
      </c>
    </row>
    <row r="1403" spans="1:14">
      <c r="A1403">
        <v>4749</v>
      </c>
      <c r="B1403" t="s">
        <v>4260</v>
      </c>
      <c r="C1403">
        <v>793</v>
      </c>
      <c r="D1403">
        <v>769</v>
      </c>
      <c r="E1403" s="178">
        <v>-21</v>
      </c>
      <c r="F1403" s="176">
        <v>-2.66</v>
      </c>
      <c r="G1403" t="s">
        <v>6539</v>
      </c>
      <c r="H1403">
        <v>758</v>
      </c>
      <c r="I1403">
        <v>555</v>
      </c>
      <c r="J1403">
        <v>9.4700000000000006</v>
      </c>
      <c r="K1403">
        <v>793</v>
      </c>
      <c r="L1403">
        <v>755</v>
      </c>
      <c r="M1403" s="175">
        <v>0.8</v>
      </c>
      <c r="N1403" t="s">
        <v>4261</v>
      </c>
    </row>
    <row r="1404" spans="1:14">
      <c r="A1404">
        <v>4754</v>
      </c>
      <c r="B1404" t="s">
        <v>1203</v>
      </c>
      <c r="C1404">
        <v>38.799999999999997</v>
      </c>
      <c r="D1404">
        <v>38.549999999999997</v>
      </c>
      <c r="E1404" s="178">
        <v>-0.2</v>
      </c>
      <c r="F1404" s="176">
        <v>-0.52</v>
      </c>
      <c r="G1404" t="s">
        <v>5792</v>
      </c>
      <c r="H1404">
        <v>64</v>
      </c>
      <c r="I1404">
        <v>28</v>
      </c>
      <c r="J1404">
        <v>3.03</v>
      </c>
      <c r="K1404">
        <v>38.799999999999997</v>
      </c>
      <c r="L1404">
        <v>38.549999999999997</v>
      </c>
      <c r="M1404" s="175">
        <v>0.21</v>
      </c>
      <c r="N1404" t="s">
        <v>1816</v>
      </c>
    </row>
    <row r="1405" spans="1:14">
      <c r="A1405">
        <v>4755</v>
      </c>
      <c r="B1405" t="s">
        <v>1204</v>
      </c>
      <c r="C1405">
        <v>119</v>
      </c>
      <c r="D1405">
        <v>118</v>
      </c>
      <c r="E1405" s="178">
        <v>-2</v>
      </c>
      <c r="F1405" s="176">
        <v>-1.67</v>
      </c>
      <c r="G1405" t="s">
        <v>6540</v>
      </c>
      <c r="H1405">
        <v>151</v>
      </c>
      <c r="I1405">
        <v>285</v>
      </c>
      <c r="J1405">
        <v>10.07</v>
      </c>
      <c r="K1405">
        <v>119.5</v>
      </c>
      <c r="L1405">
        <v>117</v>
      </c>
      <c r="M1405" s="175">
        <v>0.15</v>
      </c>
      <c r="N1405" t="s">
        <v>2109</v>
      </c>
    </row>
    <row r="1406" spans="1:14">
      <c r="A1406">
        <v>4760</v>
      </c>
      <c r="B1406" t="s">
        <v>386</v>
      </c>
      <c r="C1406">
        <v>262</v>
      </c>
      <c r="D1406">
        <v>261</v>
      </c>
      <c r="E1406" s="178">
        <v>-1</v>
      </c>
      <c r="F1406" s="176">
        <v>-0.38</v>
      </c>
      <c r="G1406" t="s">
        <v>5110</v>
      </c>
      <c r="H1406">
        <v>401</v>
      </c>
      <c r="I1406">
        <v>331</v>
      </c>
      <c r="J1406">
        <v>3.21</v>
      </c>
      <c r="K1406">
        <v>265</v>
      </c>
      <c r="L1406">
        <v>248</v>
      </c>
      <c r="M1406" s="175">
        <v>1.24</v>
      </c>
      <c r="N1406" t="s">
        <v>2605</v>
      </c>
    </row>
    <row r="1407" spans="1:14">
      <c r="A1407">
        <v>4763</v>
      </c>
      <c r="B1407" t="s">
        <v>4539</v>
      </c>
      <c r="C1407">
        <v>45.3</v>
      </c>
      <c r="D1407">
        <v>46.3</v>
      </c>
      <c r="E1407" s="178">
        <v>0.65</v>
      </c>
      <c r="F1407" s="176">
        <v>1.42</v>
      </c>
      <c r="G1407" t="s">
        <v>5462</v>
      </c>
      <c r="H1407">
        <v>4249</v>
      </c>
      <c r="I1407">
        <v>9316</v>
      </c>
      <c r="J1407">
        <v>9.89</v>
      </c>
      <c r="K1407">
        <v>47</v>
      </c>
      <c r="L1407">
        <v>45.2</v>
      </c>
      <c r="M1407" s="175">
        <v>0.43</v>
      </c>
      <c r="N1407" t="s">
        <v>4540</v>
      </c>
    </row>
    <row r="1408" spans="1:14">
      <c r="A1408">
        <v>4764</v>
      </c>
      <c r="B1408" t="s">
        <v>373</v>
      </c>
      <c r="C1408">
        <v>245</v>
      </c>
      <c r="D1408">
        <v>241</v>
      </c>
      <c r="E1408" s="178">
        <v>-8.5</v>
      </c>
      <c r="F1408" s="176">
        <v>-3.41</v>
      </c>
      <c r="G1408" t="s">
        <v>5821</v>
      </c>
      <c r="H1408">
        <v>1276</v>
      </c>
      <c r="I1408">
        <v>1574</v>
      </c>
      <c r="J1408">
        <v>9.15</v>
      </c>
      <c r="K1408">
        <v>248.5</v>
      </c>
      <c r="L1408">
        <v>235</v>
      </c>
      <c r="M1408" s="175">
        <v>1.39</v>
      </c>
      <c r="N1408" t="s">
        <v>4379</v>
      </c>
    </row>
    <row r="1409" spans="1:14">
      <c r="A1409">
        <v>4766</v>
      </c>
      <c r="B1409" t="s">
        <v>331</v>
      </c>
      <c r="C1409">
        <v>345</v>
      </c>
      <c r="D1409">
        <v>345</v>
      </c>
      <c r="E1409" s="178">
        <v>0</v>
      </c>
      <c r="F1409" s="176">
        <v>0</v>
      </c>
      <c r="G1409" t="s">
        <v>6541</v>
      </c>
      <c r="H1409">
        <v>237</v>
      </c>
      <c r="I1409">
        <v>166</v>
      </c>
      <c r="J1409">
        <v>12.06</v>
      </c>
      <c r="K1409">
        <v>352</v>
      </c>
      <c r="L1409">
        <v>343</v>
      </c>
      <c r="M1409" s="175">
        <v>0.2</v>
      </c>
      <c r="N1409" t="s">
        <v>1817</v>
      </c>
    </row>
    <row r="1410" spans="1:14">
      <c r="A1410">
        <v>4767</v>
      </c>
      <c r="B1410" t="s">
        <v>357</v>
      </c>
      <c r="C1410">
        <v>30.3</v>
      </c>
      <c r="D1410">
        <v>29.25</v>
      </c>
      <c r="E1410" s="178">
        <v>-0.5</v>
      </c>
      <c r="F1410" s="176">
        <v>-1.68</v>
      </c>
      <c r="G1410" t="s">
        <v>6542</v>
      </c>
      <c r="H1410">
        <v>18</v>
      </c>
      <c r="I1410">
        <v>26</v>
      </c>
      <c r="J1410">
        <v>3.14</v>
      </c>
      <c r="K1410">
        <v>30.3</v>
      </c>
      <c r="L1410">
        <v>29</v>
      </c>
      <c r="M1410" s="175">
        <v>0.06</v>
      </c>
      <c r="N1410" t="s">
        <v>1818</v>
      </c>
    </row>
    <row r="1411" spans="1:14">
      <c r="A1411">
        <v>4768</v>
      </c>
      <c r="B1411" t="s">
        <v>2094</v>
      </c>
      <c r="C1411">
        <v>313.5</v>
      </c>
      <c r="D1411">
        <v>310.5</v>
      </c>
      <c r="E1411" s="178">
        <v>-2.5</v>
      </c>
      <c r="F1411" s="176">
        <v>-0.8</v>
      </c>
      <c r="G1411" t="s">
        <v>6543</v>
      </c>
      <c r="H1411">
        <v>176</v>
      </c>
      <c r="I1411">
        <v>379</v>
      </c>
      <c r="J1411">
        <v>4.82</v>
      </c>
      <c r="K1411">
        <v>315.5</v>
      </c>
      <c r="L1411">
        <v>308</v>
      </c>
      <c r="M1411" s="175">
        <v>0.37</v>
      </c>
      <c r="N1411" t="s">
        <v>2097</v>
      </c>
    </row>
    <row r="1412" spans="1:14">
      <c r="A1412">
        <v>4770</v>
      </c>
      <c r="B1412" t="s">
        <v>2055</v>
      </c>
      <c r="C1412">
        <v>215</v>
      </c>
      <c r="D1412">
        <v>212.5</v>
      </c>
      <c r="E1412" s="178">
        <v>-2.5</v>
      </c>
      <c r="F1412" s="176">
        <v>-1.1599999999999999</v>
      </c>
      <c r="G1412" t="s">
        <v>5544</v>
      </c>
      <c r="H1412">
        <v>1123</v>
      </c>
      <c r="I1412">
        <v>424</v>
      </c>
      <c r="J1412">
        <v>8</v>
      </c>
      <c r="K1412">
        <v>215</v>
      </c>
      <c r="L1412">
        <v>209.5</v>
      </c>
      <c r="M1412" s="175">
        <v>1.4</v>
      </c>
      <c r="N1412" t="s">
        <v>3052</v>
      </c>
    </row>
    <row r="1413" spans="1:14">
      <c r="A1413">
        <v>4771</v>
      </c>
      <c r="B1413" t="s">
        <v>3408</v>
      </c>
      <c r="C1413">
        <v>205</v>
      </c>
      <c r="D1413">
        <v>215</v>
      </c>
      <c r="E1413" s="178">
        <v>9</v>
      </c>
      <c r="F1413" s="176">
        <v>4.37</v>
      </c>
      <c r="G1413" t="s">
        <v>5193</v>
      </c>
      <c r="H1413">
        <v>593</v>
      </c>
      <c r="I1413">
        <v>290</v>
      </c>
      <c r="J1413">
        <v>5.88</v>
      </c>
      <c r="K1413">
        <v>218</v>
      </c>
      <c r="L1413">
        <v>205</v>
      </c>
      <c r="M1413" s="175">
        <v>1.01</v>
      </c>
      <c r="N1413" t="s">
        <v>3409</v>
      </c>
    </row>
    <row r="1414" spans="1:14">
      <c r="A1414">
        <v>4772</v>
      </c>
      <c r="B1414" t="s">
        <v>4040</v>
      </c>
      <c r="C1414">
        <v>265</v>
      </c>
      <c r="D1414">
        <v>258</v>
      </c>
      <c r="E1414" s="178">
        <v>-7</v>
      </c>
      <c r="F1414" s="176">
        <v>-2.64</v>
      </c>
      <c r="G1414" t="s">
        <v>5692</v>
      </c>
      <c r="H1414">
        <v>633</v>
      </c>
      <c r="I1414">
        <v>713</v>
      </c>
      <c r="J1414">
        <v>14.77</v>
      </c>
      <c r="K1414">
        <v>265</v>
      </c>
      <c r="L1414">
        <v>255</v>
      </c>
      <c r="M1414" s="175">
        <v>0.43</v>
      </c>
      <c r="N1414" t="s">
        <v>4208</v>
      </c>
    </row>
    <row r="1415" spans="1:14">
      <c r="A1415">
        <v>4806</v>
      </c>
      <c r="B1415" t="s">
        <v>4661</v>
      </c>
      <c r="C1415">
        <v>9.17</v>
      </c>
      <c r="D1415">
        <v>9.17</v>
      </c>
      <c r="E1415" s="178">
        <v>-0.01</v>
      </c>
      <c r="F1415" s="176">
        <v>-0.11</v>
      </c>
      <c r="G1415">
        <v>9170</v>
      </c>
      <c r="H1415">
        <v>1</v>
      </c>
      <c r="I1415">
        <v>7</v>
      </c>
      <c r="J1415">
        <v>9.99</v>
      </c>
      <c r="K1415">
        <v>9.17</v>
      </c>
      <c r="L1415">
        <v>9.17</v>
      </c>
      <c r="M1415" s="175">
        <v>0</v>
      </c>
      <c r="N1415" t="s">
        <v>4662</v>
      </c>
    </row>
    <row r="1416" spans="1:14">
      <c r="A1416">
        <v>4807</v>
      </c>
      <c r="B1416" t="s">
        <v>1205</v>
      </c>
      <c r="C1416">
        <v>27.7</v>
      </c>
      <c r="D1416">
        <v>28.05</v>
      </c>
      <c r="E1416" s="178">
        <v>0.05</v>
      </c>
      <c r="F1416" s="176">
        <v>0.18</v>
      </c>
      <c r="G1416" t="s">
        <v>5695</v>
      </c>
      <c r="H1416">
        <v>93</v>
      </c>
      <c r="I1416">
        <v>304</v>
      </c>
      <c r="J1416">
        <v>4.9000000000000004</v>
      </c>
      <c r="K1416">
        <v>28.45</v>
      </c>
      <c r="L1416">
        <v>27.7</v>
      </c>
      <c r="M1416" s="175">
        <v>0.19</v>
      </c>
      <c r="N1416" t="s">
        <v>1819</v>
      </c>
    </row>
    <row r="1417" spans="1:14">
      <c r="A1417">
        <v>4903</v>
      </c>
      <c r="B1417" t="s">
        <v>1206</v>
      </c>
      <c r="C1417">
        <v>36.75</v>
      </c>
      <c r="D1417">
        <v>36.4</v>
      </c>
      <c r="E1417" s="178">
        <v>-0.35</v>
      </c>
      <c r="F1417" s="176">
        <v>-0.95</v>
      </c>
      <c r="G1417" t="s">
        <v>6544</v>
      </c>
      <c r="H1417">
        <v>406</v>
      </c>
      <c r="I1417">
        <v>723</v>
      </c>
      <c r="J1417">
        <v>10.53</v>
      </c>
      <c r="K1417">
        <v>36.9</v>
      </c>
      <c r="L1417">
        <v>36</v>
      </c>
      <c r="M1417" s="175">
        <v>0.39</v>
      </c>
      <c r="N1417" t="s">
        <v>2012</v>
      </c>
    </row>
    <row r="1418" spans="1:14">
      <c r="A1418">
        <v>4904</v>
      </c>
      <c r="B1418" t="s">
        <v>1207</v>
      </c>
      <c r="C1418">
        <v>99.8</v>
      </c>
      <c r="D1418">
        <v>101</v>
      </c>
      <c r="E1418" s="178">
        <v>0.5</v>
      </c>
      <c r="F1418" s="176">
        <v>0.5</v>
      </c>
      <c r="G1418" t="s">
        <v>6545</v>
      </c>
      <c r="H1418">
        <v>9088</v>
      </c>
      <c r="I1418">
        <v>5420</v>
      </c>
      <c r="J1418">
        <v>360.77</v>
      </c>
      <c r="K1418">
        <v>101</v>
      </c>
      <c r="L1418">
        <v>99.8</v>
      </c>
      <c r="M1418" s="175">
        <v>0.26</v>
      </c>
      <c r="N1418" t="s">
        <v>1698</v>
      </c>
    </row>
    <row r="1419" spans="1:14">
      <c r="A1419">
        <v>4905</v>
      </c>
      <c r="B1419" t="s">
        <v>2045</v>
      </c>
      <c r="C1419">
        <v>89.7</v>
      </c>
      <c r="D1419">
        <v>90.3</v>
      </c>
      <c r="E1419" s="178">
        <v>1.7</v>
      </c>
      <c r="F1419" s="176">
        <v>1.92</v>
      </c>
      <c r="G1419" t="s">
        <v>5735</v>
      </c>
      <c r="H1419">
        <v>66</v>
      </c>
      <c r="I1419">
        <v>34</v>
      </c>
      <c r="J1419">
        <v>2.93</v>
      </c>
      <c r="K1419">
        <v>91.5</v>
      </c>
      <c r="L1419">
        <v>88</v>
      </c>
      <c r="M1419" s="175">
        <v>0.23</v>
      </c>
      <c r="N1419" t="s">
        <v>3258</v>
      </c>
    </row>
    <row r="1420" spans="1:14">
      <c r="A1420">
        <v>4906</v>
      </c>
      <c r="B1420" t="s">
        <v>1208</v>
      </c>
      <c r="C1420">
        <v>35.9</v>
      </c>
      <c r="D1420">
        <v>36.200000000000003</v>
      </c>
      <c r="E1420" s="178">
        <v>-0.2</v>
      </c>
      <c r="F1420" s="176">
        <v>-0.55000000000000004</v>
      </c>
      <c r="G1420" t="s">
        <v>6049</v>
      </c>
      <c r="H1420">
        <v>9969</v>
      </c>
      <c r="I1420">
        <v>7918</v>
      </c>
      <c r="J1420">
        <v>45.17</v>
      </c>
      <c r="K1420">
        <v>37.6</v>
      </c>
      <c r="L1420">
        <v>35.75</v>
      </c>
      <c r="M1420" s="175">
        <v>2.2799999999999998</v>
      </c>
      <c r="N1420" t="s">
        <v>3259</v>
      </c>
    </row>
    <row r="1421" spans="1:14">
      <c r="A1421">
        <v>4907</v>
      </c>
      <c r="B1421" t="s">
        <v>1209</v>
      </c>
      <c r="C1421">
        <v>46.75</v>
      </c>
      <c r="D1421">
        <v>47.2</v>
      </c>
      <c r="E1421" s="178">
        <v>-0.05</v>
      </c>
      <c r="F1421" s="176">
        <v>-0.11</v>
      </c>
      <c r="G1421" t="s">
        <v>5280</v>
      </c>
      <c r="H1421">
        <v>79</v>
      </c>
      <c r="I1421">
        <v>118</v>
      </c>
      <c r="J1421">
        <v>11.81</v>
      </c>
      <c r="K1421">
        <v>47.25</v>
      </c>
      <c r="L1421">
        <v>46.4</v>
      </c>
      <c r="M1421" s="175">
        <v>7.0000000000000007E-2</v>
      </c>
      <c r="N1421" t="s">
        <v>4209</v>
      </c>
    </row>
    <row r="1422" spans="1:14">
      <c r="A1422">
        <v>4908</v>
      </c>
      <c r="B1422" t="s">
        <v>1210</v>
      </c>
      <c r="C1422">
        <v>187.5</v>
      </c>
      <c r="D1422">
        <v>209</v>
      </c>
      <c r="E1422" s="178">
        <v>19</v>
      </c>
      <c r="F1422" s="176">
        <v>10</v>
      </c>
      <c r="G1422" t="s">
        <v>5581</v>
      </c>
      <c r="H1422">
        <v>8990</v>
      </c>
      <c r="I1422">
        <v>7107</v>
      </c>
      <c r="J1422">
        <v>7.82</v>
      </c>
      <c r="K1422">
        <v>209</v>
      </c>
      <c r="L1422">
        <v>187.5</v>
      </c>
      <c r="M1422" s="175">
        <v>11.49</v>
      </c>
      <c r="N1422" t="s">
        <v>2013</v>
      </c>
    </row>
    <row r="1423" spans="1:14">
      <c r="A1423">
        <v>4909</v>
      </c>
      <c r="B1423" t="s">
        <v>1211</v>
      </c>
      <c r="C1423">
        <v>40.35</v>
      </c>
      <c r="D1423">
        <v>38.6</v>
      </c>
      <c r="E1423" s="178">
        <v>-1.75</v>
      </c>
      <c r="F1423" s="176">
        <v>-4.34</v>
      </c>
      <c r="G1423" t="s">
        <v>5351</v>
      </c>
      <c r="H1423">
        <v>702</v>
      </c>
      <c r="I1423">
        <v>756</v>
      </c>
      <c r="J1423">
        <v>9.34</v>
      </c>
      <c r="K1423">
        <v>40.65</v>
      </c>
      <c r="L1423">
        <v>38.5</v>
      </c>
      <c r="M1423" s="175">
        <v>0.75</v>
      </c>
      <c r="N1423" t="s">
        <v>1820</v>
      </c>
    </row>
    <row r="1424" spans="1:14">
      <c r="A1424">
        <v>4911</v>
      </c>
      <c r="B1424" t="s">
        <v>1212</v>
      </c>
      <c r="C1424">
        <v>28.95</v>
      </c>
      <c r="D1424">
        <v>29</v>
      </c>
      <c r="E1424" s="178">
        <v>0.05</v>
      </c>
      <c r="F1424" s="176">
        <v>0.17</v>
      </c>
      <c r="G1424" t="s">
        <v>5555</v>
      </c>
      <c r="H1424">
        <v>16</v>
      </c>
      <c r="I1424">
        <v>13</v>
      </c>
      <c r="J1424">
        <v>6.88</v>
      </c>
      <c r="K1424">
        <v>29.15</v>
      </c>
      <c r="L1424">
        <v>28.95</v>
      </c>
      <c r="M1424" s="175">
        <v>0.02</v>
      </c>
      <c r="N1424" t="s">
        <v>3178</v>
      </c>
    </row>
    <row r="1425" spans="1:14">
      <c r="A1425">
        <v>4912</v>
      </c>
      <c r="B1425" t="s">
        <v>1213</v>
      </c>
      <c r="C1425">
        <v>98</v>
      </c>
      <c r="D1425">
        <v>98.4</v>
      </c>
      <c r="E1425" s="178">
        <v>-0.8</v>
      </c>
      <c r="F1425" s="176">
        <v>-0.81</v>
      </c>
      <c r="G1425" t="s">
        <v>6546</v>
      </c>
      <c r="H1425">
        <v>726</v>
      </c>
      <c r="I1425">
        <v>1199</v>
      </c>
      <c r="J1425">
        <v>6.7</v>
      </c>
      <c r="K1425">
        <v>98.9</v>
      </c>
      <c r="L1425">
        <v>95.3</v>
      </c>
      <c r="M1425" s="175">
        <v>1.08</v>
      </c>
      <c r="N1425" t="s">
        <v>3179</v>
      </c>
    </row>
    <row r="1426" spans="1:14">
      <c r="A1426">
        <v>4915</v>
      </c>
      <c r="B1426" t="s">
        <v>1214</v>
      </c>
      <c r="C1426">
        <v>59.5</v>
      </c>
      <c r="D1426">
        <v>59.4</v>
      </c>
      <c r="E1426" s="178">
        <v>-0.2</v>
      </c>
      <c r="F1426" s="176">
        <v>-0.34</v>
      </c>
      <c r="G1426" t="s">
        <v>5562</v>
      </c>
      <c r="H1426">
        <v>1402</v>
      </c>
      <c r="I1426">
        <v>1706</v>
      </c>
      <c r="J1426">
        <v>47.19</v>
      </c>
      <c r="K1426">
        <v>59.7</v>
      </c>
      <c r="L1426">
        <v>59</v>
      </c>
      <c r="M1426" s="175">
        <v>0.3</v>
      </c>
      <c r="N1426" t="s">
        <v>2204</v>
      </c>
    </row>
    <row r="1427" spans="1:14">
      <c r="A1427">
        <v>4916</v>
      </c>
      <c r="B1427" t="s">
        <v>1215</v>
      </c>
      <c r="C1427">
        <v>101</v>
      </c>
      <c r="D1427">
        <v>99.9</v>
      </c>
      <c r="E1427" s="178">
        <v>-2.6</v>
      </c>
      <c r="F1427" s="176">
        <v>-2.54</v>
      </c>
      <c r="G1427" t="s">
        <v>6224</v>
      </c>
      <c r="H1427">
        <v>1459</v>
      </c>
      <c r="I1427">
        <v>2246</v>
      </c>
      <c r="J1427">
        <v>12.41</v>
      </c>
      <c r="K1427">
        <v>101.5</v>
      </c>
      <c r="L1427">
        <v>99.5</v>
      </c>
      <c r="M1427" s="175">
        <v>1.18</v>
      </c>
      <c r="N1427" t="s">
        <v>4454</v>
      </c>
    </row>
    <row r="1428" spans="1:14">
      <c r="A1428">
        <v>4919</v>
      </c>
      <c r="B1428" t="s">
        <v>116</v>
      </c>
      <c r="C1428">
        <v>120</v>
      </c>
      <c r="D1428">
        <v>120</v>
      </c>
      <c r="E1428" s="178">
        <v>-2.5</v>
      </c>
      <c r="F1428" s="176">
        <v>-2.04</v>
      </c>
      <c r="G1428" t="s">
        <v>6547</v>
      </c>
      <c r="H1428">
        <v>1941</v>
      </c>
      <c r="I1428">
        <v>2799</v>
      </c>
      <c r="J1428">
        <v>45.24</v>
      </c>
      <c r="K1428">
        <v>121</v>
      </c>
      <c r="L1428">
        <v>117</v>
      </c>
      <c r="M1428" s="175">
        <v>0.46</v>
      </c>
      <c r="N1428" t="s">
        <v>2110</v>
      </c>
    </row>
    <row r="1429" spans="1:14">
      <c r="A1429">
        <v>4923</v>
      </c>
      <c r="B1429" t="s">
        <v>2084</v>
      </c>
      <c r="C1429">
        <v>56</v>
      </c>
      <c r="D1429">
        <v>55.3</v>
      </c>
      <c r="E1429" s="178">
        <v>-1.1000000000000001</v>
      </c>
      <c r="F1429" s="176">
        <v>-1.95</v>
      </c>
      <c r="G1429" t="s">
        <v>6548</v>
      </c>
      <c r="H1429">
        <v>251</v>
      </c>
      <c r="I1429">
        <v>512</v>
      </c>
      <c r="J1429">
        <v>3.74</v>
      </c>
      <c r="K1429">
        <v>56.8</v>
      </c>
      <c r="L1429">
        <v>54.2</v>
      </c>
      <c r="M1429" s="175">
        <v>0.68</v>
      </c>
      <c r="N1429" t="s">
        <v>5005</v>
      </c>
    </row>
    <row r="1430" spans="1:14">
      <c r="A1430">
        <v>4924</v>
      </c>
      <c r="B1430" t="s">
        <v>1216</v>
      </c>
      <c r="C1430">
        <v>10</v>
      </c>
      <c r="D1430">
        <v>10</v>
      </c>
      <c r="E1430" s="178">
        <v>-0.25</v>
      </c>
      <c r="F1430" s="176">
        <v>-2.44</v>
      </c>
      <c r="G1430" t="s">
        <v>6549</v>
      </c>
      <c r="H1430">
        <v>10</v>
      </c>
      <c r="I1430">
        <v>23</v>
      </c>
      <c r="J1430">
        <v>3.72</v>
      </c>
      <c r="K1430">
        <v>10</v>
      </c>
      <c r="L1430">
        <v>9.9499999999999993</v>
      </c>
      <c r="M1430" s="175">
        <v>0.03</v>
      </c>
      <c r="N1430" t="s">
        <v>4380</v>
      </c>
    </row>
    <row r="1431" spans="1:14">
      <c r="A1431">
        <v>4927</v>
      </c>
      <c r="B1431" t="s">
        <v>1217</v>
      </c>
      <c r="C1431">
        <v>42.45</v>
      </c>
      <c r="D1431">
        <v>40.35</v>
      </c>
      <c r="E1431" s="178">
        <v>-2.65</v>
      </c>
      <c r="F1431" s="176">
        <v>-6.16</v>
      </c>
      <c r="G1431" t="s">
        <v>5373</v>
      </c>
      <c r="H1431">
        <v>5656</v>
      </c>
      <c r="I1431">
        <v>6867</v>
      </c>
      <c r="J1431">
        <v>26.49</v>
      </c>
      <c r="K1431">
        <v>43.5</v>
      </c>
      <c r="L1431">
        <v>40.299999999999997</v>
      </c>
      <c r="M1431" s="175">
        <v>2.13</v>
      </c>
      <c r="N1431" t="s">
        <v>2020</v>
      </c>
    </row>
    <row r="1432" spans="1:14">
      <c r="A1432">
        <v>4930</v>
      </c>
      <c r="B1432" t="s">
        <v>2090</v>
      </c>
      <c r="C1432">
        <v>16.149999999999999</v>
      </c>
      <c r="D1432">
        <v>16.05</v>
      </c>
      <c r="E1432" s="178">
        <v>-0.2</v>
      </c>
      <c r="F1432" s="176">
        <v>-1.23</v>
      </c>
      <c r="G1432" t="s">
        <v>6550</v>
      </c>
      <c r="H1432">
        <v>19</v>
      </c>
      <c r="I1432">
        <v>24</v>
      </c>
      <c r="J1432">
        <v>8</v>
      </c>
      <c r="K1432">
        <v>16.149999999999999</v>
      </c>
      <c r="L1432">
        <v>16</v>
      </c>
      <c r="M1432" s="175">
        <v>0.02</v>
      </c>
      <c r="N1432" t="s">
        <v>3260</v>
      </c>
    </row>
    <row r="1433" spans="1:14">
      <c r="A1433">
        <v>4931</v>
      </c>
      <c r="B1433" t="s">
        <v>1218</v>
      </c>
      <c r="C1433">
        <v>268</v>
      </c>
      <c r="D1433">
        <v>259</v>
      </c>
      <c r="E1433" s="178">
        <v>-13.5</v>
      </c>
      <c r="F1433" s="176">
        <v>-4.95</v>
      </c>
      <c r="G1433" t="s">
        <v>6551</v>
      </c>
      <c r="H1433">
        <v>12384</v>
      </c>
      <c r="I1433">
        <v>10595</v>
      </c>
      <c r="J1433">
        <v>6.56</v>
      </c>
      <c r="K1433">
        <v>288</v>
      </c>
      <c r="L1433">
        <v>256</v>
      </c>
      <c r="M1433" s="175">
        <v>18.89</v>
      </c>
      <c r="N1433" t="s">
        <v>3261</v>
      </c>
    </row>
    <row r="1434" spans="1:14">
      <c r="A1434">
        <v>4933</v>
      </c>
      <c r="B1434" t="s">
        <v>1219</v>
      </c>
      <c r="C1434">
        <v>54.3</v>
      </c>
      <c r="D1434">
        <v>55</v>
      </c>
      <c r="E1434" s="178">
        <v>-0.1</v>
      </c>
      <c r="F1434" s="176">
        <v>-0.18</v>
      </c>
      <c r="G1434" t="s">
        <v>5248</v>
      </c>
      <c r="H1434">
        <v>66</v>
      </c>
      <c r="I1434">
        <v>76</v>
      </c>
      <c r="J1434">
        <v>8.27</v>
      </c>
      <c r="K1434">
        <v>55.7</v>
      </c>
      <c r="L1434">
        <v>54.2</v>
      </c>
      <c r="M1434" s="175">
        <v>0.08</v>
      </c>
      <c r="N1434" t="s">
        <v>1821</v>
      </c>
    </row>
    <row r="1435" spans="1:14">
      <c r="A1435">
        <v>4934</v>
      </c>
      <c r="B1435" t="s">
        <v>1220</v>
      </c>
      <c r="C1435">
        <v>14.55</v>
      </c>
      <c r="D1435">
        <v>14.15</v>
      </c>
      <c r="E1435" s="178">
        <v>-0.4</v>
      </c>
      <c r="F1435" s="176">
        <v>-2.75</v>
      </c>
      <c r="G1435" t="s">
        <v>5235</v>
      </c>
      <c r="H1435">
        <v>352</v>
      </c>
      <c r="I1435">
        <v>392</v>
      </c>
      <c r="J1435">
        <v>22.5</v>
      </c>
      <c r="K1435">
        <v>14.55</v>
      </c>
      <c r="L1435">
        <v>14</v>
      </c>
      <c r="M1435" s="175">
        <v>0.16</v>
      </c>
      <c r="N1435" t="s">
        <v>1822</v>
      </c>
    </row>
    <row r="1436" spans="1:14">
      <c r="A1436">
        <v>4935</v>
      </c>
      <c r="B1436" t="s">
        <v>1221</v>
      </c>
      <c r="C1436">
        <v>34.549999999999997</v>
      </c>
      <c r="D1436">
        <v>33.799999999999997</v>
      </c>
      <c r="E1436" s="178">
        <v>0</v>
      </c>
      <c r="F1436" s="176">
        <v>0</v>
      </c>
      <c r="G1436" t="s">
        <v>6552</v>
      </c>
      <c r="H1436">
        <v>83</v>
      </c>
      <c r="I1436">
        <v>88</v>
      </c>
      <c r="J1436">
        <v>12.89</v>
      </c>
      <c r="K1436">
        <v>34.549999999999997</v>
      </c>
      <c r="L1436">
        <v>33.4</v>
      </c>
      <c r="M1436" s="175">
        <v>0.06</v>
      </c>
      <c r="N1436" t="s">
        <v>1823</v>
      </c>
    </row>
    <row r="1437" spans="1:14">
      <c r="A1437">
        <v>4938</v>
      </c>
      <c r="B1437" t="s">
        <v>1824</v>
      </c>
      <c r="C1437">
        <v>88</v>
      </c>
      <c r="D1437">
        <v>91.1</v>
      </c>
      <c r="E1437" s="178">
        <v>2.6</v>
      </c>
      <c r="F1437" s="176">
        <v>2.94</v>
      </c>
      <c r="G1437" t="s">
        <v>6553</v>
      </c>
      <c r="H1437">
        <v>20576</v>
      </c>
      <c r="I1437">
        <v>5478</v>
      </c>
      <c r="J1437">
        <v>267.57</v>
      </c>
      <c r="K1437">
        <v>91.9</v>
      </c>
      <c r="L1437">
        <v>87.7</v>
      </c>
      <c r="M1437" s="175">
        <v>0.77</v>
      </c>
      <c r="N1437" t="s">
        <v>4933</v>
      </c>
    </row>
    <row r="1438" spans="1:14">
      <c r="A1438">
        <v>4939</v>
      </c>
      <c r="B1438" t="s">
        <v>1222</v>
      </c>
      <c r="C1438">
        <v>89</v>
      </c>
      <c r="D1438">
        <v>89.2</v>
      </c>
      <c r="E1438" s="178">
        <v>-3.6</v>
      </c>
      <c r="F1438" s="176">
        <v>-3.88</v>
      </c>
      <c r="G1438" t="s">
        <v>6554</v>
      </c>
      <c r="H1438">
        <v>30617</v>
      </c>
      <c r="I1438">
        <v>37917</v>
      </c>
      <c r="J1438">
        <v>9.82</v>
      </c>
      <c r="K1438">
        <v>93.2</v>
      </c>
      <c r="L1438">
        <v>87.5</v>
      </c>
      <c r="M1438" s="175">
        <v>31.18</v>
      </c>
      <c r="N1438" t="s">
        <v>1825</v>
      </c>
    </row>
    <row r="1439" spans="1:14">
      <c r="A1439">
        <v>4942</v>
      </c>
      <c r="B1439" t="s">
        <v>1223</v>
      </c>
      <c r="C1439">
        <v>33.049999999999997</v>
      </c>
      <c r="D1439">
        <v>33.15</v>
      </c>
      <c r="E1439" s="178">
        <v>-0.1</v>
      </c>
      <c r="F1439" s="176">
        <v>-0.3</v>
      </c>
      <c r="G1439" t="s">
        <v>6249</v>
      </c>
      <c r="H1439">
        <v>38</v>
      </c>
      <c r="I1439">
        <v>76</v>
      </c>
      <c r="J1439">
        <v>14.24</v>
      </c>
      <c r="K1439">
        <v>33.200000000000003</v>
      </c>
      <c r="L1439">
        <v>33</v>
      </c>
      <c r="M1439" s="175">
        <v>0.03</v>
      </c>
      <c r="N1439" t="s">
        <v>1826</v>
      </c>
    </row>
    <row r="1440" spans="1:14">
      <c r="A1440">
        <v>4943</v>
      </c>
      <c r="B1440" t="s">
        <v>1224</v>
      </c>
      <c r="C1440">
        <v>8.4700000000000006</v>
      </c>
      <c r="D1440">
        <v>7.98</v>
      </c>
      <c r="E1440" s="178">
        <v>-0.02</v>
      </c>
      <c r="F1440" s="176">
        <v>-0.25</v>
      </c>
      <c r="G1440" t="s">
        <v>5454</v>
      </c>
      <c r="H1440">
        <v>15</v>
      </c>
      <c r="I1440">
        <v>25</v>
      </c>
      <c r="J1440">
        <v>12.67</v>
      </c>
      <c r="K1440">
        <v>8.4700000000000006</v>
      </c>
      <c r="L1440">
        <v>7.86</v>
      </c>
      <c r="M1440" s="175">
        <v>0.02</v>
      </c>
      <c r="N1440" t="s">
        <v>3140</v>
      </c>
    </row>
    <row r="1441" spans="1:14">
      <c r="A1441">
        <v>4946</v>
      </c>
      <c r="B1441" t="s">
        <v>4056</v>
      </c>
      <c r="C1441">
        <v>93.8</v>
      </c>
      <c r="D1441">
        <v>92.9</v>
      </c>
      <c r="E1441" s="178">
        <v>-1</v>
      </c>
      <c r="F1441" s="176">
        <v>-1.06</v>
      </c>
      <c r="G1441" t="s">
        <v>6555</v>
      </c>
      <c r="H1441">
        <v>7</v>
      </c>
      <c r="I1441">
        <v>18</v>
      </c>
      <c r="J1441">
        <v>0.89</v>
      </c>
      <c r="K1441">
        <v>93.8</v>
      </c>
      <c r="L1441">
        <v>92.8</v>
      </c>
      <c r="M1441" s="175">
        <v>0.08</v>
      </c>
      <c r="N1441" t="s">
        <v>4057</v>
      </c>
    </row>
    <row r="1442" spans="1:14">
      <c r="A1442">
        <v>4949</v>
      </c>
      <c r="B1442" t="s">
        <v>3500</v>
      </c>
      <c r="C1442">
        <v>73</v>
      </c>
      <c r="D1442">
        <v>76.7</v>
      </c>
      <c r="E1442" s="178">
        <v>2.2999999999999998</v>
      </c>
      <c r="F1442" s="176">
        <v>3.09</v>
      </c>
      <c r="G1442" t="s">
        <v>6556</v>
      </c>
      <c r="H1442">
        <v>1289</v>
      </c>
      <c r="I1442">
        <v>618</v>
      </c>
      <c r="J1442">
        <v>6.78</v>
      </c>
      <c r="K1442">
        <v>77.7</v>
      </c>
      <c r="L1442">
        <v>73</v>
      </c>
      <c r="M1442" s="175">
        <v>1.9</v>
      </c>
      <c r="N1442" t="s">
        <v>3501</v>
      </c>
    </row>
    <row r="1443" spans="1:14">
      <c r="A1443">
        <v>4950</v>
      </c>
      <c r="B1443" t="s">
        <v>4714</v>
      </c>
      <c r="C1443">
        <v>16.5</v>
      </c>
      <c r="D1443">
        <v>16</v>
      </c>
      <c r="E1443" s="178">
        <v>0</v>
      </c>
      <c r="F1443" s="176">
        <v>0</v>
      </c>
      <c r="G1443" t="s">
        <v>5697</v>
      </c>
      <c r="H1443">
        <v>6</v>
      </c>
      <c r="I1443">
        <v>21</v>
      </c>
      <c r="J1443">
        <v>5.77</v>
      </c>
      <c r="K1443">
        <v>16.5</v>
      </c>
      <c r="L1443">
        <v>15.7</v>
      </c>
      <c r="M1443" s="175">
        <v>0.01</v>
      </c>
      <c r="N1443" t="s">
        <v>4934</v>
      </c>
    </row>
    <row r="1444" spans="1:14">
      <c r="A1444">
        <v>4951</v>
      </c>
      <c r="B1444" t="s">
        <v>2205</v>
      </c>
      <c r="C1444">
        <v>79.099999999999994</v>
      </c>
      <c r="D1444">
        <v>78.400000000000006</v>
      </c>
      <c r="E1444" s="178">
        <v>-0.7</v>
      </c>
      <c r="F1444" s="176">
        <v>-0.88</v>
      </c>
      <c r="G1444" t="s">
        <v>6292</v>
      </c>
      <c r="H1444">
        <v>373</v>
      </c>
      <c r="I1444">
        <v>148</v>
      </c>
      <c r="J1444">
        <v>3.41</v>
      </c>
      <c r="K1444">
        <v>81.2</v>
      </c>
      <c r="L1444">
        <v>78.2</v>
      </c>
      <c r="M1444" s="175">
        <v>1.0900000000000001</v>
      </c>
      <c r="N1444" t="s">
        <v>2206</v>
      </c>
    </row>
    <row r="1445" spans="1:14">
      <c r="A1445">
        <v>4952</v>
      </c>
      <c r="B1445" t="s">
        <v>1225</v>
      </c>
      <c r="C1445">
        <v>51.1</v>
      </c>
      <c r="D1445">
        <v>50.9</v>
      </c>
      <c r="E1445" s="178">
        <v>-1</v>
      </c>
      <c r="F1445" s="176">
        <v>-1.93</v>
      </c>
      <c r="G1445" t="s">
        <v>6557</v>
      </c>
      <c r="H1445">
        <v>269</v>
      </c>
      <c r="I1445">
        <v>391</v>
      </c>
      <c r="J1445">
        <v>10.88</v>
      </c>
      <c r="K1445">
        <v>51.3</v>
      </c>
      <c r="L1445">
        <v>50.5</v>
      </c>
      <c r="M1445" s="175">
        <v>0.25</v>
      </c>
      <c r="N1445" t="s">
        <v>1827</v>
      </c>
    </row>
    <row r="1446" spans="1:14">
      <c r="A1446">
        <v>4953</v>
      </c>
      <c r="B1446" t="s">
        <v>5224</v>
      </c>
      <c r="C1446">
        <v>123</v>
      </c>
      <c r="D1446">
        <v>122.5</v>
      </c>
      <c r="E1446" s="178">
        <v>-2</v>
      </c>
      <c r="F1446" s="176">
        <v>-1.61</v>
      </c>
      <c r="G1446" t="s">
        <v>6558</v>
      </c>
      <c r="H1446">
        <v>135</v>
      </c>
      <c r="I1446">
        <v>155</v>
      </c>
      <c r="J1446">
        <v>7.43</v>
      </c>
      <c r="K1446">
        <v>124</v>
      </c>
      <c r="L1446">
        <v>122.5</v>
      </c>
      <c r="M1446" s="175">
        <v>0.18</v>
      </c>
      <c r="N1446" t="s">
        <v>5006</v>
      </c>
    </row>
    <row r="1447" spans="1:14">
      <c r="A1447">
        <v>4956</v>
      </c>
      <c r="B1447" t="s">
        <v>1227</v>
      </c>
      <c r="C1447">
        <v>36.450000000000003</v>
      </c>
      <c r="D1447">
        <v>36.299999999999997</v>
      </c>
      <c r="E1447" s="178">
        <v>-0.65</v>
      </c>
      <c r="F1447" s="176">
        <v>-1.76</v>
      </c>
      <c r="G1447" t="s">
        <v>6559</v>
      </c>
      <c r="H1447">
        <v>2615</v>
      </c>
      <c r="I1447">
        <v>5990</v>
      </c>
      <c r="J1447">
        <v>10.039999999999999</v>
      </c>
      <c r="K1447">
        <v>37.85</v>
      </c>
      <c r="L1447">
        <v>36.15</v>
      </c>
      <c r="M1447" s="175">
        <v>2.6</v>
      </c>
      <c r="N1447" t="s">
        <v>4210</v>
      </c>
    </row>
    <row r="1448" spans="1:14">
      <c r="A1448">
        <v>4958</v>
      </c>
      <c r="B1448" t="s">
        <v>1228</v>
      </c>
      <c r="C1448">
        <v>471</v>
      </c>
      <c r="D1448">
        <v>500</v>
      </c>
      <c r="E1448" s="178">
        <v>19.5</v>
      </c>
      <c r="F1448" s="176">
        <v>4.0599999999999996</v>
      </c>
      <c r="G1448" t="s">
        <v>6560</v>
      </c>
      <c r="H1448">
        <v>48109</v>
      </c>
      <c r="I1448">
        <v>20372</v>
      </c>
      <c r="J1448">
        <v>111.73</v>
      </c>
      <c r="K1448">
        <v>504</v>
      </c>
      <c r="L1448">
        <v>468</v>
      </c>
      <c r="M1448" s="175">
        <v>4.34</v>
      </c>
      <c r="N1448" t="s">
        <v>1828</v>
      </c>
    </row>
    <row r="1449" spans="1:14">
      <c r="A1449">
        <v>4960</v>
      </c>
      <c r="B1449" t="s">
        <v>1229</v>
      </c>
      <c r="C1449">
        <v>21.75</v>
      </c>
      <c r="D1449">
        <v>21.2</v>
      </c>
      <c r="E1449" s="178">
        <v>-0.65</v>
      </c>
      <c r="F1449" s="176">
        <v>-2.97</v>
      </c>
      <c r="G1449" t="s">
        <v>5733</v>
      </c>
      <c r="H1449">
        <v>2184</v>
      </c>
      <c r="I1449">
        <v>2712</v>
      </c>
      <c r="J1449">
        <v>57.17</v>
      </c>
      <c r="K1449">
        <v>21.75</v>
      </c>
      <c r="L1449">
        <v>20.85</v>
      </c>
      <c r="M1449" s="175">
        <v>0.38</v>
      </c>
      <c r="N1449" t="s">
        <v>1829</v>
      </c>
    </row>
    <row r="1450" spans="1:14">
      <c r="A1450">
        <v>4961</v>
      </c>
      <c r="B1450" t="s">
        <v>323</v>
      </c>
      <c r="C1450">
        <v>159</v>
      </c>
      <c r="D1450">
        <v>162.5</v>
      </c>
      <c r="E1450" s="178">
        <v>1.5</v>
      </c>
      <c r="F1450" s="176">
        <v>0.93</v>
      </c>
      <c r="G1450" t="s">
        <v>5676</v>
      </c>
      <c r="H1450">
        <v>774</v>
      </c>
      <c r="I1450">
        <v>246</v>
      </c>
      <c r="J1450">
        <v>12.13</v>
      </c>
      <c r="K1450">
        <v>163.5</v>
      </c>
      <c r="L1450">
        <v>158.5</v>
      </c>
      <c r="M1450" s="175">
        <v>0.64</v>
      </c>
      <c r="N1450" t="s">
        <v>5007</v>
      </c>
    </row>
    <row r="1451" spans="1:14">
      <c r="A1451">
        <v>4966</v>
      </c>
      <c r="B1451" t="s">
        <v>1230</v>
      </c>
      <c r="C1451">
        <v>576</v>
      </c>
      <c r="D1451">
        <v>578</v>
      </c>
      <c r="E1451" s="178">
        <v>-6</v>
      </c>
      <c r="F1451" s="176">
        <v>-1.03</v>
      </c>
      <c r="G1451" t="s">
        <v>5611</v>
      </c>
      <c r="H1451">
        <v>481</v>
      </c>
      <c r="I1451">
        <v>809</v>
      </c>
      <c r="J1451">
        <v>7.9</v>
      </c>
      <c r="K1451">
        <v>582</v>
      </c>
      <c r="L1451">
        <v>570</v>
      </c>
      <c r="M1451" s="175">
        <v>0.61</v>
      </c>
      <c r="N1451" t="s">
        <v>1830</v>
      </c>
    </row>
    <row r="1452" spans="1:14">
      <c r="A1452">
        <v>4967</v>
      </c>
      <c r="B1452" t="s">
        <v>2207</v>
      </c>
      <c r="C1452">
        <v>271.5</v>
      </c>
      <c r="D1452">
        <v>276</v>
      </c>
      <c r="E1452" s="178">
        <v>2.5</v>
      </c>
      <c r="F1452" s="176">
        <v>0.91</v>
      </c>
      <c r="G1452" t="s">
        <v>6561</v>
      </c>
      <c r="H1452">
        <v>2567</v>
      </c>
      <c r="I1452">
        <v>5497</v>
      </c>
      <c r="J1452">
        <v>9.86</v>
      </c>
      <c r="K1452">
        <v>279.5</v>
      </c>
      <c r="L1452">
        <v>271</v>
      </c>
      <c r="M1452" s="175">
        <v>3.02</v>
      </c>
      <c r="N1452" t="s">
        <v>2208</v>
      </c>
    </row>
    <row r="1453" spans="1:14">
      <c r="A1453">
        <v>4968</v>
      </c>
      <c r="B1453" t="s">
        <v>1231</v>
      </c>
      <c r="C1453">
        <v>92.8</v>
      </c>
      <c r="D1453">
        <v>90.8</v>
      </c>
      <c r="E1453" s="178">
        <v>-1.2</v>
      </c>
      <c r="F1453" s="176">
        <v>-1.3</v>
      </c>
      <c r="G1453" t="s">
        <v>6562</v>
      </c>
      <c r="H1453">
        <v>289</v>
      </c>
      <c r="I1453">
        <v>334</v>
      </c>
      <c r="J1453">
        <v>9.2200000000000006</v>
      </c>
      <c r="K1453">
        <v>92.8</v>
      </c>
      <c r="L1453">
        <v>90.7</v>
      </c>
      <c r="M1453" s="175">
        <v>0.31</v>
      </c>
      <c r="N1453" t="s">
        <v>1831</v>
      </c>
    </row>
    <row r="1454" spans="1:14">
      <c r="A1454">
        <v>4971</v>
      </c>
      <c r="B1454" t="s">
        <v>1232</v>
      </c>
      <c r="C1454">
        <v>555</v>
      </c>
      <c r="D1454">
        <v>600</v>
      </c>
      <c r="E1454" s="178">
        <v>32</v>
      </c>
      <c r="F1454" s="176">
        <v>5.63</v>
      </c>
      <c r="G1454" t="s">
        <v>5374</v>
      </c>
      <c r="H1454">
        <v>799</v>
      </c>
      <c r="I1454">
        <v>1147</v>
      </c>
      <c r="J1454">
        <v>4.72</v>
      </c>
      <c r="K1454">
        <v>600</v>
      </c>
      <c r="L1454">
        <v>555</v>
      </c>
      <c r="M1454" s="175">
        <v>1.69</v>
      </c>
      <c r="N1454" t="s">
        <v>1832</v>
      </c>
    </row>
    <row r="1455" spans="1:14">
      <c r="A1455">
        <v>4972</v>
      </c>
      <c r="B1455" t="s">
        <v>1233</v>
      </c>
      <c r="C1455">
        <v>16.850000000000001</v>
      </c>
      <c r="D1455">
        <v>16.8</v>
      </c>
      <c r="E1455" s="178">
        <v>0.05</v>
      </c>
      <c r="F1455" s="176">
        <v>0.3</v>
      </c>
      <c r="G1455" t="s">
        <v>6563</v>
      </c>
      <c r="H1455">
        <v>19</v>
      </c>
      <c r="I1455">
        <v>13</v>
      </c>
      <c r="J1455">
        <v>5.69</v>
      </c>
      <c r="K1455">
        <v>16.850000000000001</v>
      </c>
      <c r="L1455">
        <v>16.5</v>
      </c>
      <c r="M1455" s="175">
        <v>0.03</v>
      </c>
      <c r="N1455" t="s">
        <v>1833</v>
      </c>
    </row>
    <row r="1456" spans="1:14">
      <c r="A1456">
        <v>4973</v>
      </c>
      <c r="B1456" t="s">
        <v>1234</v>
      </c>
      <c r="C1456">
        <v>152</v>
      </c>
      <c r="D1456">
        <v>154</v>
      </c>
      <c r="E1456" s="178">
        <v>1</v>
      </c>
      <c r="F1456" s="176">
        <v>0.65</v>
      </c>
      <c r="G1456" t="s">
        <v>6564</v>
      </c>
      <c r="H1456">
        <v>865</v>
      </c>
      <c r="I1456">
        <v>1454</v>
      </c>
      <c r="J1456">
        <v>6.53</v>
      </c>
      <c r="K1456">
        <v>157</v>
      </c>
      <c r="L1456">
        <v>151</v>
      </c>
      <c r="M1456" s="175">
        <v>1.32</v>
      </c>
      <c r="N1456" t="s">
        <v>2209</v>
      </c>
    </row>
    <row r="1457" spans="1:14">
      <c r="A1457">
        <v>4974</v>
      </c>
      <c r="B1457" t="s">
        <v>93</v>
      </c>
      <c r="C1457">
        <v>68.599999999999994</v>
      </c>
      <c r="D1457">
        <v>69</v>
      </c>
      <c r="E1457" s="178">
        <v>0.4</v>
      </c>
      <c r="F1457" s="176">
        <v>0.57999999999999996</v>
      </c>
      <c r="G1457" t="s">
        <v>5571</v>
      </c>
      <c r="H1457">
        <v>44</v>
      </c>
      <c r="I1457">
        <v>109</v>
      </c>
      <c r="J1457">
        <v>7.25</v>
      </c>
      <c r="K1457">
        <v>69</v>
      </c>
      <c r="L1457">
        <v>68</v>
      </c>
      <c r="M1457" s="175">
        <v>0.06</v>
      </c>
      <c r="N1457" t="s">
        <v>2082</v>
      </c>
    </row>
    <row r="1458" spans="1:14">
      <c r="A1458">
        <v>4976</v>
      </c>
      <c r="B1458" t="s">
        <v>1235</v>
      </c>
      <c r="C1458">
        <v>39.1</v>
      </c>
      <c r="D1458">
        <v>38.700000000000003</v>
      </c>
      <c r="E1458" s="178">
        <v>-0.45</v>
      </c>
      <c r="F1458" s="176">
        <v>-1.1499999999999999</v>
      </c>
      <c r="G1458" t="s">
        <v>6565</v>
      </c>
      <c r="H1458">
        <v>1601</v>
      </c>
      <c r="I1458">
        <v>5326</v>
      </c>
      <c r="J1458">
        <v>14.12</v>
      </c>
      <c r="K1458">
        <v>39.450000000000003</v>
      </c>
      <c r="L1458">
        <v>38.549999999999997</v>
      </c>
      <c r="M1458" s="175">
        <v>1.1299999999999999</v>
      </c>
      <c r="N1458" t="s">
        <v>1834</v>
      </c>
    </row>
    <row r="1459" spans="1:14">
      <c r="A1459">
        <v>4977</v>
      </c>
      <c r="B1459" t="s">
        <v>1236</v>
      </c>
      <c r="C1459">
        <v>171</v>
      </c>
      <c r="D1459">
        <v>175</v>
      </c>
      <c r="E1459" s="178">
        <v>3</v>
      </c>
      <c r="F1459" s="176">
        <v>1.74</v>
      </c>
      <c r="G1459" t="s">
        <v>6566</v>
      </c>
      <c r="H1459">
        <v>2951</v>
      </c>
      <c r="I1459">
        <v>5531</v>
      </c>
      <c r="J1459">
        <v>8.27</v>
      </c>
      <c r="K1459">
        <v>176</v>
      </c>
      <c r="L1459">
        <v>168</v>
      </c>
      <c r="M1459" s="175">
        <v>3.24</v>
      </c>
      <c r="N1459" t="s">
        <v>1835</v>
      </c>
    </row>
    <row r="1460" spans="1:14">
      <c r="A1460">
        <v>4979</v>
      </c>
      <c r="B1460" t="s">
        <v>123</v>
      </c>
      <c r="C1460">
        <v>606</v>
      </c>
      <c r="D1460">
        <v>609</v>
      </c>
      <c r="E1460" s="178">
        <v>-1</v>
      </c>
      <c r="F1460" s="176">
        <v>-0.16</v>
      </c>
      <c r="G1460" t="s">
        <v>6567</v>
      </c>
      <c r="H1460">
        <v>2008</v>
      </c>
      <c r="I1460">
        <v>17724</v>
      </c>
      <c r="J1460">
        <v>14.28</v>
      </c>
      <c r="K1460">
        <v>613</v>
      </c>
      <c r="L1460">
        <v>589</v>
      </c>
      <c r="M1460" s="175">
        <v>1.41</v>
      </c>
      <c r="N1460" t="s">
        <v>1836</v>
      </c>
    </row>
    <row r="1461" spans="1:14">
      <c r="A1461">
        <v>4989</v>
      </c>
      <c r="B1461" t="s">
        <v>2022</v>
      </c>
      <c r="C1461">
        <v>66.8</v>
      </c>
      <c r="D1461">
        <v>64.7</v>
      </c>
      <c r="E1461" s="178">
        <v>-3.5</v>
      </c>
      <c r="F1461" s="176">
        <v>-5.13</v>
      </c>
      <c r="G1461" t="s">
        <v>6049</v>
      </c>
      <c r="H1461">
        <v>5582</v>
      </c>
      <c r="I1461">
        <v>8037</v>
      </c>
      <c r="J1461">
        <v>17.28</v>
      </c>
      <c r="K1461">
        <v>68.5</v>
      </c>
      <c r="L1461">
        <v>64.5</v>
      </c>
      <c r="M1461" s="175">
        <v>3.23</v>
      </c>
      <c r="N1461" t="s">
        <v>2023</v>
      </c>
    </row>
    <row r="1462" spans="1:14">
      <c r="A1462">
        <v>4991</v>
      </c>
      <c r="B1462" t="s">
        <v>1237</v>
      </c>
      <c r="C1462">
        <v>515</v>
      </c>
      <c r="D1462">
        <v>539</v>
      </c>
      <c r="E1462" s="178">
        <v>19</v>
      </c>
      <c r="F1462" s="176">
        <v>3.65</v>
      </c>
      <c r="G1462" t="s">
        <v>5589</v>
      </c>
      <c r="H1462">
        <v>5941</v>
      </c>
      <c r="I1462">
        <v>6283</v>
      </c>
      <c r="J1462">
        <v>12.14</v>
      </c>
      <c r="K1462">
        <v>543</v>
      </c>
      <c r="L1462">
        <v>505</v>
      </c>
      <c r="M1462" s="175">
        <v>4.9000000000000004</v>
      </c>
      <c r="N1462" t="s">
        <v>1837</v>
      </c>
    </row>
    <row r="1463" spans="1:14">
      <c r="A1463">
        <v>4994</v>
      </c>
      <c r="B1463" t="s">
        <v>1238</v>
      </c>
      <c r="C1463">
        <v>83</v>
      </c>
      <c r="D1463">
        <v>81.900000000000006</v>
      </c>
      <c r="E1463" s="178">
        <v>-1.9</v>
      </c>
      <c r="F1463" s="176">
        <v>-2.27</v>
      </c>
      <c r="G1463" t="s">
        <v>5217</v>
      </c>
      <c r="H1463">
        <v>18</v>
      </c>
      <c r="I1463">
        <v>10</v>
      </c>
      <c r="J1463">
        <v>6.64</v>
      </c>
      <c r="K1463">
        <v>83.7</v>
      </c>
      <c r="L1463">
        <v>80.900000000000006</v>
      </c>
      <c r="M1463" s="175">
        <v>0.03</v>
      </c>
      <c r="N1463" t="s">
        <v>2024</v>
      </c>
    </row>
    <row r="1464" spans="1:14">
      <c r="A1464">
        <v>4995</v>
      </c>
      <c r="B1464" t="s">
        <v>1239</v>
      </c>
      <c r="C1464">
        <v>50</v>
      </c>
      <c r="D1464">
        <v>50</v>
      </c>
      <c r="E1464" s="178">
        <v>-0.5</v>
      </c>
      <c r="F1464" s="176">
        <v>-0.99</v>
      </c>
      <c r="G1464" t="s">
        <v>5533</v>
      </c>
      <c r="H1464">
        <v>5</v>
      </c>
      <c r="I1464">
        <v>22</v>
      </c>
      <c r="J1464">
        <v>4.26</v>
      </c>
      <c r="K1464">
        <v>50</v>
      </c>
      <c r="L1464">
        <v>49.5</v>
      </c>
      <c r="M1464" s="175">
        <v>0.01</v>
      </c>
      <c r="N1464" t="s">
        <v>1838</v>
      </c>
    </row>
    <row r="1465" spans="1:14">
      <c r="A1465">
        <v>4999</v>
      </c>
      <c r="B1465" t="s">
        <v>1240</v>
      </c>
      <c r="C1465">
        <v>18.7</v>
      </c>
      <c r="D1465">
        <v>18.850000000000001</v>
      </c>
      <c r="E1465" s="178">
        <v>-0.1</v>
      </c>
      <c r="F1465" s="176">
        <v>-0.53</v>
      </c>
      <c r="G1465" t="s">
        <v>5465</v>
      </c>
      <c r="H1465">
        <v>36</v>
      </c>
      <c r="I1465">
        <v>36</v>
      </c>
      <c r="J1465">
        <v>7.44</v>
      </c>
      <c r="K1465">
        <v>18.899999999999999</v>
      </c>
      <c r="L1465">
        <v>18.55</v>
      </c>
      <c r="M1465" s="175">
        <v>0.05</v>
      </c>
      <c r="N1465" t="s">
        <v>1839</v>
      </c>
    </row>
    <row r="1466" spans="1:14">
      <c r="A1466">
        <v>5007</v>
      </c>
      <c r="B1466" t="s">
        <v>1241</v>
      </c>
      <c r="C1466">
        <v>56.4</v>
      </c>
      <c r="D1466">
        <v>56.4</v>
      </c>
      <c r="E1466" s="178">
        <v>0</v>
      </c>
      <c r="F1466" s="176">
        <v>0</v>
      </c>
      <c r="G1466" t="s">
        <v>5313</v>
      </c>
      <c r="H1466">
        <v>50</v>
      </c>
      <c r="I1466">
        <v>23</v>
      </c>
      <c r="J1466">
        <v>29.49</v>
      </c>
      <c r="K1466">
        <v>56.4</v>
      </c>
      <c r="L1466">
        <v>55.8</v>
      </c>
      <c r="M1466" s="175">
        <v>0.02</v>
      </c>
      <c r="N1466" t="s">
        <v>3978</v>
      </c>
    </row>
    <row r="1467" spans="1:14">
      <c r="A1467">
        <v>5009</v>
      </c>
      <c r="B1467" t="s">
        <v>1242</v>
      </c>
      <c r="C1467">
        <v>33.299999999999997</v>
      </c>
      <c r="D1467">
        <v>33.15</v>
      </c>
      <c r="E1467" s="178">
        <v>-0.15</v>
      </c>
      <c r="F1467" s="176">
        <v>-0.45</v>
      </c>
      <c r="G1467" t="s">
        <v>6568</v>
      </c>
      <c r="H1467">
        <v>1763</v>
      </c>
      <c r="I1467">
        <v>1457</v>
      </c>
      <c r="J1467">
        <v>60.25</v>
      </c>
      <c r="K1467">
        <v>33.6</v>
      </c>
      <c r="L1467">
        <v>32.9</v>
      </c>
      <c r="M1467" s="175">
        <v>0.28999999999999998</v>
      </c>
      <c r="N1467" t="s">
        <v>3585</v>
      </c>
    </row>
    <row r="1468" spans="1:14">
      <c r="A1468">
        <v>5011</v>
      </c>
      <c r="B1468" t="s">
        <v>1243</v>
      </c>
      <c r="C1468">
        <v>18.649999999999999</v>
      </c>
      <c r="D1468">
        <v>18</v>
      </c>
      <c r="E1468" s="178">
        <v>-0.65</v>
      </c>
      <c r="F1468" s="176">
        <v>-3.49</v>
      </c>
      <c r="G1468" t="s">
        <v>6569</v>
      </c>
      <c r="H1468">
        <v>430</v>
      </c>
      <c r="I1468">
        <v>297</v>
      </c>
      <c r="J1468">
        <v>10.07</v>
      </c>
      <c r="K1468">
        <v>18.649999999999999</v>
      </c>
      <c r="L1468">
        <v>18</v>
      </c>
      <c r="M1468" s="175">
        <v>0.43</v>
      </c>
      <c r="N1468" t="s">
        <v>4211</v>
      </c>
    </row>
    <row r="1469" spans="1:14">
      <c r="A1469">
        <v>5013</v>
      </c>
      <c r="B1469" t="s">
        <v>1244</v>
      </c>
      <c r="C1469">
        <v>29.4</v>
      </c>
      <c r="D1469">
        <v>29.55</v>
      </c>
      <c r="E1469" s="178">
        <v>0.45</v>
      </c>
      <c r="F1469" s="176">
        <v>1.55</v>
      </c>
      <c r="G1469" t="s">
        <v>6570</v>
      </c>
      <c r="H1469">
        <v>20</v>
      </c>
      <c r="I1469">
        <v>444</v>
      </c>
      <c r="J1469">
        <v>13.34</v>
      </c>
      <c r="K1469">
        <v>29.8</v>
      </c>
      <c r="L1469">
        <v>28.9</v>
      </c>
      <c r="M1469" s="175">
        <v>0.01</v>
      </c>
      <c r="N1469" t="s">
        <v>4084</v>
      </c>
    </row>
    <row r="1470" spans="1:14">
      <c r="A1470">
        <v>5014</v>
      </c>
      <c r="B1470" t="s">
        <v>1245</v>
      </c>
      <c r="C1470">
        <v>10.15</v>
      </c>
      <c r="D1470">
        <v>10.15</v>
      </c>
      <c r="E1470" s="178">
        <v>0.05</v>
      </c>
      <c r="F1470" s="176">
        <v>0.5</v>
      </c>
      <c r="G1470" t="s">
        <v>5331</v>
      </c>
      <c r="H1470">
        <v>187</v>
      </c>
      <c r="I1470">
        <v>167</v>
      </c>
      <c r="J1470">
        <v>18.329999999999998</v>
      </c>
      <c r="K1470">
        <v>10.15</v>
      </c>
      <c r="L1470">
        <v>10.1</v>
      </c>
      <c r="M1470" s="175">
        <v>0.1</v>
      </c>
      <c r="N1470" t="s">
        <v>3624</v>
      </c>
    </row>
    <row r="1471" spans="1:14">
      <c r="A1471">
        <v>5015</v>
      </c>
      <c r="B1471" t="s">
        <v>1246</v>
      </c>
      <c r="C1471">
        <v>22.1</v>
      </c>
      <c r="D1471">
        <v>22.15</v>
      </c>
      <c r="E1471" s="178">
        <v>0.05</v>
      </c>
      <c r="F1471" s="176">
        <v>0.23</v>
      </c>
      <c r="G1471" t="s">
        <v>5498</v>
      </c>
      <c r="H1471">
        <v>12</v>
      </c>
      <c r="I1471">
        <v>17</v>
      </c>
      <c r="J1471">
        <v>6.06</v>
      </c>
      <c r="K1471">
        <v>22.2</v>
      </c>
      <c r="L1471">
        <v>21.95</v>
      </c>
      <c r="M1471" s="175">
        <v>0.02</v>
      </c>
      <c r="N1471" t="s">
        <v>3895</v>
      </c>
    </row>
    <row r="1472" spans="1:14">
      <c r="A1472">
        <v>5016</v>
      </c>
      <c r="B1472" t="s">
        <v>1247</v>
      </c>
      <c r="C1472">
        <v>24.75</v>
      </c>
      <c r="D1472">
        <v>24.7</v>
      </c>
      <c r="E1472" s="178">
        <v>-0.1</v>
      </c>
      <c r="F1472" s="176">
        <v>-0.4</v>
      </c>
      <c r="G1472" t="s">
        <v>6571</v>
      </c>
      <c r="H1472">
        <v>17</v>
      </c>
      <c r="I1472">
        <v>14</v>
      </c>
      <c r="J1472">
        <v>4.96</v>
      </c>
      <c r="K1472">
        <v>24.75</v>
      </c>
      <c r="L1472">
        <v>24.65</v>
      </c>
      <c r="M1472" s="175">
        <v>0.03</v>
      </c>
      <c r="N1472" t="s">
        <v>1840</v>
      </c>
    </row>
    <row r="1473" spans="1:14">
      <c r="A1473">
        <v>5201</v>
      </c>
      <c r="B1473" t="s">
        <v>1248</v>
      </c>
      <c r="C1473">
        <v>26.05</v>
      </c>
      <c r="D1473">
        <v>26.4</v>
      </c>
      <c r="E1473" s="178">
        <v>0.25</v>
      </c>
      <c r="F1473" s="176">
        <v>0.96</v>
      </c>
      <c r="G1473" t="s">
        <v>5340</v>
      </c>
      <c r="H1473">
        <v>18</v>
      </c>
      <c r="I1473">
        <v>37</v>
      </c>
      <c r="J1473">
        <v>3.87</v>
      </c>
      <c r="K1473">
        <v>26.4</v>
      </c>
      <c r="L1473">
        <v>26</v>
      </c>
      <c r="M1473" s="175">
        <v>0.05</v>
      </c>
      <c r="N1473" t="s">
        <v>3262</v>
      </c>
    </row>
    <row r="1474" spans="1:14">
      <c r="A1474">
        <v>5202</v>
      </c>
      <c r="B1474" t="s">
        <v>1249</v>
      </c>
      <c r="C1474">
        <v>11.8</v>
      </c>
      <c r="D1474">
        <v>11.95</v>
      </c>
      <c r="E1474" s="178">
        <v>0.05</v>
      </c>
      <c r="F1474" s="176">
        <v>0.42</v>
      </c>
      <c r="G1474" t="s">
        <v>5342</v>
      </c>
      <c r="H1474">
        <v>93</v>
      </c>
      <c r="I1474">
        <v>121</v>
      </c>
      <c r="J1474">
        <v>8.91</v>
      </c>
      <c r="K1474">
        <v>12.25</v>
      </c>
      <c r="L1474">
        <v>11.8</v>
      </c>
      <c r="M1474" s="175">
        <v>0.1</v>
      </c>
      <c r="N1474" t="s">
        <v>3402</v>
      </c>
    </row>
    <row r="1475" spans="1:14">
      <c r="A1475">
        <v>5203</v>
      </c>
      <c r="B1475" t="s">
        <v>1250</v>
      </c>
      <c r="C1475">
        <v>58.9</v>
      </c>
      <c r="D1475">
        <v>59.2</v>
      </c>
      <c r="E1475" s="178">
        <v>0.3</v>
      </c>
      <c r="F1475" s="176">
        <v>0.51</v>
      </c>
      <c r="G1475" t="s">
        <v>5751</v>
      </c>
      <c r="H1475">
        <v>111</v>
      </c>
      <c r="I1475">
        <v>114</v>
      </c>
      <c r="J1475">
        <v>7.74</v>
      </c>
      <c r="K1475">
        <v>59.3</v>
      </c>
      <c r="L1475">
        <v>58.5</v>
      </c>
      <c r="M1475" s="175">
        <v>0.14000000000000001</v>
      </c>
      <c r="N1475" t="s">
        <v>3896</v>
      </c>
    </row>
    <row r="1476" spans="1:14">
      <c r="A1476">
        <v>5205</v>
      </c>
      <c r="B1476" t="s">
        <v>1251</v>
      </c>
      <c r="C1476" t="s">
        <v>1667</v>
      </c>
      <c r="D1476" t="s">
        <v>1667</v>
      </c>
      <c r="E1476" s="178" t="s">
        <v>1667</v>
      </c>
      <c r="F1476" s="176" t="s">
        <v>1667</v>
      </c>
      <c r="G1476" t="s">
        <v>1667</v>
      </c>
      <c r="H1476">
        <v>0</v>
      </c>
      <c r="I1476">
        <v>1</v>
      </c>
      <c r="J1476">
        <v>1.42</v>
      </c>
      <c r="K1476" t="s">
        <v>1667</v>
      </c>
      <c r="L1476" t="s">
        <v>1667</v>
      </c>
      <c r="M1476" s="175">
        <v>0</v>
      </c>
      <c r="N1476" t="s">
        <v>3353</v>
      </c>
    </row>
    <row r="1477" spans="1:14">
      <c r="A1477">
        <v>5206</v>
      </c>
      <c r="B1477" t="s">
        <v>1252</v>
      </c>
      <c r="C1477">
        <v>23.6</v>
      </c>
      <c r="D1477">
        <v>23.2</v>
      </c>
      <c r="E1477" s="178">
        <v>-0.5</v>
      </c>
      <c r="F1477" s="176">
        <v>-2.11</v>
      </c>
      <c r="G1477" t="s">
        <v>5835</v>
      </c>
      <c r="H1477">
        <v>415</v>
      </c>
      <c r="I1477">
        <v>227</v>
      </c>
      <c r="J1477">
        <v>20.11</v>
      </c>
      <c r="K1477">
        <v>23.65</v>
      </c>
      <c r="L1477">
        <v>23</v>
      </c>
      <c r="M1477" s="175">
        <v>0.21</v>
      </c>
      <c r="N1477" t="s">
        <v>1841</v>
      </c>
    </row>
    <row r="1478" spans="1:14">
      <c r="A1478">
        <v>5209</v>
      </c>
      <c r="B1478" t="s">
        <v>1253</v>
      </c>
      <c r="C1478">
        <v>156.5</v>
      </c>
      <c r="D1478">
        <v>157</v>
      </c>
      <c r="E1478" s="178">
        <v>0.5</v>
      </c>
      <c r="F1478" s="176">
        <v>0.32</v>
      </c>
      <c r="G1478" t="s">
        <v>6572</v>
      </c>
      <c r="H1478">
        <v>41</v>
      </c>
      <c r="I1478">
        <v>62</v>
      </c>
      <c r="J1478">
        <v>2.87</v>
      </c>
      <c r="K1478">
        <v>157</v>
      </c>
      <c r="L1478">
        <v>155</v>
      </c>
      <c r="M1478" s="175">
        <v>0.14000000000000001</v>
      </c>
      <c r="N1478" t="s">
        <v>1842</v>
      </c>
    </row>
    <row r="1479" spans="1:14">
      <c r="A1479">
        <v>5210</v>
      </c>
      <c r="B1479" t="s">
        <v>1254</v>
      </c>
      <c r="C1479">
        <v>29.05</v>
      </c>
      <c r="D1479">
        <v>28.8</v>
      </c>
      <c r="E1479" s="178">
        <v>-0.6</v>
      </c>
      <c r="F1479" s="176">
        <v>-2.04</v>
      </c>
      <c r="G1479" t="s">
        <v>5192</v>
      </c>
      <c r="H1479">
        <v>60</v>
      </c>
      <c r="I1479">
        <v>120</v>
      </c>
      <c r="J1479">
        <v>8.2200000000000006</v>
      </c>
      <c r="K1479">
        <v>29.4</v>
      </c>
      <c r="L1479">
        <v>28.75</v>
      </c>
      <c r="M1479" s="175">
        <v>7.0000000000000007E-2</v>
      </c>
      <c r="N1479" t="s">
        <v>1843</v>
      </c>
    </row>
    <row r="1480" spans="1:14">
      <c r="A1480">
        <v>5211</v>
      </c>
      <c r="B1480" t="s">
        <v>1255</v>
      </c>
      <c r="C1480">
        <v>19.05</v>
      </c>
      <c r="D1480">
        <v>19.100000000000001</v>
      </c>
      <c r="E1480" s="178">
        <v>-0.15</v>
      </c>
      <c r="F1480" s="176">
        <v>-0.78</v>
      </c>
      <c r="G1480" t="s">
        <v>6573</v>
      </c>
      <c r="H1480">
        <v>4</v>
      </c>
      <c r="I1480">
        <v>21</v>
      </c>
      <c r="J1480">
        <v>3.2</v>
      </c>
      <c r="K1480">
        <v>19.100000000000001</v>
      </c>
      <c r="L1480">
        <v>19</v>
      </c>
      <c r="M1480" s="175">
        <v>0.01</v>
      </c>
      <c r="N1480" t="s">
        <v>3403</v>
      </c>
    </row>
    <row r="1481" spans="1:14">
      <c r="A1481">
        <v>5212</v>
      </c>
      <c r="B1481" t="s">
        <v>1256</v>
      </c>
      <c r="C1481">
        <v>47</v>
      </c>
      <c r="D1481">
        <v>46.7</v>
      </c>
      <c r="E1481" s="178">
        <v>-0.3</v>
      </c>
      <c r="F1481" s="176">
        <v>-0.64</v>
      </c>
      <c r="G1481" t="s">
        <v>6574</v>
      </c>
      <c r="H1481">
        <v>2</v>
      </c>
      <c r="I1481">
        <v>8</v>
      </c>
      <c r="J1481">
        <v>3.46</v>
      </c>
      <c r="K1481">
        <v>47</v>
      </c>
      <c r="L1481">
        <v>46.7</v>
      </c>
      <c r="M1481" s="175">
        <v>0.01</v>
      </c>
      <c r="N1481" t="s">
        <v>3180</v>
      </c>
    </row>
    <row r="1482" spans="1:14">
      <c r="A1482">
        <v>5213</v>
      </c>
      <c r="B1482" t="s">
        <v>263</v>
      </c>
      <c r="C1482">
        <v>21.3</v>
      </c>
      <c r="D1482">
        <v>21.1</v>
      </c>
      <c r="E1482" s="178">
        <v>-0.2</v>
      </c>
      <c r="F1482" s="176">
        <v>-0.94</v>
      </c>
      <c r="G1482" t="s">
        <v>5377</v>
      </c>
      <c r="H1482">
        <v>135</v>
      </c>
      <c r="I1482">
        <v>128</v>
      </c>
      <c r="J1482">
        <v>72.13</v>
      </c>
      <c r="K1482">
        <v>21.3</v>
      </c>
      <c r="L1482">
        <v>21</v>
      </c>
      <c r="M1482" s="175">
        <v>0.02</v>
      </c>
      <c r="N1482" t="s">
        <v>1654</v>
      </c>
    </row>
    <row r="1483" spans="1:14">
      <c r="A1483">
        <v>5215</v>
      </c>
      <c r="B1483" t="s">
        <v>1257</v>
      </c>
      <c r="C1483">
        <v>38.25</v>
      </c>
      <c r="D1483">
        <v>38.700000000000003</v>
      </c>
      <c r="E1483" s="178">
        <v>-0.3</v>
      </c>
      <c r="F1483" s="176">
        <v>-0.77</v>
      </c>
      <c r="G1483" t="s">
        <v>6575</v>
      </c>
      <c r="H1483">
        <v>64</v>
      </c>
      <c r="I1483">
        <v>92</v>
      </c>
      <c r="J1483">
        <v>6.43</v>
      </c>
      <c r="K1483">
        <v>38.85</v>
      </c>
      <c r="L1483">
        <v>38.25</v>
      </c>
      <c r="M1483" s="175">
        <v>0.1</v>
      </c>
      <c r="N1483" t="s">
        <v>2210</v>
      </c>
    </row>
    <row r="1484" spans="1:14">
      <c r="A1484">
        <v>5220</v>
      </c>
      <c r="B1484" t="s">
        <v>316</v>
      </c>
      <c r="C1484">
        <v>19.899999999999999</v>
      </c>
      <c r="D1484">
        <v>19.899999999999999</v>
      </c>
      <c r="E1484" s="178">
        <v>-0.15</v>
      </c>
      <c r="F1484" s="176">
        <v>-0.75</v>
      </c>
      <c r="G1484" t="s">
        <v>6576</v>
      </c>
      <c r="H1484">
        <v>21</v>
      </c>
      <c r="I1484">
        <v>19</v>
      </c>
      <c r="J1484">
        <v>3.97</v>
      </c>
      <c r="K1484">
        <v>20</v>
      </c>
      <c r="L1484">
        <v>19.3</v>
      </c>
      <c r="M1484" s="175">
        <v>0.05</v>
      </c>
      <c r="N1484" t="s">
        <v>3586</v>
      </c>
    </row>
    <row r="1485" spans="1:14">
      <c r="A1485">
        <v>5222</v>
      </c>
      <c r="B1485" t="s">
        <v>2014</v>
      </c>
      <c r="C1485">
        <v>106</v>
      </c>
      <c r="D1485">
        <v>106</v>
      </c>
      <c r="E1485" s="178">
        <v>-1</v>
      </c>
      <c r="F1485" s="176">
        <v>-0.93</v>
      </c>
      <c r="G1485" t="s">
        <v>6577</v>
      </c>
      <c r="H1485">
        <v>162</v>
      </c>
      <c r="I1485">
        <v>217</v>
      </c>
      <c r="J1485">
        <v>10.01</v>
      </c>
      <c r="K1485">
        <v>106.5</v>
      </c>
      <c r="L1485">
        <v>104.5</v>
      </c>
      <c r="M1485" s="175">
        <v>0.16</v>
      </c>
      <c r="N1485" t="s">
        <v>3181</v>
      </c>
    </row>
    <row r="1486" spans="1:14">
      <c r="A1486">
        <v>5223</v>
      </c>
      <c r="B1486" t="s">
        <v>343</v>
      </c>
      <c r="C1486">
        <v>23.35</v>
      </c>
      <c r="D1486">
        <v>23.3</v>
      </c>
      <c r="E1486" s="178">
        <v>0</v>
      </c>
      <c r="F1486" s="176">
        <v>0</v>
      </c>
      <c r="G1486" t="s">
        <v>6578</v>
      </c>
      <c r="H1486">
        <v>3</v>
      </c>
      <c r="I1486">
        <v>10</v>
      </c>
      <c r="J1486">
        <v>4.45</v>
      </c>
      <c r="K1486">
        <v>23.35</v>
      </c>
      <c r="L1486">
        <v>23</v>
      </c>
      <c r="M1486" s="175">
        <v>0.01</v>
      </c>
      <c r="N1486" t="s">
        <v>1844</v>
      </c>
    </row>
    <row r="1487" spans="1:14">
      <c r="A1487">
        <v>5225</v>
      </c>
      <c r="B1487" t="s">
        <v>1258</v>
      </c>
      <c r="C1487">
        <v>60.5</v>
      </c>
      <c r="D1487">
        <v>60.4</v>
      </c>
      <c r="E1487" s="178">
        <v>-0.1</v>
      </c>
      <c r="F1487" s="176">
        <v>-0.17</v>
      </c>
      <c r="G1487" t="s">
        <v>6579</v>
      </c>
      <c r="H1487">
        <v>122</v>
      </c>
      <c r="I1487">
        <v>224</v>
      </c>
      <c r="J1487">
        <v>7.91</v>
      </c>
      <c r="K1487">
        <v>60.5</v>
      </c>
      <c r="L1487">
        <v>60</v>
      </c>
      <c r="M1487" s="175">
        <v>0.15</v>
      </c>
      <c r="N1487" t="s">
        <v>3534</v>
      </c>
    </row>
    <row r="1488" spans="1:14">
      <c r="A1488">
        <v>5227</v>
      </c>
      <c r="B1488" t="s">
        <v>124</v>
      </c>
      <c r="C1488">
        <v>30.7</v>
      </c>
      <c r="D1488">
        <v>30.35</v>
      </c>
      <c r="E1488" s="178">
        <v>-0.35</v>
      </c>
      <c r="F1488" s="176">
        <v>-1.1399999999999999</v>
      </c>
      <c r="G1488" t="s">
        <v>5292</v>
      </c>
      <c r="H1488">
        <v>161</v>
      </c>
      <c r="I1488">
        <v>235</v>
      </c>
      <c r="J1488">
        <v>9.6</v>
      </c>
      <c r="K1488">
        <v>30.75</v>
      </c>
      <c r="L1488">
        <v>30.2</v>
      </c>
      <c r="M1488" s="175">
        <v>0.17</v>
      </c>
      <c r="N1488" t="s">
        <v>4035</v>
      </c>
    </row>
    <row r="1489" spans="1:14">
      <c r="A1489">
        <v>5228</v>
      </c>
      <c r="B1489" t="s">
        <v>2112</v>
      </c>
      <c r="C1489">
        <v>42.3</v>
      </c>
      <c r="D1489">
        <v>41.05</v>
      </c>
      <c r="E1489" s="178">
        <v>-1.95</v>
      </c>
      <c r="F1489" s="176">
        <v>-4.53</v>
      </c>
      <c r="G1489" t="s">
        <v>5517</v>
      </c>
      <c r="H1489">
        <v>311</v>
      </c>
      <c r="I1489">
        <v>221</v>
      </c>
      <c r="J1489">
        <v>3.81</v>
      </c>
      <c r="K1489">
        <v>43.95</v>
      </c>
      <c r="L1489">
        <v>40.6</v>
      </c>
      <c r="M1489" s="175">
        <v>0.82</v>
      </c>
      <c r="N1489" t="s">
        <v>3263</v>
      </c>
    </row>
    <row r="1490" spans="1:14">
      <c r="A1490">
        <v>5230</v>
      </c>
      <c r="B1490" t="s">
        <v>1259</v>
      </c>
      <c r="C1490">
        <v>17.75</v>
      </c>
      <c r="D1490">
        <v>17.899999999999999</v>
      </c>
      <c r="E1490" s="178">
        <v>0.15</v>
      </c>
      <c r="F1490" s="176">
        <v>0.85</v>
      </c>
      <c r="G1490" t="s">
        <v>5342</v>
      </c>
      <c r="H1490">
        <v>65</v>
      </c>
      <c r="I1490">
        <v>112</v>
      </c>
      <c r="J1490">
        <v>6.72</v>
      </c>
      <c r="K1490">
        <v>17.899999999999999</v>
      </c>
      <c r="L1490">
        <v>17.5</v>
      </c>
      <c r="M1490" s="175">
        <v>0.12</v>
      </c>
      <c r="N1490" t="s">
        <v>3625</v>
      </c>
    </row>
    <row r="1491" spans="1:14">
      <c r="A1491">
        <v>5234</v>
      </c>
      <c r="B1491" t="s">
        <v>1260</v>
      </c>
      <c r="C1491">
        <v>303.5</v>
      </c>
      <c r="D1491">
        <v>295.5</v>
      </c>
      <c r="E1491" s="178">
        <v>-8</v>
      </c>
      <c r="F1491" s="176">
        <v>-2.64</v>
      </c>
      <c r="G1491" t="s">
        <v>6580</v>
      </c>
      <c r="H1491">
        <v>288</v>
      </c>
      <c r="I1491">
        <v>220</v>
      </c>
      <c r="J1491">
        <v>10.27</v>
      </c>
      <c r="K1491">
        <v>303.5</v>
      </c>
      <c r="L1491">
        <v>292.5</v>
      </c>
      <c r="M1491" s="175">
        <v>0.28000000000000003</v>
      </c>
      <c r="N1491" t="s">
        <v>1845</v>
      </c>
    </row>
    <row r="1492" spans="1:14">
      <c r="A1492">
        <v>5236</v>
      </c>
      <c r="B1492" t="s">
        <v>1846</v>
      </c>
      <c r="C1492">
        <v>135.5</v>
      </c>
      <c r="D1492">
        <v>134.5</v>
      </c>
      <c r="E1492" s="178">
        <v>-3</v>
      </c>
      <c r="F1492" s="176">
        <v>-2.1800000000000002</v>
      </c>
      <c r="G1492" t="s">
        <v>6581</v>
      </c>
      <c r="H1492">
        <v>114</v>
      </c>
      <c r="I1492">
        <v>88</v>
      </c>
      <c r="J1492">
        <v>6</v>
      </c>
      <c r="K1492">
        <v>136.5</v>
      </c>
      <c r="L1492">
        <v>133.5</v>
      </c>
      <c r="M1492" s="175">
        <v>0.19</v>
      </c>
      <c r="N1492" t="s">
        <v>3264</v>
      </c>
    </row>
    <row r="1493" spans="1:14">
      <c r="A1493">
        <v>5243</v>
      </c>
      <c r="B1493" t="s">
        <v>1261</v>
      </c>
      <c r="C1493">
        <v>90.1</v>
      </c>
      <c r="D1493">
        <v>90.3</v>
      </c>
      <c r="E1493" s="178">
        <v>-1</v>
      </c>
      <c r="F1493" s="176">
        <v>-1.1000000000000001</v>
      </c>
      <c r="G1493" t="s">
        <v>6582</v>
      </c>
      <c r="H1493">
        <v>855</v>
      </c>
      <c r="I1493">
        <v>1325</v>
      </c>
      <c r="J1493">
        <v>16.850000000000001</v>
      </c>
      <c r="K1493">
        <v>91.9</v>
      </c>
      <c r="L1493">
        <v>89.2</v>
      </c>
      <c r="M1493" s="175">
        <v>0.51</v>
      </c>
      <c r="N1493" t="s">
        <v>5008</v>
      </c>
    </row>
    <row r="1494" spans="1:14">
      <c r="A1494">
        <v>5244</v>
      </c>
      <c r="B1494" t="s">
        <v>2071</v>
      </c>
      <c r="C1494">
        <v>35.299999999999997</v>
      </c>
      <c r="D1494">
        <v>34.4</v>
      </c>
      <c r="E1494" s="178">
        <v>-1.2</v>
      </c>
      <c r="F1494" s="176">
        <v>-3.37</v>
      </c>
      <c r="G1494" t="s">
        <v>5322</v>
      </c>
      <c r="H1494">
        <v>147</v>
      </c>
      <c r="I1494">
        <v>161</v>
      </c>
      <c r="J1494">
        <v>6.82</v>
      </c>
      <c r="K1494">
        <v>35.4</v>
      </c>
      <c r="L1494">
        <v>34.4</v>
      </c>
      <c r="M1494" s="175">
        <v>0.22</v>
      </c>
      <c r="N1494" t="s">
        <v>3897</v>
      </c>
    </row>
    <row r="1495" spans="1:14">
      <c r="A1495">
        <v>5245</v>
      </c>
      <c r="B1495" t="s">
        <v>1262</v>
      </c>
      <c r="C1495">
        <v>22.9</v>
      </c>
      <c r="D1495">
        <v>23.1</v>
      </c>
      <c r="E1495" s="178">
        <v>-0.15</v>
      </c>
      <c r="F1495" s="176">
        <v>-0.65</v>
      </c>
      <c r="G1495" t="s">
        <v>5727</v>
      </c>
      <c r="H1495">
        <v>15</v>
      </c>
      <c r="I1495">
        <v>23</v>
      </c>
      <c r="J1495">
        <v>4.51</v>
      </c>
      <c r="K1495">
        <v>23.1</v>
      </c>
      <c r="L1495">
        <v>22.9</v>
      </c>
      <c r="M1495" s="175">
        <v>0.03</v>
      </c>
      <c r="N1495" t="s">
        <v>1847</v>
      </c>
    </row>
    <row r="1496" spans="1:14">
      <c r="A1496">
        <v>5251</v>
      </c>
      <c r="B1496" t="s">
        <v>1263</v>
      </c>
      <c r="C1496">
        <v>25.95</v>
      </c>
      <c r="D1496">
        <v>26</v>
      </c>
      <c r="E1496" s="178">
        <v>0.05</v>
      </c>
      <c r="F1496" s="176">
        <v>0.19</v>
      </c>
      <c r="G1496" t="s">
        <v>5145</v>
      </c>
      <c r="H1496">
        <v>44</v>
      </c>
      <c r="I1496">
        <v>36</v>
      </c>
      <c r="J1496">
        <v>3.37</v>
      </c>
      <c r="K1496">
        <v>26.35</v>
      </c>
      <c r="L1496">
        <v>25.55</v>
      </c>
      <c r="M1496" s="175">
        <v>0.13</v>
      </c>
      <c r="N1496" t="s">
        <v>3718</v>
      </c>
    </row>
    <row r="1497" spans="1:14">
      <c r="A1497">
        <v>5258</v>
      </c>
      <c r="B1497" t="s">
        <v>1264</v>
      </c>
      <c r="C1497">
        <v>47.75</v>
      </c>
      <c r="D1497">
        <v>46.4</v>
      </c>
      <c r="E1497" s="178">
        <v>-0.9</v>
      </c>
      <c r="F1497" s="176">
        <v>-1.9</v>
      </c>
      <c r="G1497" t="s">
        <v>6583</v>
      </c>
      <c r="H1497">
        <v>375</v>
      </c>
      <c r="I1497">
        <v>410</v>
      </c>
      <c r="J1497">
        <v>11.04</v>
      </c>
      <c r="K1497">
        <v>47.75</v>
      </c>
      <c r="L1497">
        <v>46.3</v>
      </c>
      <c r="M1497" s="175">
        <v>0.34</v>
      </c>
      <c r="N1497" t="s">
        <v>3095</v>
      </c>
    </row>
    <row r="1498" spans="1:14">
      <c r="A1498">
        <v>5263</v>
      </c>
      <c r="B1498" t="s">
        <v>1265</v>
      </c>
      <c r="C1498">
        <v>99.5</v>
      </c>
      <c r="D1498">
        <v>99.4</v>
      </c>
      <c r="E1498" s="178">
        <v>-0.1</v>
      </c>
      <c r="F1498" s="176">
        <v>-0.1</v>
      </c>
      <c r="G1498" t="s">
        <v>6584</v>
      </c>
      <c r="H1498">
        <v>397</v>
      </c>
      <c r="I1498">
        <v>377</v>
      </c>
      <c r="J1498">
        <v>7.89</v>
      </c>
      <c r="K1498">
        <v>101.5</v>
      </c>
      <c r="L1498">
        <v>98.6</v>
      </c>
      <c r="M1498" s="175">
        <v>0.5</v>
      </c>
      <c r="N1498" t="s">
        <v>3587</v>
      </c>
    </row>
    <row r="1499" spans="1:14">
      <c r="A1499">
        <v>5269</v>
      </c>
      <c r="B1499" t="s">
        <v>1266</v>
      </c>
      <c r="C1499">
        <v>1430</v>
      </c>
      <c r="D1499">
        <v>1425</v>
      </c>
      <c r="E1499" s="178">
        <v>-25</v>
      </c>
      <c r="F1499" s="176">
        <v>-1.72</v>
      </c>
      <c r="G1499" t="s">
        <v>6585</v>
      </c>
      <c r="H1499">
        <v>347</v>
      </c>
      <c r="I1499">
        <v>384</v>
      </c>
      <c r="J1499">
        <v>7.42</v>
      </c>
      <c r="K1499">
        <v>1440</v>
      </c>
      <c r="L1499">
        <v>1405</v>
      </c>
      <c r="M1499" s="175">
        <v>0.47</v>
      </c>
      <c r="N1499" t="s">
        <v>2075</v>
      </c>
    </row>
    <row r="1500" spans="1:14">
      <c r="A1500">
        <v>5272</v>
      </c>
      <c r="B1500" t="s">
        <v>1267</v>
      </c>
      <c r="C1500">
        <v>17.149999999999999</v>
      </c>
      <c r="D1500">
        <v>17.350000000000001</v>
      </c>
      <c r="E1500" s="178">
        <v>0.1</v>
      </c>
      <c r="F1500" s="176">
        <v>0.57999999999999996</v>
      </c>
      <c r="G1500" t="s">
        <v>5702</v>
      </c>
      <c r="H1500">
        <v>45</v>
      </c>
      <c r="I1500">
        <v>41</v>
      </c>
      <c r="J1500">
        <v>5.53</v>
      </c>
      <c r="K1500">
        <v>17.600000000000001</v>
      </c>
      <c r="L1500">
        <v>17</v>
      </c>
      <c r="M1500" s="175">
        <v>0.08</v>
      </c>
      <c r="N1500" t="s">
        <v>3182</v>
      </c>
    </row>
    <row r="1501" spans="1:14">
      <c r="A1501">
        <v>5274</v>
      </c>
      <c r="B1501" t="s">
        <v>1268</v>
      </c>
      <c r="C1501">
        <v>15630</v>
      </c>
      <c r="D1501">
        <v>16065</v>
      </c>
      <c r="E1501" s="178">
        <v>435</v>
      </c>
      <c r="F1501" s="176">
        <v>2.78</v>
      </c>
      <c r="G1501" t="s">
        <v>5633</v>
      </c>
      <c r="H1501">
        <v>358</v>
      </c>
      <c r="I1501">
        <v>290</v>
      </c>
      <c r="J1501">
        <v>4.16</v>
      </c>
      <c r="K1501">
        <v>16140</v>
      </c>
      <c r="L1501">
        <v>15010</v>
      </c>
      <c r="M1501" s="175">
        <v>0.86</v>
      </c>
      <c r="N1501" t="s">
        <v>4980</v>
      </c>
    </row>
    <row r="1502" spans="1:14">
      <c r="A1502">
        <v>5276</v>
      </c>
      <c r="B1502" t="s">
        <v>1269</v>
      </c>
      <c r="C1502" t="s">
        <v>1667</v>
      </c>
      <c r="D1502" t="s">
        <v>1667</v>
      </c>
      <c r="E1502" s="178" t="s">
        <v>1667</v>
      </c>
      <c r="F1502" s="176" t="s">
        <v>1667</v>
      </c>
      <c r="G1502" t="s">
        <v>1667</v>
      </c>
      <c r="H1502">
        <v>0</v>
      </c>
      <c r="I1502">
        <v>22</v>
      </c>
      <c r="J1502">
        <v>3.95</v>
      </c>
      <c r="K1502" t="s">
        <v>1667</v>
      </c>
      <c r="L1502" t="s">
        <v>1667</v>
      </c>
      <c r="M1502" s="175">
        <v>0</v>
      </c>
      <c r="N1502" t="s">
        <v>3104</v>
      </c>
    </row>
    <row r="1503" spans="1:14">
      <c r="A1503">
        <v>5278</v>
      </c>
      <c r="B1503" t="s">
        <v>4146</v>
      </c>
      <c r="C1503">
        <v>24.4</v>
      </c>
      <c r="D1503">
        <v>24.4</v>
      </c>
      <c r="E1503" s="178">
        <v>0</v>
      </c>
      <c r="F1503" s="176">
        <v>0</v>
      </c>
      <c r="G1503" t="s">
        <v>5740</v>
      </c>
      <c r="H1503">
        <v>56</v>
      </c>
      <c r="I1503">
        <v>102</v>
      </c>
      <c r="J1503">
        <v>3</v>
      </c>
      <c r="K1503">
        <v>24.65</v>
      </c>
      <c r="L1503">
        <v>24.1</v>
      </c>
      <c r="M1503" s="175">
        <v>0.02</v>
      </c>
      <c r="N1503" t="s">
        <v>4147</v>
      </c>
    </row>
    <row r="1504" spans="1:14">
      <c r="A1504">
        <v>5283</v>
      </c>
      <c r="B1504" t="s">
        <v>1270</v>
      </c>
      <c r="C1504">
        <v>51.4</v>
      </c>
      <c r="D1504">
        <v>52.4</v>
      </c>
      <c r="E1504" s="178">
        <v>0.5</v>
      </c>
      <c r="F1504" s="176">
        <v>0.96</v>
      </c>
      <c r="G1504" t="s">
        <v>6586</v>
      </c>
      <c r="H1504">
        <v>129</v>
      </c>
      <c r="I1504">
        <v>276</v>
      </c>
      <c r="J1504">
        <v>10.16</v>
      </c>
      <c r="K1504">
        <v>52.8</v>
      </c>
      <c r="L1504">
        <v>51.3</v>
      </c>
      <c r="M1504" s="175">
        <v>0.13</v>
      </c>
      <c r="N1504" t="s">
        <v>1848</v>
      </c>
    </row>
    <row r="1505" spans="1:14">
      <c r="A1505">
        <v>5284</v>
      </c>
      <c r="B1505" t="s">
        <v>1271</v>
      </c>
      <c r="C1505">
        <v>321</v>
      </c>
      <c r="D1505">
        <v>323</v>
      </c>
      <c r="E1505" s="178">
        <v>1.5</v>
      </c>
      <c r="F1505" s="176">
        <v>0.47</v>
      </c>
      <c r="G1505" t="s">
        <v>6587</v>
      </c>
      <c r="H1505">
        <v>231</v>
      </c>
      <c r="I1505">
        <v>306</v>
      </c>
      <c r="J1505">
        <v>5.51</v>
      </c>
      <c r="K1505">
        <v>330</v>
      </c>
      <c r="L1505">
        <v>316.5</v>
      </c>
      <c r="M1505" s="175">
        <v>0.42</v>
      </c>
      <c r="N1505" t="s">
        <v>1849</v>
      </c>
    </row>
    <row r="1506" spans="1:14">
      <c r="A1506">
        <v>5285</v>
      </c>
      <c r="B1506" t="s">
        <v>1272</v>
      </c>
      <c r="C1506">
        <v>83.4</v>
      </c>
      <c r="D1506">
        <v>81</v>
      </c>
      <c r="E1506" s="178">
        <v>-2.4</v>
      </c>
      <c r="F1506" s="176">
        <v>-2.88</v>
      </c>
      <c r="G1506" t="s">
        <v>6588</v>
      </c>
      <c r="H1506">
        <v>726</v>
      </c>
      <c r="I1506">
        <v>1294</v>
      </c>
      <c r="J1506">
        <v>10.199999999999999</v>
      </c>
      <c r="K1506">
        <v>83.8</v>
      </c>
      <c r="L1506">
        <v>79.400000000000006</v>
      </c>
      <c r="M1506" s="175">
        <v>0.71</v>
      </c>
      <c r="N1506" t="s">
        <v>1850</v>
      </c>
    </row>
    <row r="1507" spans="1:14">
      <c r="A1507">
        <v>5287</v>
      </c>
      <c r="B1507" t="s">
        <v>1273</v>
      </c>
      <c r="C1507">
        <v>136.5</v>
      </c>
      <c r="D1507">
        <v>136</v>
      </c>
      <c r="E1507" s="178">
        <v>-0.5</v>
      </c>
      <c r="F1507" s="176">
        <v>-0.37</v>
      </c>
      <c r="G1507" t="s">
        <v>6589</v>
      </c>
      <c r="H1507">
        <v>68</v>
      </c>
      <c r="I1507">
        <v>180</v>
      </c>
      <c r="J1507">
        <v>6.57</v>
      </c>
      <c r="K1507">
        <v>136.5</v>
      </c>
      <c r="L1507">
        <v>135.5</v>
      </c>
      <c r="M1507" s="175">
        <v>0.1</v>
      </c>
      <c r="N1507" t="s">
        <v>1851</v>
      </c>
    </row>
    <row r="1508" spans="1:14">
      <c r="A1508">
        <v>5288</v>
      </c>
      <c r="B1508" t="s">
        <v>1274</v>
      </c>
      <c r="C1508">
        <v>186</v>
      </c>
      <c r="D1508">
        <v>186.5</v>
      </c>
      <c r="E1508" s="178">
        <v>-1</v>
      </c>
      <c r="F1508" s="176">
        <v>-0.53</v>
      </c>
      <c r="G1508" t="s">
        <v>6590</v>
      </c>
      <c r="H1508">
        <v>101</v>
      </c>
      <c r="I1508">
        <v>41</v>
      </c>
      <c r="J1508">
        <v>6.97</v>
      </c>
      <c r="K1508">
        <v>188</v>
      </c>
      <c r="L1508">
        <v>184.5</v>
      </c>
      <c r="M1508" s="175">
        <v>0.14000000000000001</v>
      </c>
      <c r="N1508" t="s">
        <v>2211</v>
      </c>
    </row>
    <row r="1509" spans="1:14">
      <c r="A1509">
        <v>5289</v>
      </c>
      <c r="B1509" t="s">
        <v>1275</v>
      </c>
      <c r="C1509">
        <v>1460</v>
      </c>
      <c r="D1509">
        <v>1450</v>
      </c>
      <c r="E1509" s="178">
        <v>-20</v>
      </c>
      <c r="F1509" s="176">
        <v>-1.36</v>
      </c>
      <c r="G1509" t="s">
        <v>5601</v>
      </c>
      <c r="H1509">
        <v>1508</v>
      </c>
      <c r="I1509">
        <v>2136</v>
      </c>
      <c r="J1509">
        <v>9.83</v>
      </c>
      <c r="K1509">
        <v>1480</v>
      </c>
      <c r="L1509">
        <v>1430</v>
      </c>
      <c r="M1509" s="175">
        <v>1.53</v>
      </c>
      <c r="N1509" t="s">
        <v>1852</v>
      </c>
    </row>
    <row r="1510" spans="1:14">
      <c r="A1510">
        <v>5291</v>
      </c>
      <c r="B1510" t="s">
        <v>1276</v>
      </c>
      <c r="C1510">
        <v>67.7</v>
      </c>
      <c r="D1510">
        <v>69.5</v>
      </c>
      <c r="E1510" s="178">
        <v>1</v>
      </c>
      <c r="F1510" s="176">
        <v>1.46</v>
      </c>
      <c r="G1510" t="s">
        <v>5262</v>
      </c>
      <c r="H1510">
        <v>2620</v>
      </c>
      <c r="I1510">
        <v>2418</v>
      </c>
      <c r="J1510">
        <v>4.1900000000000004</v>
      </c>
      <c r="K1510">
        <v>71.8</v>
      </c>
      <c r="L1510">
        <v>66.5</v>
      </c>
      <c r="M1510" s="175">
        <v>6.25</v>
      </c>
      <c r="N1510" t="s">
        <v>1853</v>
      </c>
    </row>
    <row r="1511" spans="1:14">
      <c r="A1511">
        <v>5292</v>
      </c>
      <c r="B1511" t="s">
        <v>3113</v>
      </c>
      <c r="C1511">
        <v>217.5</v>
      </c>
      <c r="D1511">
        <v>219.5</v>
      </c>
      <c r="E1511" s="178">
        <v>-0.5</v>
      </c>
      <c r="F1511" s="176">
        <v>-0.23</v>
      </c>
      <c r="G1511" t="s">
        <v>6591</v>
      </c>
      <c r="H1511">
        <v>155</v>
      </c>
      <c r="I1511">
        <v>379</v>
      </c>
      <c r="J1511">
        <v>4.63</v>
      </c>
      <c r="K1511">
        <v>220</v>
      </c>
      <c r="L1511">
        <v>216.5</v>
      </c>
      <c r="M1511" s="175">
        <v>0.33</v>
      </c>
      <c r="N1511" t="s">
        <v>3114</v>
      </c>
    </row>
    <row r="1512" spans="1:14">
      <c r="A1512">
        <v>5299</v>
      </c>
      <c r="B1512" t="s">
        <v>315</v>
      </c>
      <c r="C1512">
        <v>98</v>
      </c>
      <c r="D1512">
        <v>97.1</v>
      </c>
      <c r="E1512" s="178">
        <v>-2.2000000000000002</v>
      </c>
      <c r="F1512" s="176">
        <v>-2.2200000000000002</v>
      </c>
      <c r="G1512" t="s">
        <v>6592</v>
      </c>
      <c r="H1512">
        <v>232</v>
      </c>
      <c r="I1512">
        <v>321</v>
      </c>
      <c r="J1512">
        <v>5.1100000000000003</v>
      </c>
      <c r="K1512">
        <v>98.3</v>
      </c>
      <c r="L1512">
        <v>96.9</v>
      </c>
      <c r="M1512" s="175">
        <v>0.46</v>
      </c>
      <c r="N1512" t="s">
        <v>1854</v>
      </c>
    </row>
    <row r="1513" spans="1:14">
      <c r="A1513">
        <v>5301</v>
      </c>
      <c r="B1513" t="s">
        <v>4715</v>
      </c>
      <c r="C1513">
        <v>5.79</v>
      </c>
      <c r="D1513">
        <v>5.67</v>
      </c>
      <c r="E1513" s="178">
        <v>-0.17</v>
      </c>
      <c r="F1513" s="176">
        <v>-2.91</v>
      </c>
      <c r="G1513" t="s">
        <v>6593</v>
      </c>
      <c r="H1513">
        <v>13</v>
      </c>
      <c r="I1513">
        <v>31</v>
      </c>
      <c r="J1513">
        <v>6.59</v>
      </c>
      <c r="K1513">
        <v>5.95</v>
      </c>
      <c r="L1513">
        <v>5.67</v>
      </c>
      <c r="M1513" s="175">
        <v>0.02</v>
      </c>
      <c r="N1513" t="s">
        <v>6594</v>
      </c>
    </row>
    <row r="1514" spans="1:14">
      <c r="A1514">
        <v>5302</v>
      </c>
      <c r="B1514" t="s">
        <v>1277</v>
      </c>
      <c r="C1514">
        <v>10.7</v>
      </c>
      <c r="D1514">
        <v>10.25</v>
      </c>
      <c r="E1514" s="178">
        <v>-0.25</v>
      </c>
      <c r="F1514" s="176">
        <v>-2.38</v>
      </c>
      <c r="G1514" t="s">
        <v>5207</v>
      </c>
      <c r="H1514">
        <v>294</v>
      </c>
      <c r="I1514">
        <v>187</v>
      </c>
      <c r="J1514">
        <v>15.99</v>
      </c>
      <c r="K1514">
        <v>10.7</v>
      </c>
      <c r="L1514">
        <v>10.199999999999999</v>
      </c>
      <c r="M1514" s="175">
        <v>0.18</v>
      </c>
      <c r="N1514" t="s">
        <v>1855</v>
      </c>
    </row>
    <row r="1515" spans="1:14">
      <c r="A1515">
        <v>5306</v>
      </c>
      <c r="B1515" t="s">
        <v>1278</v>
      </c>
      <c r="C1515">
        <v>94.3</v>
      </c>
      <c r="D1515">
        <v>93.6</v>
      </c>
      <c r="E1515" s="178">
        <v>-0.9</v>
      </c>
      <c r="F1515" s="176">
        <v>-0.95</v>
      </c>
      <c r="G1515" t="s">
        <v>6595</v>
      </c>
      <c r="H1515">
        <v>69</v>
      </c>
      <c r="I1515">
        <v>54</v>
      </c>
      <c r="J1515">
        <v>12.6</v>
      </c>
      <c r="K1515">
        <v>94.3</v>
      </c>
      <c r="L1515">
        <v>93.1</v>
      </c>
      <c r="M1515" s="175">
        <v>0.05</v>
      </c>
      <c r="N1515" t="s">
        <v>4503</v>
      </c>
    </row>
    <row r="1516" spans="1:14">
      <c r="A1516">
        <v>5309</v>
      </c>
      <c r="B1516" t="s">
        <v>1279</v>
      </c>
      <c r="C1516">
        <v>53.9</v>
      </c>
      <c r="D1516">
        <v>53.9</v>
      </c>
      <c r="E1516" s="178">
        <v>-0.3</v>
      </c>
      <c r="F1516" s="176">
        <v>-0.55000000000000004</v>
      </c>
      <c r="G1516" t="s">
        <v>5733</v>
      </c>
      <c r="H1516">
        <v>860</v>
      </c>
      <c r="I1516">
        <v>1479</v>
      </c>
      <c r="J1516">
        <v>23.17</v>
      </c>
      <c r="K1516">
        <v>54.4</v>
      </c>
      <c r="L1516">
        <v>53.1</v>
      </c>
      <c r="M1516" s="175">
        <v>0.37</v>
      </c>
      <c r="N1516" t="s">
        <v>3265</v>
      </c>
    </row>
    <row r="1517" spans="1:14">
      <c r="A1517">
        <v>5310</v>
      </c>
      <c r="B1517" t="s">
        <v>2061</v>
      </c>
      <c r="C1517" t="s">
        <v>1667</v>
      </c>
      <c r="D1517" t="s">
        <v>1667</v>
      </c>
      <c r="E1517" s="178" t="s">
        <v>1667</v>
      </c>
      <c r="F1517" s="176" t="s">
        <v>1667</v>
      </c>
      <c r="G1517" t="s">
        <v>1667</v>
      </c>
      <c r="H1517">
        <v>0</v>
      </c>
      <c r="I1517">
        <v>6</v>
      </c>
      <c r="J1517">
        <v>2.89</v>
      </c>
      <c r="K1517" t="s">
        <v>1667</v>
      </c>
      <c r="L1517" t="s">
        <v>1667</v>
      </c>
      <c r="M1517" s="175">
        <v>0</v>
      </c>
      <c r="N1517" t="s">
        <v>2062</v>
      </c>
    </row>
    <row r="1518" spans="1:14">
      <c r="A1518">
        <v>5312</v>
      </c>
      <c r="B1518" t="s">
        <v>1280</v>
      </c>
      <c r="C1518">
        <v>92</v>
      </c>
      <c r="D1518">
        <v>92.1</v>
      </c>
      <c r="E1518" s="178">
        <v>-0.1</v>
      </c>
      <c r="F1518" s="176">
        <v>-0.11</v>
      </c>
      <c r="G1518" t="s">
        <v>5162</v>
      </c>
      <c r="H1518">
        <v>18</v>
      </c>
      <c r="I1518">
        <v>22</v>
      </c>
      <c r="J1518">
        <v>6.01</v>
      </c>
      <c r="K1518">
        <v>92.1</v>
      </c>
      <c r="L1518">
        <v>91.8</v>
      </c>
      <c r="M1518" s="175">
        <v>0.03</v>
      </c>
      <c r="N1518" t="s">
        <v>3626</v>
      </c>
    </row>
    <row r="1519" spans="1:14">
      <c r="A1519">
        <v>5314</v>
      </c>
      <c r="B1519" t="s">
        <v>4465</v>
      </c>
      <c r="C1519">
        <v>30.8</v>
      </c>
      <c r="D1519">
        <v>36</v>
      </c>
      <c r="E1519" s="178">
        <v>1.8</v>
      </c>
      <c r="F1519" s="176">
        <v>5.26</v>
      </c>
      <c r="G1519" t="s">
        <v>5748</v>
      </c>
      <c r="H1519">
        <v>11824</v>
      </c>
      <c r="I1519">
        <v>6751</v>
      </c>
      <c r="J1519">
        <v>6.02</v>
      </c>
      <c r="K1519">
        <v>36</v>
      </c>
      <c r="L1519">
        <v>30.8</v>
      </c>
      <c r="M1519" s="175">
        <v>0.98</v>
      </c>
      <c r="N1519" t="s">
        <v>4466</v>
      </c>
    </row>
    <row r="1520" spans="1:14">
      <c r="A1520">
        <v>5315</v>
      </c>
      <c r="B1520" t="s">
        <v>1281</v>
      </c>
      <c r="C1520">
        <v>19.2</v>
      </c>
      <c r="D1520">
        <v>19.100000000000001</v>
      </c>
      <c r="E1520" s="178">
        <v>-0.15</v>
      </c>
      <c r="F1520" s="176">
        <v>-0.78</v>
      </c>
      <c r="G1520" t="s">
        <v>5191</v>
      </c>
      <c r="H1520">
        <v>114</v>
      </c>
      <c r="I1520">
        <v>155</v>
      </c>
      <c r="J1520">
        <v>10.64</v>
      </c>
      <c r="K1520">
        <v>19.45</v>
      </c>
      <c r="L1520">
        <v>19.100000000000001</v>
      </c>
      <c r="M1520" s="175">
        <v>0.11</v>
      </c>
      <c r="N1520" t="s">
        <v>3384</v>
      </c>
    </row>
    <row r="1521" spans="1:14">
      <c r="A1521">
        <v>5321</v>
      </c>
      <c r="B1521" t="s">
        <v>1856</v>
      </c>
      <c r="C1521">
        <v>83.4</v>
      </c>
      <c r="D1521">
        <v>86.7</v>
      </c>
      <c r="E1521" s="178">
        <v>1.7</v>
      </c>
      <c r="F1521" s="176">
        <v>2</v>
      </c>
      <c r="G1521" t="s">
        <v>5355</v>
      </c>
      <c r="H1521">
        <v>1936</v>
      </c>
      <c r="I1521">
        <v>739</v>
      </c>
      <c r="J1521">
        <v>5.95</v>
      </c>
      <c r="K1521">
        <v>88.1</v>
      </c>
      <c r="L1521">
        <v>78</v>
      </c>
      <c r="M1521" s="175">
        <v>3.25</v>
      </c>
      <c r="N1521" t="s">
        <v>1701</v>
      </c>
    </row>
    <row r="1522" spans="1:14">
      <c r="A1522">
        <v>5324</v>
      </c>
      <c r="B1522" t="s">
        <v>1282</v>
      </c>
      <c r="C1522">
        <v>12.25</v>
      </c>
      <c r="D1522">
        <v>12.3</v>
      </c>
      <c r="E1522" s="178">
        <v>0</v>
      </c>
      <c r="F1522" s="176">
        <v>0</v>
      </c>
      <c r="G1522" t="s">
        <v>5534</v>
      </c>
      <c r="H1522">
        <v>272</v>
      </c>
      <c r="I1522">
        <v>252</v>
      </c>
      <c r="J1522">
        <v>22.64</v>
      </c>
      <c r="K1522">
        <v>12.3</v>
      </c>
      <c r="L1522">
        <v>12.1</v>
      </c>
      <c r="M1522" s="175">
        <v>0.12</v>
      </c>
      <c r="N1522" t="s">
        <v>2073</v>
      </c>
    </row>
    <row r="1523" spans="1:14">
      <c r="A1523">
        <v>5328</v>
      </c>
      <c r="B1523" t="s">
        <v>1283</v>
      </c>
      <c r="C1523">
        <v>62.5</v>
      </c>
      <c r="D1523">
        <v>62.1</v>
      </c>
      <c r="E1523" s="178">
        <v>-0.9</v>
      </c>
      <c r="F1523" s="176">
        <v>-1.43</v>
      </c>
      <c r="G1523" t="s">
        <v>6596</v>
      </c>
      <c r="H1523">
        <v>5311</v>
      </c>
      <c r="I1523">
        <v>7602</v>
      </c>
      <c r="J1523">
        <v>17.27</v>
      </c>
      <c r="K1523">
        <v>64.5</v>
      </c>
      <c r="L1523">
        <v>61.4</v>
      </c>
      <c r="M1523" s="175">
        <v>3.08</v>
      </c>
      <c r="N1523" t="s">
        <v>3266</v>
      </c>
    </row>
    <row r="1524" spans="1:14">
      <c r="A1524">
        <v>5340</v>
      </c>
      <c r="B1524" t="s">
        <v>71</v>
      </c>
      <c r="C1524">
        <v>84</v>
      </c>
      <c r="D1524">
        <v>83.1</v>
      </c>
      <c r="E1524" s="178">
        <v>-1.7</v>
      </c>
      <c r="F1524" s="176">
        <v>-2</v>
      </c>
      <c r="G1524" t="s">
        <v>5620</v>
      </c>
      <c r="H1524">
        <v>5863</v>
      </c>
      <c r="I1524">
        <v>3500</v>
      </c>
      <c r="J1524">
        <v>19.489999999999998</v>
      </c>
      <c r="K1524">
        <v>87.8</v>
      </c>
      <c r="L1524">
        <v>83</v>
      </c>
      <c r="M1524" s="175">
        <v>3.01</v>
      </c>
      <c r="N1524" t="s">
        <v>3627</v>
      </c>
    </row>
    <row r="1525" spans="1:14">
      <c r="A1525">
        <v>5344</v>
      </c>
      <c r="B1525" t="s">
        <v>1284</v>
      </c>
      <c r="C1525">
        <v>13.6</v>
      </c>
      <c r="D1525">
        <v>13.6</v>
      </c>
      <c r="E1525" s="178">
        <v>0.05</v>
      </c>
      <c r="F1525" s="176">
        <v>0.37</v>
      </c>
      <c r="G1525" t="s">
        <v>6597</v>
      </c>
      <c r="H1525">
        <v>10</v>
      </c>
      <c r="I1525">
        <v>33</v>
      </c>
      <c r="J1525">
        <v>7.94</v>
      </c>
      <c r="K1525">
        <v>13.75</v>
      </c>
      <c r="L1525">
        <v>13.6</v>
      </c>
      <c r="M1525" s="175">
        <v>0.01</v>
      </c>
      <c r="N1525" t="s">
        <v>1857</v>
      </c>
    </row>
    <row r="1526" spans="1:14">
      <c r="A1526">
        <v>5345</v>
      </c>
      <c r="B1526" t="s">
        <v>4583</v>
      </c>
      <c r="C1526">
        <v>22.4</v>
      </c>
      <c r="D1526">
        <v>22.4</v>
      </c>
      <c r="E1526" s="178">
        <v>0.1</v>
      </c>
      <c r="F1526" s="176">
        <v>0.45</v>
      </c>
      <c r="G1526" t="s">
        <v>6598</v>
      </c>
      <c r="H1526">
        <v>9</v>
      </c>
      <c r="I1526">
        <v>17</v>
      </c>
      <c r="J1526">
        <v>3.78</v>
      </c>
      <c r="K1526">
        <v>22.45</v>
      </c>
      <c r="L1526">
        <v>22.4</v>
      </c>
      <c r="M1526" s="175">
        <v>0.02</v>
      </c>
      <c r="N1526" t="s">
        <v>4578</v>
      </c>
    </row>
    <row r="1527" spans="1:14">
      <c r="A1527">
        <v>5347</v>
      </c>
      <c r="B1527" t="s">
        <v>264</v>
      </c>
      <c r="C1527">
        <v>150.5</v>
      </c>
      <c r="D1527">
        <v>151.5</v>
      </c>
      <c r="E1527" s="178">
        <v>-1.5</v>
      </c>
      <c r="F1527" s="176">
        <v>-0.98</v>
      </c>
      <c r="G1527" t="s">
        <v>5682</v>
      </c>
      <c r="H1527">
        <v>13264</v>
      </c>
      <c r="I1527">
        <v>13221</v>
      </c>
      <c r="J1527">
        <v>187.85</v>
      </c>
      <c r="K1527">
        <v>151.5</v>
      </c>
      <c r="L1527">
        <v>148</v>
      </c>
      <c r="M1527" s="175">
        <v>0.71</v>
      </c>
      <c r="N1527" t="s">
        <v>3267</v>
      </c>
    </row>
    <row r="1528" spans="1:14">
      <c r="A1528">
        <v>5348</v>
      </c>
      <c r="B1528" t="s">
        <v>4058</v>
      </c>
      <c r="C1528">
        <v>16.2</v>
      </c>
      <c r="D1528">
        <v>16.7</v>
      </c>
      <c r="E1528" s="178">
        <v>0.45</v>
      </c>
      <c r="F1528" s="176">
        <v>2.77</v>
      </c>
      <c r="G1528" t="s">
        <v>6599</v>
      </c>
      <c r="H1528">
        <v>4</v>
      </c>
      <c r="I1528">
        <v>4</v>
      </c>
      <c r="J1528">
        <v>1.48</v>
      </c>
      <c r="K1528">
        <v>16.8</v>
      </c>
      <c r="L1528">
        <v>16.2</v>
      </c>
      <c r="M1528" s="175">
        <v>0.03</v>
      </c>
      <c r="N1528" t="s">
        <v>4579</v>
      </c>
    </row>
    <row r="1529" spans="1:14">
      <c r="A1529">
        <v>5351</v>
      </c>
      <c r="B1529" t="s">
        <v>1285</v>
      </c>
      <c r="C1529">
        <v>114</v>
      </c>
      <c r="D1529">
        <v>118</v>
      </c>
      <c r="E1529" s="178">
        <v>2</v>
      </c>
      <c r="F1529" s="176">
        <v>1.72</v>
      </c>
      <c r="G1529" t="s">
        <v>5393</v>
      </c>
      <c r="H1529">
        <v>12320</v>
      </c>
      <c r="I1529">
        <v>13958</v>
      </c>
      <c r="J1529">
        <v>32.880000000000003</v>
      </c>
      <c r="K1529">
        <v>119.5</v>
      </c>
      <c r="L1529">
        <v>113.5</v>
      </c>
      <c r="M1529" s="175">
        <v>3.75</v>
      </c>
      <c r="N1529" t="s">
        <v>1687</v>
      </c>
    </row>
    <row r="1530" spans="1:14">
      <c r="A1530">
        <v>5353</v>
      </c>
      <c r="B1530" t="s">
        <v>1286</v>
      </c>
      <c r="C1530">
        <v>28.4</v>
      </c>
      <c r="D1530">
        <v>28</v>
      </c>
      <c r="E1530" s="178">
        <v>-0.05</v>
      </c>
      <c r="F1530" s="176">
        <v>-0.18</v>
      </c>
      <c r="G1530" t="s">
        <v>6600</v>
      </c>
      <c r="H1530">
        <v>18</v>
      </c>
      <c r="I1530">
        <v>26</v>
      </c>
      <c r="J1530">
        <v>7.65</v>
      </c>
      <c r="K1530">
        <v>28.4</v>
      </c>
      <c r="L1530">
        <v>27.9</v>
      </c>
      <c r="M1530" s="175">
        <v>0.02</v>
      </c>
      <c r="N1530" t="s">
        <v>1858</v>
      </c>
    </row>
    <row r="1531" spans="1:14">
      <c r="A1531">
        <v>5355</v>
      </c>
      <c r="B1531" t="s">
        <v>1287</v>
      </c>
      <c r="C1531">
        <v>5.89</v>
      </c>
      <c r="D1531">
        <v>5.84</v>
      </c>
      <c r="E1531" s="178">
        <v>-0.15</v>
      </c>
      <c r="F1531" s="176">
        <v>-2.5</v>
      </c>
      <c r="G1531" t="s">
        <v>6601</v>
      </c>
      <c r="H1531">
        <v>175</v>
      </c>
      <c r="I1531">
        <v>64</v>
      </c>
      <c r="J1531">
        <v>16.61</v>
      </c>
      <c r="K1531">
        <v>5.97</v>
      </c>
      <c r="L1531">
        <v>5.55</v>
      </c>
      <c r="M1531" s="175">
        <v>0.11</v>
      </c>
      <c r="N1531" t="s">
        <v>3962</v>
      </c>
    </row>
    <row r="1532" spans="1:14">
      <c r="A1532">
        <v>5356</v>
      </c>
      <c r="B1532" t="s">
        <v>1288</v>
      </c>
      <c r="C1532">
        <v>26.05</v>
      </c>
      <c r="D1532">
        <v>26.25</v>
      </c>
      <c r="E1532" s="178">
        <v>0.25</v>
      </c>
      <c r="F1532" s="176">
        <v>0.96</v>
      </c>
      <c r="G1532" t="s">
        <v>6602</v>
      </c>
      <c r="H1532">
        <v>33</v>
      </c>
      <c r="I1532">
        <v>143</v>
      </c>
      <c r="J1532">
        <v>10.3</v>
      </c>
      <c r="K1532">
        <v>26.25</v>
      </c>
      <c r="L1532">
        <v>25.9</v>
      </c>
      <c r="M1532" s="175">
        <v>0.03</v>
      </c>
      <c r="N1532" t="s">
        <v>4381</v>
      </c>
    </row>
    <row r="1533" spans="1:14">
      <c r="A1533">
        <v>5364</v>
      </c>
      <c r="B1533" t="s">
        <v>1289</v>
      </c>
      <c r="C1533">
        <v>8.43</v>
      </c>
      <c r="D1533">
        <v>8.4600000000000009</v>
      </c>
      <c r="E1533" s="178">
        <v>-0.05</v>
      </c>
      <c r="F1533" s="176">
        <v>-0.59</v>
      </c>
      <c r="G1533" t="s">
        <v>6249</v>
      </c>
      <c r="H1533">
        <v>150</v>
      </c>
      <c r="I1533">
        <v>28</v>
      </c>
      <c r="J1533">
        <v>6.38</v>
      </c>
      <c r="K1533">
        <v>8.56</v>
      </c>
      <c r="L1533">
        <v>8.4</v>
      </c>
      <c r="M1533" s="175">
        <v>0.23</v>
      </c>
      <c r="N1533" t="s">
        <v>3141</v>
      </c>
    </row>
    <row r="1534" spans="1:14">
      <c r="A1534">
        <v>5381</v>
      </c>
      <c r="B1534" t="s">
        <v>4967</v>
      </c>
      <c r="C1534">
        <v>26.75</v>
      </c>
      <c r="D1534">
        <v>26.6</v>
      </c>
      <c r="E1534" s="178">
        <v>-0.35</v>
      </c>
      <c r="F1534" s="176">
        <v>-1.3</v>
      </c>
      <c r="G1534" t="s">
        <v>5551</v>
      </c>
      <c r="H1534">
        <v>683</v>
      </c>
      <c r="I1534">
        <v>973</v>
      </c>
      <c r="J1534">
        <v>20.77</v>
      </c>
      <c r="K1534">
        <v>27.3</v>
      </c>
      <c r="L1534">
        <v>26.2</v>
      </c>
      <c r="M1534" s="175">
        <v>0.33</v>
      </c>
      <c r="N1534" t="s">
        <v>4968</v>
      </c>
    </row>
    <row r="1535" spans="1:14">
      <c r="A1535">
        <v>5386</v>
      </c>
      <c r="B1535" t="s">
        <v>1290</v>
      </c>
      <c r="C1535">
        <v>260</v>
      </c>
      <c r="D1535">
        <v>280</v>
      </c>
      <c r="E1535" s="178">
        <v>21.5</v>
      </c>
      <c r="F1535" s="176">
        <v>8.32</v>
      </c>
      <c r="G1535" t="s">
        <v>5955</v>
      </c>
      <c r="H1535">
        <v>3704</v>
      </c>
      <c r="I1535">
        <v>1118</v>
      </c>
      <c r="J1535">
        <v>5.41</v>
      </c>
      <c r="K1535">
        <v>282.5</v>
      </c>
      <c r="L1535">
        <v>260</v>
      </c>
      <c r="M1535" s="175">
        <v>6.84</v>
      </c>
      <c r="N1535" t="s">
        <v>2165</v>
      </c>
    </row>
    <row r="1536" spans="1:14">
      <c r="A1536">
        <v>5388</v>
      </c>
      <c r="B1536" t="s">
        <v>1291</v>
      </c>
      <c r="C1536">
        <v>77.5</v>
      </c>
      <c r="D1536">
        <v>77.2</v>
      </c>
      <c r="E1536" s="178">
        <v>-0.3</v>
      </c>
      <c r="F1536" s="176">
        <v>-0.39</v>
      </c>
      <c r="G1536" t="s">
        <v>5301</v>
      </c>
      <c r="H1536">
        <v>2509</v>
      </c>
      <c r="I1536">
        <v>2444</v>
      </c>
      <c r="J1536">
        <v>30.43</v>
      </c>
      <c r="K1536">
        <v>78.099999999999994</v>
      </c>
      <c r="L1536">
        <v>76.900000000000006</v>
      </c>
      <c r="M1536" s="175">
        <v>0.82</v>
      </c>
      <c r="N1536" t="s">
        <v>1859</v>
      </c>
    </row>
    <row r="1537" spans="1:14">
      <c r="A1537">
        <v>5392</v>
      </c>
      <c r="B1537" t="s">
        <v>1860</v>
      </c>
      <c r="C1537">
        <v>47.15</v>
      </c>
      <c r="D1537">
        <v>45.8</v>
      </c>
      <c r="E1537" s="178">
        <v>-1.35</v>
      </c>
      <c r="F1537" s="176">
        <v>-2.86</v>
      </c>
      <c r="G1537" t="s">
        <v>5198</v>
      </c>
      <c r="H1537">
        <v>2412</v>
      </c>
      <c r="I1537">
        <v>2505</v>
      </c>
      <c r="J1537">
        <v>18.010000000000002</v>
      </c>
      <c r="K1537">
        <v>47.65</v>
      </c>
      <c r="L1537">
        <v>45.65</v>
      </c>
      <c r="M1537" s="175">
        <v>1.34</v>
      </c>
      <c r="N1537" t="s">
        <v>2212</v>
      </c>
    </row>
    <row r="1538" spans="1:14">
      <c r="A1538">
        <v>5398</v>
      </c>
      <c r="B1538" t="s">
        <v>1292</v>
      </c>
      <c r="C1538">
        <v>14.4</v>
      </c>
      <c r="D1538">
        <v>14.35</v>
      </c>
      <c r="E1538" s="178">
        <v>-0.3</v>
      </c>
      <c r="F1538" s="176">
        <v>-2.0499999999999998</v>
      </c>
      <c r="G1538" t="s">
        <v>6603</v>
      </c>
      <c r="H1538">
        <v>43</v>
      </c>
      <c r="I1538">
        <v>32</v>
      </c>
      <c r="J1538">
        <v>4.95</v>
      </c>
      <c r="K1538">
        <v>14.55</v>
      </c>
      <c r="L1538">
        <v>14.35</v>
      </c>
      <c r="M1538" s="175">
        <v>0.09</v>
      </c>
      <c r="N1538" t="s">
        <v>3142</v>
      </c>
    </row>
    <row r="1539" spans="1:14">
      <c r="A1539">
        <v>5403</v>
      </c>
      <c r="B1539" t="s">
        <v>1293</v>
      </c>
      <c r="C1539">
        <v>93.1</v>
      </c>
      <c r="D1539">
        <v>93.1</v>
      </c>
      <c r="E1539" s="178">
        <v>0.2</v>
      </c>
      <c r="F1539" s="176">
        <v>0.22</v>
      </c>
      <c r="G1539" t="s">
        <v>6513</v>
      </c>
      <c r="H1539">
        <v>63</v>
      </c>
      <c r="I1539">
        <v>28</v>
      </c>
      <c r="J1539">
        <v>7.81</v>
      </c>
      <c r="K1539">
        <v>93.1</v>
      </c>
      <c r="L1539">
        <v>92.2</v>
      </c>
      <c r="M1539" s="175">
        <v>0.08</v>
      </c>
      <c r="N1539" t="s">
        <v>1861</v>
      </c>
    </row>
    <row r="1540" spans="1:14">
      <c r="A1540">
        <v>5410</v>
      </c>
      <c r="B1540" t="s">
        <v>1294</v>
      </c>
      <c r="C1540">
        <v>36.15</v>
      </c>
      <c r="D1540">
        <v>35.85</v>
      </c>
      <c r="E1540" s="178">
        <v>-0.4</v>
      </c>
      <c r="F1540" s="176">
        <v>-1.1000000000000001</v>
      </c>
      <c r="G1540" t="s">
        <v>5394</v>
      </c>
      <c r="H1540">
        <v>176</v>
      </c>
      <c r="I1540">
        <v>241</v>
      </c>
      <c r="J1540">
        <v>9.34</v>
      </c>
      <c r="K1540">
        <v>36.299999999999997</v>
      </c>
      <c r="L1540">
        <v>35.700000000000003</v>
      </c>
      <c r="M1540" s="175">
        <v>0.19</v>
      </c>
      <c r="N1540" t="s">
        <v>3898</v>
      </c>
    </row>
    <row r="1541" spans="1:14">
      <c r="A1541">
        <v>5425</v>
      </c>
      <c r="B1541" t="s">
        <v>1295</v>
      </c>
      <c r="C1541">
        <v>94.9</v>
      </c>
      <c r="D1541">
        <v>94.8</v>
      </c>
      <c r="E1541" s="178">
        <v>-1.5</v>
      </c>
      <c r="F1541" s="176">
        <v>-1.56</v>
      </c>
      <c r="G1541" t="s">
        <v>6604</v>
      </c>
      <c r="H1541">
        <v>10069</v>
      </c>
      <c r="I1541">
        <v>27141</v>
      </c>
      <c r="J1541">
        <v>26.35</v>
      </c>
      <c r="K1541">
        <v>96.3</v>
      </c>
      <c r="L1541">
        <v>93.2</v>
      </c>
      <c r="M1541" s="175">
        <v>3.82</v>
      </c>
      <c r="N1541" t="s">
        <v>1862</v>
      </c>
    </row>
    <row r="1542" spans="1:14">
      <c r="A1542">
        <v>5426</v>
      </c>
      <c r="B1542" t="s">
        <v>1296</v>
      </c>
      <c r="C1542">
        <v>28.35</v>
      </c>
      <c r="D1542">
        <v>30.6</v>
      </c>
      <c r="E1542" s="178">
        <v>2</v>
      </c>
      <c r="F1542" s="176">
        <v>6.99</v>
      </c>
      <c r="G1542" t="s">
        <v>5678</v>
      </c>
      <c r="H1542">
        <v>3341</v>
      </c>
      <c r="I1542">
        <v>901</v>
      </c>
      <c r="J1542">
        <v>14.38</v>
      </c>
      <c r="K1542">
        <v>31.45</v>
      </c>
      <c r="L1542">
        <v>27.6</v>
      </c>
      <c r="M1542" s="175">
        <v>2.3199999999999998</v>
      </c>
      <c r="N1542" t="s">
        <v>3943</v>
      </c>
    </row>
    <row r="1543" spans="1:14">
      <c r="A1543">
        <v>5432</v>
      </c>
      <c r="B1543" t="s">
        <v>1863</v>
      </c>
      <c r="C1543">
        <v>154</v>
      </c>
      <c r="D1543">
        <v>157</v>
      </c>
      <c r="E1543" s="178">
        <v>4.5</v>
      </c>
      <c r="F1543" s="176">
        <v>2.95</v>
      </c>
      <c r="G1543" t="s">
        <v>6605</v>
      </c>
      <c r="H1543">
        <v>284</v>
      </c>
      <c r="I1543">
        <v>209</v>
      </c>
      <c r="J1543">
        <v>2.0699999999999998</v>
      </c>
      <c r="K1543">
        <v>157.5</v>
      </c>
      <c r="L1543">
        <v>153</v>
      </c>
      <c r="M1543" s="175">
        <v>1.37</v>
      </c>
      <c r="N1543" t="s">
        <v>4063</v>
      </c>
    </row>
    <row r="1544" spans="1:14">
      <c r="A1544">
        <v>5434</v>
      </c>
      <c r="B1544" t="s">
        <v>1297</v>
      </c>
      <c r="C1544">
        <v>525</v>
      </c>
      <c r="D1544">
        <v>515</v>
      </c>
      <c r="E1544" s="178">
        <v>-14</v>
      </c>
      <c r="F1544" s="176">
        <v>-2.65</v>
      </c>
      <c r="G1544" t="s">
        <v>6606</v>
      </c>
      <c r="H1544">
        <v>879</v>
      </c>
      <c r="I1544">
        <v>386</v>
      </c>
      <c r="J1544">
        <v>19.399999999999999</v>
      </c>
      <c r="K1544">
        <v>525</v>
      </c>
      <c r="L1544">
        <v>507</v>
      </c>
      <c r="M1544" s="175">
        <v>0.45</v>
      </c>
      <c r="N1544" t="s">
        <v>1864</v>
      </c>
    </row>
    <row r="1545" spans="1:14">
      <c r="A1545">
        <v>5438</v>
      </c>
      <c r="B1545" t="s">
        <v>1298</v>
      </c>
      <c r="C1545">
        <v>16.7</v>
      </c>
      <c r="D1545">
        <v>16.899999999999999</v>
      </c>
      <c r="E1545" s="178">
        <v>0.1</v>
      </c>
      <c r="F1545" s="176">
        <v>0.6</v>
      </c>
      <c r="G1545" t="s">
        <v>5228</v>
      </c>
      <c r="H1545">
        <v>76</v>
      </c>
      <c r="I1545">
        <v>30</v>
      </c>
      <c r="J1545">
        <v>11.25</v>
      </c>
      <c r="K1545">
        <v>17.149999999999999</v>
      </c>
      <c r="L1545">
        <v>16.7</v>
      </c>
      <c r="M1545" s="175">
        <v>7.0000000000000007E-2</v>
      </c>
      <c r="N1545" t="s">
        <v>1865</v>
      </c>
    </row>
    <row r="1546" spans="1:14">
      <c r="A1546">
        <v>5439</v>
      </c>
      <c r="B1546" t="s">
        <v>1299</v>
      </c>
      <c r="C1546">
        <v>265</v>
      </c>
      <c r="D1546">
        <v>267.5</v>
      </c>
      <c r="E1546" s="178">
        <v>3</v>
      </c>
      <c r="F1546" s="176">
        <v>1.1299999999999999</v>
      </c>
      <c r="G1546" t="s">
        <v>5623</v>
      </c>
      <c r="H1546">
        <v>7272</v>
      </c>
      <c r="I1546">
        <v>2834</v>
      </c>
      <c r="J1546">
        <v>9.3000000000000007</v>
      </c>
      <c r="K1546">
        <v>279.5</v>
      </c>
      <c r="L1546">
        <v>262</v>
      </c>
      <c r="M1546" s="175">
        <v>7.82</v>
      </c>
      <c r="N1546" t="s">
        <v>1866</v>
      </c>
    </row>
    <row r="1547" spans="1:14">
      <c r="A1547">
        <v>5443</v>
      </c>
      <c r="B1547" t="s">
        <v>1300</v>
      </c>
      <c r="C1547">
        <v>112</v>
      </c>
      <c r="D1547">
        <v>113</v>
      </c>
      <c r="E1547" s="178">
        <v>1</v>
      </c>
      <c r="F1547" s="176">
        <v>0.89</v>
      </c>
      <c r="G1547" t="s">
        <v>5461</v>
      </c>
      <c r="H1547">
        <v>3676</v>
      </c>
      <c r="I1547">
        <v>1359</v>
      </c>
      <c r="J1547">
        <v>16.47</v>
      </c>
      <c r="K1547">
        <v>115.5</v>
      </c>
      <c r="L1547">
        <v>108</v>
      </c>
      <c r="M1547" s="175">
        <v>2.23</v>
      </c>
      <c r="N1547" t="s">
        <v>4014</v>
      </c>
    </row>
    <row r="1548" spans="1:14">
      <c r="A1548">
        <v>5450</v>
      </c>
      <c r="B1548" t="s">
        <v>1301</v>
      </c>
      <c r="C1548">
        <v>14.7</v>
      </c>
      <c r="D1548">
        <v>14.65</v>
      </c>
      <c r="E1548" s="178">
        <v>-0.15</v>
      </c>
      <c r="F1548" s="176">
        <v>-1.01</v>
      </c>
      <c r="G1548" t="s">
        <v>6607</v>
      </c>
      <c r="H1548">
        <v>62</v>
      </c>
      <c r="I1548">
        <v>97</v>
      </c>
      <c r="J1548">
        <v>12.24</v>
      </c>
      <c r="K1548">
        <v>14.9</v>
      </c>
      <c r="L1548">
        <v>14.65</v>
      </c>
      <c r="M1548" s="175">
        <v>0.05</v>
      </c>
      <c r="N1548" t="s">
        <v>1867</v>
      </c>
    </row>
    <row r="1549" spans="1:14">
      <c r="A1549">
        <v>5452</v>
      </c>
      <c r="B1549" t="s">
        <v>1302</v>
      </c>
      <c r="C1549">
        <v>27.9</v>
      </c>
      <c r="D1549">
        <v>28.05</v>
      </c>
      <c r="E1549" s="178">
        <v>-0.05</v>
      </c>
      <c r="F1549" s="176">
        <v>-0.18</v>
      </c>
      <c r="G1549" t="s">
        <v>6507</v>
      </c>
      <c r="H1549">
        <v>309</v>
      </c>
      <c r="I1549">
        <v>395</v>
      </c>
      <c r="J1549">
        <v>14.88</v>
      </c>
      <c r="K1549">
        <v>28.25</v>
      </c>
      <c r="L1549">
        <v>27.75</v>
      </c>
      <c r="M1549" s="175">
        <v>0.21</v>
      </c>
      <c r="N1549" t="s">
        <v>3268</v>
      </c>
    </row>
    <row r="1550" spans="1:14">
      <c r="A1550">
        <v>5455</v>
      </c>
      <c r="B1550" t="s">
        <v>1303</v>
      </c>
      <c r="C1550">
        <v>29.85</v>
      </c>
      <c r="D1550">
        <v>30.4</v>
      </c>
      <c r="E1550" s="178">
        <v>0.7</v>
      </c>
      <c r="F1550" s="176">
        <v>2.36</v>
      </c>
      <c r="G1550" t="s">
        <v>5314</v>
      </c>
      <c r="H1550">
        <v>5</v>
      </c>
      <c r="I1550">
        <v>3</v>
      </c>
      <c r="J1550">
        <v>6.55</v>
      </c>
      <c r="K1550">
        <v>30.4</v>
      </c>
      <c r="L1550">
        <v>29.85</v>
      </c>
      <c r="M1550" s="175">
        <v>0.01</v>
      </c>
      <c r="N1550" t="s">
        <v>3269</v>
      </c>
    </row>
    <row r="1551" spans="1:14">
      <c r="A1551">
        <v>5457</v>
      </c>
      <c r="B1551" t="s">
        <v>1304</v>
      </c>
      <c r="C1551">
        <v>27.9</v>
      </c>
      <c r="D1551">
        <v>28</v>
      </c>
      <c r="E1551" s="178">
        <v>0.05</v>
      </c>
      <c r="F1551" s="176">
        <v>0.18</v>
      </c>
      <c r="G1551" t="s">
        <v>6608</v>
      </c>
      <c r="H1551">
        <v>255</v>
      </c>
      <c r="I1551">
        <v>327</v>
      </c>
      <c r="J1551">
        <v>19.63</v>
      </c>
      <c r="K1551">
        <v>28.35</v>
      </c>
      <c r="L1551">
        <v>27.75</v>
      </c>
      <c r="M1551" s="175">
        <v>0.13</v>
      </c>
      <c r="N1551" t="s">
        <v>4382</v>
      </c>
    </row>
    <row r="1552" spans="1:14">
      <c r="A1552">
        <v>5460</v>
      </c>
      <c r="B1552" t="s">
        <v>1305</v>
      </c>
      <c r="C1552">
        <v>16</v>
      </c>
      <c r="D1552">
        <v>15.85</v>
      </c>
      <c r="E1552" s="178">
        <v>-0.35</v>
      </c>
      <c r="F1552" s="176">
        <v>-2.16</v>
      </c>
      <c r="G1552" t="s">
        <v>6014</v>
      </c>
      <c r="H1552">
        <v>166</v>
      </c>
      <c r="I1552">
        <v>56</v>
      </c>
      <c r="J1552">
        <v>5.88</v>
      </c>
      <c r="K1552">
        <v>16.100000000000001</v>
      </c>
      <c r="L1552">
        <v>15.8</v>
      </c>
      <c r="M1552" s="175">
        <v>0.28000000000000003</v>
      </c>
      <c r="N1552" t="s">
        <v>3443</v>
      </c>
    </row>
    <row r="1553" spans="1:14">
      <c r="A1553">
        <v>5464</v>
      </c>
      <c r="B1553" t="s">
        <v>1306</v>
      </c>
      <c r="C1553">
        <v>72.900000000000006</v>
      </c>
      <c r="D1553">
        <v>70.8</v>
      </c>
      <c r="E1553" s="178">
        <v>-2.2999999999999998</v>
      </c>
      <c r="F1553" s="176">
        <v>-3.15</v>
      </c>
      <c r="G1553" t="s">
        <v>5363</v>
      </c>
      <c r="H1553">
        <v>237</v>
      </c>
      <c r="I1553">
        <v>532</v>
      </c>
      <c r="J1553">
        <v>7.51</v>
      </c>
      <c r="K1553">
        <v>72.900000000000006</v>
      </c>
      <c r="L1553">
        <v>70</v>
      </c>
      <c r="M1553" s="175">
        <v>0.33</v>
      </c>
      <c r="N1553" t="s">
        <v>1868</v>
      </c>
    </row>
    <row r="1554" spans="1:14">
      <c r="A1554">
        <v>5465</v>
      </c>
      <c r="B1554" t="s">
        <v>2053</v>
      </c>
      <c r="C1554">
        <v>24.1</v>
      </c>
      <c r="D1554">
        <v>24.35</v>
      </c>
      <c r="E1554" s="178">
        <v>0.25</v>
      </c>
      <c r="F1554" s="176">
        <v>1.04</v>
      </c>
      <c r="G1554" t="s">
        <v>6609</v>
      </c>
      <c r="H1554">
        <v>29</v>
      </c>
      <c r="I1554">
        <v>33</v>
      </c>
      <c r="J1554">
        <v>14.77</v>
      </c>
      <c r="K1554">
        <v>24.35</v>
      </c>
      <c r="L1554">
        <v>24.05</v>
      </c>
      <c r="M1554" s="175">
        <v>0.02</v>
      </c>
      <c r="N1554" t="s">
        <v>2213</v>
      </c>
    </row>
    <row r="1555" spans="1:14">
      <c r="A1555">
        <v>5468</v>
      </c>
      <c r="B1555" t="s">
        <v>1307</v>
      </c>
      <c r="C1555">
        <v>25</v>
      </c>
      <c r="D1555">
        <v>24.5</v>
      </c>
      <c r="E1555" s="178">
        <v>-0.85</v>
      </c>
      <c r="F1555" s="176">
        <v>-3.35</v>
      </c>
      <c r="G1555" t="s">
        <v>6610</v>
      </c>
      <c r="H1555">
        <v>292</v>
      </c>
      <c r="I1555">
        <v>221</v>
      </c>
      <c r="J1555">
        <v>5.89</v>
      </c>
      <c r="K1555">
        <v>25</v>
      </c>
      <c r="L1555">
        <v>24</v>
      </c>
      <c r="M1555" s="175">
        <v>0.5</v>
      </c>
      <c r="N1555" t="s">
        <v>5009</v>
      </c>
    </row>
    <row r="1556" spans="1:14">
      <c r="A1556">
        <v>5469</v>
      </c>
      <c r="B1556" t="s">
        <v>4071</v>
      </c>
      <c r="C1556">
        <v>73.5</v>
      </c>
      <c r="D1556">
        <v>74</v>
      </c>
      <c r="E1556" s="178">
        <v>-0.8</v>
      </c>
      <c r="F1556" s="176">
        <v>-1.07</v>
      </c>
      <c r="G1556" t="s">
        <v>6611</v>
      </c>
      <c r="H1556">
        <v>1052</v>
      </c>
      <c r="I1556">
        <v>1213</v>
      </c>
      <c r="J1556">
        <v>48.62</v>
      </c>
      <c r="K1556">
        <v>74.7</v>
      </c>
      <c r="L1556">
        <v>73.5</v>
      </c>
      <c r="M1556" s="175">
        <v>0.22</v>
      </c>
      <c r="N1556" t="s">
        <v>4072</v>
      </c>
    </row>
    <row r="1557" spans="1:14">
      <c r="A1557">
        <v>5471</v>
      </c>
      <c r="B1557" t="s">
        <v>1308</v>
      </c>
      <c r="C1557">
        <v>61.4</v>
      </c>
      <c r="D1557">
        <v>61.2</v>
      </c>
      <c r="E1557" s="178">
        <v>-0.5</v>
      </c>
      <c r="F1557" s="176">
        <v>-0.81</v>
      </c>
      <c r="G1557" t="s">
        <v>5421</v>
      </c>
      <c r="H1557">
        <v>2854</v>
      </c>
      <c r="I1557">
        <v>4358</v>
      </c>
      <c r="J1557">
        <v>16.79</v>
      </c>
      <c r="K1557">
        <v>61.6</v>
      </c>
      <c r="L1557">
        <v>59.6</v>
      </c>
      <c r="M1557" s="175">
        <v>1.7</v>
      </c>
      <c r="N1557" t="s">
        <v>1869</v>
      </c>
    </row>
    <row r="1558" spans="1:14">
      <c r="A1558">
        <v>5474</v>
      </c>
      <c r="B1558" t="s">
        <v>1309</v>
      </c>
      <c r="C1558">
        <v>155</v>
      </c>
      <c r="D1558">
        <v>150.5</v>
      </c>
      <c r="E1558" s="178">
        <v>-3</v>
      </c>
      <c r="F1558" s="176">
        <v>-1.95</v>
      </c>
      <c r="G1558" t="s">
        <v>5618</v>
      </c>
      <c r="H1558">
        <v>75</v>
      </c>
      <c r="I1558">
        <v>110</v>
      </c>
      <c r="J1558">
        <v>3.98</v>
      </c>
      <c r="K1558">
        <v>155</v>
      </c>
      <c r="L1558">
        <v>150.5</v>
      </c>
      <c r="M1558" s="175">
        <v>0.19</v>
      </c>
      <c r="N1558" t="s">
        <v>1870</v>
      </c>
    </row>
    <row r="1559" spans="1:14">
      <c r="A1559">
        <v>5475</v>
      </c>
      <c r="B1559" t="s">
        <v>1310</v>
      </c>
      <c r="C1559">
        <v>197</v>
      </c>
      <c r="D1559">
        <v>204.5</v>
      </c>
      <c r="E1559" s="178">
        <v>3.5</v>
      </c>
      <c r="F1559" s="176">
        <v>1.74</v>
      </c>
      <c r="G1559" t="s">
        <v>6553</v>
      </c>
      <c r="H1559">
        <v>9052</v>
      </c>
      <c r="I1559">
        <v>7132</v>
      </c>
      <c r="J1559">
        <v>12.71</v>
      </c>
      <c r="K1559">
        <v>215</v>
      </c>
      <c r="L1559">
        <v>196.5</v>
      </c>
      <c r="M1559" s="175">
        <v>7.12</v>
      </c>
      <c r="N1559" t="s">
        <v>1871</v>
      </c>
    </row>
    <row r="1560" spans="1:14">
      <c r="A1560">
        <v>5478</v>
      </c>
      <c r="B1560" t="s">
        <v>1311</v>
      </c>
      <c r="C1560">
        <v>99.3</v>
      </c>
      <c r="D1560">
        <v>98.3</v>
      </c>
      <c r="E1560" s="178">
        <v>0</v>
      </c>
      <c r="F1560" s="176">
        <v>0</v>
      </c>
      <c r="G1560" t="s">
        <v>5380</v>
      </c>
      <c r="H1560">
        <v>58</v>
      </c>
      <c r="I1560">
        <v>67</v>
      </c>
      <c r="J1560">
        <v>15.61</v>
      </c>
      <c r="K1560">
        <v>99.3</v>
      </c>
      <c r="L1560">
        <v>98.3</v>
      </c>
      <c r="M1560" s="175">
        <v>0.04</v>
      </c>
      <c r="N1560" t="s">
        <v>1872</v>
      </c>
    </row>
    <row r="1561" spans="1:14">
      <c r="A1561">
        <v>5481</v>
      </c>
      <c r="B1561" t="s">
        <v>4650</v>
      </c>
      <c r="C1561">
        <v>20.65</v>
      </c>
      <c r="D1561">
        <v>20.8</v>
      </c>
      <c r="E1561" s="178">
        <v>0</v>
      </c>
      <c r="F1561" s="176">
        <v>0</v>
      </c>
      <c r="G1561" t="s">
        <v>5652</v>
      </c>
      <c r="H1561">
        <v>159</v>
      </c>
      <c r="I1561">
        <v>439</v>
      </c>
      <c r="J1561">
        <v>7.14</v>
      </c>
      <c r="K1561">
        <v>20.85</v>
      </c>
      <c r="L1561">
        <v>20.5</v>
      </c>
      <c r="M1561" s="175">
        <v>0.22</v>
      </c>
      <c r="N1561" t="s">
        <v>4651</v>
      </c>
    </row>
    <row r="1562" spans="1:14">
      <c r="A1562">
        <v>5483</v>
      </c>
      <c r="B1562" t="s">
        <v>1873</v>
      </c>
      <c r="C1562">
        <v>181</v>
      </c>
      <c r="D1562">
        <v>178</v>
      </c>
      <c r="E1562" s="178">
        <v>-5.5</v>
      </c>
      <c r="F1562" s="176">
        <v>-3</v>
      </c>
      <c r="G1562" t="s">
        <v>5395</v>
      </c>
      <c r="H1562">
        <v>15335</v>
      </c>
      <c r="I1562">
        <v>18354</v>
      </c>
      <c r="J1562">
        <v>64.12</v>
      </c>
      <c r="K1562">
        <v>181</v>
      </c>
      <c r="L1562">
        <v>173</v>
      </c>
      <c r="M1562" s="175">
        <v>2.39</v>
      </c>
      <c r="N1562" t="s">
        <v>4383</v>
      </c>
    </row>
    <row r="1563" spans="1:14">
      <c r="A1563">
        <v>5484</v>
      </c>
      <c r="B1563" t="s">
        <v>1312</v>
      </c>
      <c r="C1563">
        <v>40.5</v>
      </c>
      <c r="D1563">
        <v>39.799999999999997</v>
      </c>
      <c r="E1563" s="178">
        <v>-0.4</v>
      </c>
      <c r="F1563" s="176">
        <v>-1</v>
      </c>
      <c r="G1563" t="s">
        <v>5738</v>
      </c>
      <c r="H1563">
        <v>184</v>
      </c>
      <c r="I1563">
        <v>172</v>
      </c>
      <c r="J1563">
        <v>6.68</v>
      </c>
      <c r="K1563">
        <v>40.5</v>
      </c>
      <c r="L1563">
        <v>39.65</v>
      </c>
      <c r="M1563" s="175">
        <v>0.28000000000000003</v>
      </c>
      <c r="N1563" t="s">
        <v>3105</v>
      </c>
    </row>
    <row r="1564" spans="1:14">
      <c r="A1564">
        <v>5487</v>
      </c>
      <c r="B1564" t="s">
        <v>1313</v>
      </c>
      <c r="C1564">
        <v>28.85</v>
      </c>
      <c r="D1564">
        <v>28.75</v>
      </c>
      <c r="E1564" s="178">
        <v>0.1</v>
      </c>
      <c r="F1564" s="176">
        <v>0.35</v>
      </c>
      <c r="G1564" t="s">
        <v>6612</v>
      </c>
      <c r="H1564">
        <v>72</v>
      </c>
      <c r="I1564">
        <v>67</v>
      </c>
      <c r="J1564">
        <v>2.42</v>
      </c>
      <c r="K1564">
        <v>29.35</v>
      </c>
      <c r="L1564">
        <v>28.5</v>
      </c>
      <c r="M1564" s="175">
        <v>0.3</v>
      </c>
      <c r="N1564" t="s">
        <v>1874</v>
      </c>
    </row>
    <row r="1565" spans="1:14">
      <c r="A1565">
        <v>5488</v>
      </c>
      <c r="B1565" t="s">
        <v>1314</v>
      </c>
      <c r="C1565">
        <v>12.05</v>
      </c>
      <c r="D1565">
        <v>11.85</v>
      </c>
      <c r="E1565" s="178">
        <v>-0.25</v>
      </c>
      <c r="F1565" s="176">
        <v>-2.0699999999999998</v>
      </c>
      <c r="G1565" t="s">
        <v>6613</v>
      </c>
      <c r="H1565">
        <v>451</v>
      </c>
      <c r="I1565">
        <v>225</v>
      </c>
      <c r="J1565">
        <v>9.16</v>
      </c>
      <c r="K1565">
        <v>12.05</v>
      </c>
      <c r="L1565">
        <v>11.6</v>
      </c>
      <c r="M1565" s="175">
        <v>0.49</v>
      </c>
      <c r="N1565" t="s">
        <v>3984</v>
      </c>
    </row>
    <row r="1566" spans="1:14">
      <c r="A1566">
        <v>5489</v>
      </c>
      <c r="B1566" t="s">
        <v>1315</v>
      </c>
      <c r="C1566">
        <v>41.15</v>
      </c>
      <c r="D1566">
        <v>41.15</v>
      </c>
      <c r="E1566" s="178">
        <v>-0.15</v>
      </c>
      <c r="F1566" s="176">
        <v>-0.36</v>
      </c>
      <c r="G1566" t="s">
        <v>5268</v>
      </c>
      <c r="H1566">
        <v>35</v>
      </c>
      <c r="I1566">
        <v>48</v>
      </c>
      <c r="J1566">
        <v>10.27</v>
      </c>
      <c r="K1566">
        <v>41.65</v>
      </c>
      <c r="L1566">
        <v>41</v>
      </c>
      <c r="M1566" s="175">
        <v>0.03</v>
      </c>
      <c r="N1566" t="s">
        <v>1875</v>
      </c>
    </row>
    <row r="1567" spans="1:14">
      <c r="A1567">
        <v>5490</v>
      </c>
      <c r="B1567" t="s">
        <v>4646</v>
      </c>
      <c r="C1567">
        <v>28</v>
      </c>
      <c r="D1567">
        <v>27.6</v>
      </c>
      <c r="E1567" s="178">
        <v>-0.55000000000000004</v>
      </c>
      <c r="F1567" s="176">
        <v>-1.95</v>
      </c>
      <c r="G1567" t="s">
        <v>6614</v>
      </c>
      <c r="H1567">
        <v>572</v>
      </c>
      <c r="I1567">
        <v>528</v>
      </c>
      <c r="J1567">
        <v>9.6199999999999992</v>
      </c>
      <c r="K1567">
        <v>28.15</v>
      </c>
      <c r="L1567">
        <v>27.6</v>
      </c>
      <c r="M1567" s="175">
        <v>0.59</v>
      </c>
      <c r="N1567" t="s">
        <v>4647</v>
      </c>
    </row>
    <row r="1568" spans="1:14">
      <c r="A1568">
        <v>5493</v>
      </c>
      <c r="B1568" t="s">
        <v>1316</v>
      </c>
      <c r="C1568">
        <v>89.1</v>
      </c>
      <c r="D1568">
        <v>86.3</v>
      </c>
      <c r="E1568" s="178">
        <v>-2.2000000000000002</v>
      </c>
      <c r="F1568" s="176">
        <v>-2.4900000000000002</v>
      </c>
      <c r="G1568" t="s">
        <v>6615</v>
      </c>
      <c r="H1568">
        <v>377</v>
      </c>
      <c r="I1568">
        <v>154</v>
      </c>
      <c r="J1568">
        <v>4.37</v>
      </c>
      <c r="K1568">
        <v>89.5</v>
      </c>
      <c r="L1568">
        <v>85.8</v>
      </c>
      <c r="M1568" s="175">
        <v>0.86</v>
      </c>
      <c r="N1568" t="s">
        <v>1876</v>
      </c>
    </row>
    <row r="1569" spans="1:14">
      <c r="A1569">
        <v>5498</v>
      </c>
      <c r="B1569" t="s">
        <v>1317</v>
      </c>
      <c r="C1569">
        <v>56.4</v>
      </c>
      <c r="D1569">
        <v>56.2</v>
      </c>
      <c r="E1569" s="178">
        <v>-1.9</v>
      </c>
      <c r="F1569" s="176">
        <v>-3.27</v>
      </c>
      <c r="G1569" t="s">
        <v>5628</v>
      </c>
      <c r="H1569">
        <v>7709</v>
      </c>
      <c r="I1569">
        <v>3347</v>
      </c>
      <c r="J1569">
        <v>19.350000000000001</v>
      </c>
      <c r="K1569">
        <v>61.3</v>
      </c>
      <c r="L1569">
        <v>55.5</v>
      </c>
      <c r="M1569" s="175">
        <v>3.98</v>
      </c>
      <c r="N1569" t="s">
        <v>1877</v>
      </c>
    </row>
    <row r="1570" spans="1:14">
      <c r="A1570">
        <v>5508</v>
      </c>
      <c r="B1570" t="s">
        <v>1318</v>
      </c>
      <c r="C1570">
        <v>53</v>
      </c>
      <c r="D1570">
        <v>52.9</v>
      </c>
      <c r="E1570" s="178">
        <v>0</v>
      </c>
      <c r="F1570" s="176">
        <v>0</v>
      </c>
      <c r="G1570" t="s">
        <v>5595</v>
      </c>
      <c r="H1570">
        <v>155</v>
      </c>
      <c r="I1570">
        <v>180</v>
      </c>
      <c r="J1570">
        <v>21.74</v>
      </c>
      <c r="K1570">
        <v>53.4</v>
      </c>
      <c r="L1570">
        <v>52.7</v>
      </c>
      <c r="M1570" s="175">
        <v>7.0000000000000007E-2</v>
      </c>
      <c r="N1570" t="s">
        <v>1878</v>
      </c>
    </row>
    <row r="1571" spans="1:14">
      <c r="A1571">
        <v>5511</v>
      </c>
      <c r="B1571" t="s">
        <v>1319</v>
      </c>
      <c r="C1571">
        <v>71.5</v>
      </c>
      <c r="D1571">
        <v>70.900000000000006</v>
      </c>
      <c r="E1571" s="178">
        <v>-0.3</v>
      </c>
      <c r="F1571" s="176">
        <v>-0.42</v>
      </c>
      <c r="G1571" t="s">
        <v>6616</v>
      </c>
      <c r="H1571">
        <v>122</v>
      </c>
      <c r="I1571">
        <v>116</v>
      </c>
      <c r="J1571">
        <v>13.6</v>
      </c>
      <c r="K1571">
        <v>71.5</v>
      </c>
      <c r="L1571">
        <v>70.900000000000006</v>
      </c>
      <c r="M1571" s="175">
        <v>0.09</v>
      </c>
      <c r="N1571" t="s">
        <v>1879</v>
      </c>
    </row>
    <row r="1572" spans="1:14">
      <c r="A1572">
        <v>5512</v>
      </c>
      <c r="B1572" t="s">
        <v>1320</v>
      </c>
      <c r="C1572">
        <v>7.74</v>
      </c>
      <c r="D1572">
        <v>7.73</v>
      </c>
      <c r="E1572" s="178">
        <v>-0.01</v>
      </c>
      <c r="F1572" s="176">
        <v>-0.13</v>
      </c>
      <c r="G1572" t="s">
        <v>5415</v>
      </c>
      <c r="H1572">
        <v>479</v>
      </c>
      <c r="I1572">
        <v>602</v>
      </c>
      <c r="J1572">
        <v>76.63</v>
      </c>
      <c r="K1572">
        <v>7.76</v>
      </c>
      <c r="L1572">
        <v>7.71</v>
      </c>
      <c r="M1572" s="175">
        <v>0.06</v>
      </c>
      <c r="N1572" t="s">
        <v>3106</v>
      </c>
    </row>
    <row r="1573" spans="1:14">
      <c r="A1573">
        <v>5514</v>
      </c>
      <c r="B1573" t="s">
        <v>1321</v>
      </c>
      <c r="C1573">
        <v>14.55</v>
      </c>
      <c r="D1573">
        <v>14.75</v>
      </c>
      <c r="E1573" s="178">
        <v>0.15</v>
      </c>
      <c r="F1573" s="176">
        <v>1.03</v>
      </c>
      <c r="G1573" t="s">
        <v>6061</v>
      </c>
      <c r="H1573">
        <v>281</v>
      </c>
      <c r="I1573">
        <v>12</v>
      </c>
      <c r="J1573">
        <v>23.61</v>
      </c>
      <c r="K1573">
        <v>15</v>
      </c>
      <c r="L1573">
        <v>14.4</v>
      </c>
      <c r="M1573" s="175">
        <v>0.12</v>
      </c>
      <c r="N1573" t="s">
        <v>1880</v>
      </c>
    </row>
    <row r="1574" spans="1:14">
      <c r="A1574">
        <v>5515</v>
      </c>
      <c r="B1574" t="s">
        <v>4106</v>
      </c>
      <c r="C1574">
        <v>52.8</v>
      </c>
      <c r="D1574">
        <v>52.3</v>
      </c>
      <c r="E1574" s="178">
        <v>-0.2</v>
      </c>
      <c r="F1574" s="176">
        <v>-0.38</v>
      </c>
      <c r="G1574" t="s">
        <v>6617</v>
      </c>
      <c r="H1574">
        <v>401</v>
      </c>
      <c r="I1574">
        <v>621</v>
      </c>
      <c r="J1574">
        <v>20.16</v>
      </c>
      <c r="K1574">
        <v>52.8</v>
      </c>
      <c r="L1574">
        <v>51.4</v>
      </c>
      <c r="M1574" s="175">
        <v>0.2</v>
      </c>
      <c r="N1574" t="s">
        <v>4107</v>
      </c>
    </row>
    <row r="1575" spans="1:14">
      <c r="A1575">
        <v>5516</v>
      </c>
      <c r="B1575" t="s">
        <v>1322</v>
      </c>
      <c r="C1575">
        <v>11.9</v>
      </c>
      <c r="D1575">
        <v>12</v>
      </c>
      <c r="E1575" s="178">
        <v>0.15</v>
      </c>
      <c r="F1575" s="176">
        <v>1.27</v>
      </c>
      <c r="G1575" t="s">
        <v>5621</v>
      </c>
      <c r="H1575">
        <v>20</v>
      </c>
      <c r="I1575">
        <v>14</v>
      </c>
      <c r="J1575">
        <v>5.15</v>
      </c>
      <c r="K1575">
        <v>12</v>
      </c>
      <c r="L1575">
        <v>11.65</v>
      </c>
      <c r="M1575" s="175">
        <v>0.04</v>
      </c>
      <c r="N1575" t="s">
        <v>1881</v>
      </c>
    </row>
    <row r="1576" spans="1:14">
      <c r="A1576">
        <v>5519</v>
      </c>
      <c r="B1576" t="s">
        <v>1323</v>
      </c>
      <c r="C1576">
        <v>27.95</v>
      </c>
      <c r="D1576">
        <v>27.7</v>
      </c>
      <c r="E1576" s="178">
        <v>-0.25</v>
      </c>
      <c r="F1576" s="176">
        <v>-0.89</v>
      </c>
      <c r="G1576" t="s">
        <v>5590</v>
      </c>
      <c r="H1576">
        <v>244</v>
      </c>
      <c r="I1576">
        <v>183</v>
      </c>
      <c r="J1576">
        <v>23.02</v>
      </c>
      <c r="K1576">
        <v>27.95</v>
      </c>
      <c r="L1576">
        <v>27.65</v>
      </c>
      <c r="M1576" s="175">
        <v>0.11</v>
      </c>
      <c r="N1576" t="s">
        <v>1882</v>
      </c>
    </row>
    <row r="1577" spans="1:14">
      <c r="A1577">
        <v>5520</v>
      </c>
      <c r="B1577" t="s">
        <v>1324</v>
      </c>
      <c r="C1577">
        <v>83.2</v>
      </c>
      <c r="D1577">
        <v>83.1</v>
      </c>
      <c r="E1577" s="178">
        <v>-0.1</v>
      </c>
      <c r="F1577" s="176">
        <v>-0.12</v>
      </c>
      <c r="G1577" t="s">
        <v>6360</v>
      </c>
      <c r="H1577">
        <v>23</v>
      </c>
      <c r="I1577">
        <v>3</v>
      </c>
      <c r="J1577">
        <v>6</v>
      </c>
      <c r="K1577">
        <v>83.2</v>
      </c>
      <c r="L1577">
        <v>83.1</v>
      </c>
      <c r="M1577" s="175">
        <v>0.04</v>
      </c>
      <c r="N1577" t="s">
        <v>1883</v>
      </c>
    </row>
    <row r="1578" spans="1:14">
      <c r="A1578">
        <v>5521</v>
      </c>
      <c r="B1578" t="s">
        <v>1325</v>
      </c>
      <c r="C1578">
        <v>10.7</v>
      </c>
      <c r="D1578">
        <v>10.65</v>
      </c>
      <c r="E1578" s="178">
        <v>0</v>
      </c>
      <c r="F1578" s="176">
        <v>0</v>
      </c>
      <c r="G1578" t="s">
        <v>6618</v>
      </c>
      <c r="H1578">
        <v>2104</v>
      </c>
      <c r="I1578">
        <v>1778</v>
      </c>
      <c r="J1578">
        <v>49.23</v>
      </c>
      <c r="K1578">
        <v>10.7</v>
      </c>
      <c r="L1578">
        <v>10.5</v>
      </c>
      <c r="M1578" s="175">
        <v>0.43</v>
      </c>
      <c r="N1578" t="s">
        <v>3270</v>
      </c>
    </row>
    <row r="1579" spans="1:14">
      <c r="A1579">
        <v>5522</v>
      </c>
      <c r="B1579" t="s">
        <v>1326</v>
      </c>
      <c r="C1579">
        <v>62.8</v>
      </c>
      <c r="D1579">
        <v>61.7</v>
      </c>
      <c r="E1579" s="178">
        <v>-1.1000000000000001</v>
      </c>
      <c r="F1579" s="176">
        <v>-1.75</v>
      </c>
      <c r="G1579" t="s">
        <v>6619</v>
      </c>
      <c r="H1579">
        <v>1115</v>
      </c>
      <c r="I1579">
        <v>383</v>
      </c>
      <c r="J1579">
        <v>78.16</v>
      </c>
      <c r="K1579">
        <v>62.8</v>
      </c>
      <c r="L1579">
        <v>61.7</v>
      </c>
      <c r="M1579" s="175">
        <v>0.14000000000000001</v>
      </c>
      <c r="N1579" t="s">
        <v>3535</v>
      </c>
    </row>
    <row r="1580" spans="1:14">
      <c r="A1580">
        <v>5523</v>
      </c>
      <c r="B1580" t="s">
        <v>1327</v>
      </c>
      <c r="C1580">
        <v>30.35</v>
      </c>
      <c r="D1580">
        <v>30.35</v>
      </c>
      <c r="E1580" s="178">
        <v>0</v>
      </c>
      <c r="F1580" s="176">
        <v>0</v>
      </c>
      <c r="G1580" t="s">
        <v>6620</v>
      </c>
      <c r="H1580">
        <v>4</v>
      </c>
      <c r="I1580">
        <v>11</v>
      </c>
      <c r="J1580">
        <v>15.5</v>
      </c>
      <c r="K1580">
        <v>30.35</v>
      </c>
      <c r="L1580">
        <v>30.35</v>
      </c>
      <c r="M1580" s="175">
        <v>0</v>
      </c>
      <c r="N1580" t="s">
        <v>3271</v>
      </c>
    </row>
    <row r="1581" spans="1:14">
      <c r="A1581">
        <v>5525</v>
      </c>
      <c r="B1581" t="s">
        <v>1328</v>
      </c>
      <c r="C1581">
        <v>22.15</v>
      </c>
      <c r="D1581">
        <v>21.95</v>
      </c>
      <c r="E1581" s="178">
        <v>-0.2</v>
      </c>
      <c r="F1581" s="176">
        <v>-0.9</v>
      </c>
      <c r="G1581" t="s">
        <v>6621</v>
      </c>
      <c r="H1581">
        <v>135</v>
      </c>
      <c r="I1581">
        <v>66</v>
      </c>
      <c r="J1581">
        <v>31.81</v>
      </c>
      <c r="K1581">
        <v>22.3</v>
      </c>
      <c r="L1581">
        <v>21.8</v>
      </c>
      <c r="M1581" s="175">
        <v>0.04</v>
      </c>
      <c r="N1581" t="s">
        <v>3588</v>
      </c>
    </row>
    <row r="1582" spans="1:14">
      <c r="A1582">
        <v>5529</v>
      </c>
      <c r="B1582" t="s">
        <v>1884</v>
      </c>
      <c r="C1582">
        <v>22.45</v>
      </c>
      <c r="D1582">
        <v>22.25</v>
      </c>
      <c r="E1582" s="178">
        <v>-0.25</v>
      </c>
      <c r="F1582" s="176">
        <v>-1.1100000000000001</v>
      </c>
      <c r="G1582" t="s">
        <v>5318</v>
      </c>
      <c r="H1582">
        <v>95</v>
      </c>
      <c r="I1582">
        <v>119</v>
      </c>
      <c r="J1582">
        <v>10.58</v>
      </c>
      <c r="K1582">
        <v>22.45</v>
      </c>
      <c r="L1582">
        <v>21.9</v>
      </c>
      <c r="M1582" s="175">
        <v>0.09</v>
      </c>
      <c r="N1582" t="s">
        <v>1885</v>
      </c>
    </row>
    <row r="1583" spans="1:14">
      <c r="A1583">
        <v>5530</v>
      </c>
      <c r="B1583" t="s">
        <v>1329</v>
      </c>
      <c r="C1583">
        <v>51.3</v>
      </c>
      <c r="D1583">
        <v>50.5</v>
      </c>
      <c r="E1583" s="178">
        <v>-0.7</v>
      </c>
      <c r="F1583" s="176">
        <v>-1.37</v>
      </c>
      <c r="G1583" t="s">
        <v>6622</v>
      </c>
      <c r="H1583">
        <v>285</v>
      </c>
      <c r="I1583">
        <v>310</v>
      </c>
      <c r="J1583">
        <v>42.01</v>
      </c>
      <c r="K1583">
        <v>51.5</v>
      </c>
      <c r="L1583">
        <v>50.2</v>
      </c>
      <c r="M1583" s="175">
        <v>7.0000000000000007E-2</v>
      </c>
      <c r="N1583" t="s">
        <v>1886</v>
      </c>
    </row>
    <row r="1584" spans="1:14">
      <c r="A1584">
        <v>5531</v>
      </c>
      <c r="B1584" t="s">
        <v>1330</v>
      </c>
      <c r="C1584">
        <v>7.31</v>
      </c>
      <c r="D1584">
        <v>7.26</v>
      </c>
      <c r="E1584" s="178">
        <v>-0.06</v>
      </c>
      <c r="F1584" s="176">
        <v>-0.82</v>
      </c>
      <c r="G1584" t="s">
        <v>5277</v>
      </c>
      <c r="H1584">
        <v>497</v>
      </c>
      <c r="I1584">
        <v>428</v>
      </c>
      <c r="J1584">
        <v>97.76</v>
      </c>
      <c r="K1584">
        <v>7.35</v>
      </c>
      <c r="L1584">
        <v>7.25</v>
      </c>
      <c r="M1584" s="175">
        <v>0.05</v>
      </c>
      <c r="N1584" t="s">
        <v>3589</v>
      </c>
    </row>
    <row r="1585" spans="1:14">
      <c r="A1585">
        <v>5533</v>
      </c>
      <c r="B1585" t="s">
        <v>1331</v>
      </c>
      <c r="C1585">
        <v>13.9</v>
      </c>
      <c r="D1585">
        <v>13.95</v>
      </c>
      <c r="E1585" s="178">
        <v>0</v>
      </c>
      <c r="F1585" s="176">
        <v>0</v>
      </c>
      <c r="G1585" t="s">
        <v>6623</v>
      </c>
      <c r="H1585">
        <v>25</v>
      </c>
      <c r="I1585">
        <v>92</v>
      </c>
      <c r="J1585">
        <v>28.52</v>
      </c>
      <c r="K1585">
        <v>13.95</v>
      </c>
      <c r="L1585">
        <v>13.85</v>
      </c>
      <c r="M1585" s="175">
        <v>0.01</v>
      </c>
      <c r="N1585" t="s">
        <v>3719</v>
      </c>
    </row>
    <row r="1586" spans="1:14">
      <c r="A1586">
        <v>5534</v>
      </c>
      <c r="B1586" t="s">
        <v>1332</v>
      </c>
      <c r="C1586">
        <v>75.599999999999994</v>
      </c>
      <c r="D1586">
        <v>75.400000000000006</v>
      </c>
      <c r="E1586" s="178">
        <v>0.1</v>
      </c>
      <c r="F1586" s="176">
        <v>0.13</v>
      </c>
      <c r="G1586" t="s">
        <v>6624</v>
      </c>
      <c r="H1586">
        <v>520</v>
      </c>
      <c r="I1586">
        <v>1905</v>
      </c>
      <c r="J1586">
        <v>31.53</v>
      </c>
      <c r="K1586">
        <v>76.099999999999994</v>
      </c>
      <c r="L1586">
        <v>75</v>
      </c>
      <c r="M1586" s="175">
        <v>0.16</v>
      </c>
      <c r="N1586" t="s">
        <v>1887</v>
      </c>
    </row>
    <row r="1587" spans="1:14">
      <c r="A1587">
        <v>5536</v>
      </c>
      <c r="B1587" t="s">
        <v>2166</v>
      </c>
      <c r="C1587">
        <v>880</v>
      </c>
      <c r="D1587">
        <v>864</v>
      </c>
      <c r="E1587" s="178">
        <v>-7</v>
      </c>
      <c r="F1587" s="176">
        <v>-0.8</v>
      </c>
      <c r="G1587" t="s">
        <v>6625</v>
      </c>
      <c r="H1587">
        <v>761</v>
      </c>
      <c r="I1587">
        <v>816</v>
      </c>
      <c r="J1587">
        <v>6.2</v>
      </c>
      <c r="K1587">
        <v>898</v>
      </c>
      <c r="L1587">
        <v>850</v>
      </c>
      <c r="M1587" s="175">
        <v>0.61</v>
      </c>
      <c r="N1587" t="s">
        <v>2167</v>
      </c>
    </row>
    <row r="1588" spans="1:14">
      <c r="A1588">
        <v>5538</v>
      </c>
      <c r="B1588" t="s">
        <v>1333</v>
      </c>
      <c r="C1588">
        <v>36.65</v>
      </c>
      <c r="D1588">
        <v>37</v>
      </c>
      <c r="E1588" s="178">
        <v>-0.1</v>
      </c>
      <c r="F1588" s="176">
        <v>-0.27</v>
      </c>
      <c r="G1588" t="s">
        <v>6626</v>
      </c>
      <c r="H1588">
        <v>25</v>
      </c>
      <c r="I1588">
        <v>89</v>
      </c>
      <c r="J1588">
        <v>20.12</v>
      </c>
      <c r="K1588">
        <v>37.299999999999997</v>
      </c>
      <c r="L1588">
        <v>36.65</v>
      </c>
      <c r="M1588" s="175">
        <v>0.01</v>
      </c>
      <c r="N1588" t="s">
        <v>1888</v>
      </c>
    </row>
    <row r="1589" spans="1:14">
      <c r="A1589">
        <v>5543</v>
      </c>
      <c r="B1589" t="s">
        <v>1334</v>
      </c>
      <c r="C1589">
        <v>29.9</v>
      </c>
      <c r="D1589">
        <v>30</v>
      </c>
      <c r="E1589" s="178">
        <v>0.1</v>
      </c>
      <c r="F1589" s="176">
        <v>0.33</v>
      </c>
      <c r="G1589" t="s">
        <v>6249</v>
      </c>
      <c r="H1589">
        <v>43</v>
      </c>
      <c r="I1589">
        <v>58</v>
      </c>
      <c r="J1589">
        <v>4.67</v>
      </c>
      <c r="K1589">
        <v>30</v>
      </c>
      <c r="L1589">
        <v>28</v>
      </c>
      <c r="M1589" s="175">
        <v>0.09</v>
      </c>
      <c r="N1589" t="s">
        <v>3071</v>
      </c>
    </row>
    <row r="1590" spans="1:14">
      <c r="A1590">
        <v>5546</v>
      </c>
      <c r="B1590" t="s">
        <v>1335</v>
      </c>
      <c r="C1590">
        <v>14.7</v>
      </c>
      <c r="D1590">
        <v>14.7</v>
      </c>
      <c r="E1590" s="178">
        <v>0.05</v>
      </c>
      <c r="F1590" s="176">
        <v>0.34</v>
      </c>
      <c r="G1590" t="s">
        <v>5506</v>
      </c>
      <c r="H1590">
        <v>42</v>
      </c>
      <c r="I1590">
        <v>82</v>
      </c>
      <c r="J1590">
        <v>8.24</v>
      </c>
      <c r="K1590">
        <v>14.9</v>
      </c>
      <c r="L1590">
        <v>14.5</v>
      </c>
      <c r="M1590" s="175">
        <v>0.05</v>
      </c>
      <c r="N1590" t="s">
        <v>1889</v>
      </c>
    </row>
    <row r="1591" spans="1:14">
      <c r="A1591">
        <v>5547</v>
      </c>
      <c r="B1591" t="s">
        <v>4886</v>
      </c>
      <c r="C1591">
        <v>19.850000000000001</v>
      </c>
      <c r="D1591">
        <v>19.649999999999999</v>
      </c>
      <c r="E1591" s="178">
        <v>-0.2</v>
      </c>
      <c r="F1591" s="176">
        <v>-1.01</v>
      </c>
      <c r="G1591" t="s">
        <v>6627</v>
      </c>
      <c r="H1591">
        <v>37</v>
      </c>
      <c r="I1591">
        <v>11</v>
      </c>
      <c r="J1591">
        <v>5.0999999999999996</v>
      </c>
      <c r="K1591">
        <v>19.850000000000001</v>
      </c>
      <c r="L1591">
        <v>19.649999999999999</v>
      </c>
      <c r="M1591" s="175">
        <v>7.0000000000000007E-2</v>
      </c>
      <c r="N1591" t="s">
        <v>4887</v>
      </c>
    </row>
    <row r="1592" spans="1:14">
      <c r="A1592">
        <v>5548</v>
      </c>
      <c r="B1592" t="s">
        <v>3410</v>
      </c>
      <c r="C1592">
        <v>20.6</v>
      </c>
      <c r="D1592">
        <v>20.6</v>
      </c>
      <c r="E1592" s="178">
        <v>-0.05</v>
      </c>
      <c r="F1592" s="176">
        <v>-0.24</v>
      </c>
      <c r="G1592" t="s">
        <v>5467</v>
      </c>
      <c r="H1592">
        <v>9</v>
      </c>
      <c r="I1592">
        <v>18</v>
      </c>
      <c r="J1592">
        <v>6.23</v>
      </c>
      <c r="K1592">
        <v>20.75</v>
      </c>
      <c r="L1592">
        <v>20.6</v>
      </c>
      <c r="M1592" s="175">
        <v>0.01</v>
      </c>
      <c r="N1592" t="s">
        <v>3411</v>
      </c>
    </row>
    <row r="1593" spans="1:14">
      <c r="A1593">
        <v>5601</v>
      </c>
      <c r="B1593" t="s">
        <v>1336</v>
      </c>
      <c r="C1593" t="s">
        <v>1667</v>
      </c>
      <c r="D1593" t="s">
        <v>1667</v>
      </c>
      <c r="E1593" s="178" t="s">
        <v>1667</v>
      </c>
      <c r="F1593" s="176" t="s">
        <v>1667</v>
      </c>
      <c r="G1593" t="s">
        <v>1667</v>
      </c>
      <c r="H1593">
        <v>0</v>
      </c>
      <c r="I1593">
        <v>10</v>
      </c>
      <c r="J1593">
        <v>6.48</v>
      </c>
      <c r="K1593" t="s">
        <v>1667</v>
      </c>
      <c r="L1593" t="s">
        <v>1667</v>
      </c>
      <c r="M1593" s="175">
        <v>0</v>
      </c>
      <c r="N1593" t="s">
        <v>3444</v>
      </c>
    </row>
    <row r="1594" spans="1:14">
      <c r="A1594">
        <v>5603</v>
      </c>
      <c r="B1594" t="s">
        <v>1337</v>
      </c>
      <c r="C1594">
        <v>14.2</v>
      </c>
      <c r="D1594">
        <v>14.1</v>
      </c>
      <c r="E1594" s="178">
        <v>-0.15</v>
      </c>
      <c r="F1594" s="176">
        <v>-1.05</v>
      </c>
      <c r="G1594" t="s">
        <v>5223</v>
      </c>
      <c r="H1594">
        <v>78</v>
      </c>
      <c r="I1594">
        <v>179</v>
      </c>
      <c r="J1594">
        <v>10.49</v>
      </c>
      <c r="K1594">
        <v>14.3</v>
      </c>
      <c r="L1594">
        <v>14.05</v>
      </c>
      <c r="M1594" s="175">
        <v>7.0000000000000007E-2</v>
      </c>
      <c r="N1594" t="s">
        <v>3628</v>
      </c>
    </row>
    <row r="1595" spans="1:14">
      <c r="A1595">
        <v>5604</v>
      </c>
      <c r="B1595" t="s">
        <v>2054</v>
      </c>
      <c r="C1595">
        <v>30.75</v>
      </c>
      <c r="D1595">
        <v>30.85</v>
      </c>
      <c r="E1595" s="178">
        <v>0.1</v>
      </c>
      <c r="F1595" s="176">
        <v>0.33</v>
      </c>
      <c r="G1595" t="s">
        <v>5416</v>
      </c>
      <c r="H1595">
        <v>32</v>
      </c>
      <c r="I1595">
        <v>7</v>
      </c>
      <c r="J1595">
        <v>10.88</v>
      </c>
      <c r="K1595">
        <v>30.95</v>
      </c>
      <c r="L1595">
        <v>30.75</v>
      </c>
      <c r="M1595" s="175">
        <v>0.03</v>
      </c>
      <c r="N1595" t="s">
        <v>3143</v>
      </c>
    </row>
    <row r="1596" spans="1:14">
      <c r="A1596">
        <v>5607</v>
      </c>
      <c r="B1596" t="s">
        <v>117</v>
      </c>
      <c r="C1596">
        <v>51.6</v>
      </c>
      <c r="D1596">
        <v>51.6</v>
      </c>
      <c r="E1596" s="178">
        <v>0.1</v>
      </c>
      <c r="F1596" s="176">
        <v>0.19</v>
      </c>
      <c r="G1596" t="s">
        <v>5742</v>
      </c>
      <c r="H1596">
        <v>584</v>
      </c>
      <c r="I1596">
        <v>1502</v>
      </c>
      <c r="J1596">
        <v>37.06</v>
      </c>
      <c r="K1596">
        <v>52.3</v>
      </c>
      <c r="L1596">
        <v>51.2</v>
      </c>
      <c r="M1596" s="175">
        <v>0.16</v>
      </c>
      <c r="N1596" t="s">
        <v>3272</v>
      </c>
    </row>
    <row r="1597" spans="1:14">
      <c r="A1597">
        <v>5608</v>
      </c>
      <c r="B1597" t="s">
        <v>1338</v>
      </c>
      <c r="C1597">
        <v>16.95</v>
      </c>
      <c r="D1597">
        <v>16.95</v>
      </c>
      <c r="E1597" s="178">
        <v>0.25</v>
      </c>
      <c r="F1597" s="176">
        <v>1.5</v>
      </c>
      <c r="G1597" t="s">
        <v>5388</v>
      </c>
      <c r="H1597">
        <v>7764</v>
      </c>
      <c r="I1597">
        <v>28656</v>
      </c>
      <c r="J1597">
        <v>38.93</v>
      </c>
      <c r="K1597">
        <v>17.5</v>
      </c>
      <c r="L1597">
        <v>16.8</v>
      </c>
      <c r="M1597" s="175">
        <v>1.99</v>
      </c>
      <c r="N1597" t="s">
        <v>1890</v>
      </c>
    </row>
    <row r="1598" spans="1:14">
      <c r="A1598">
        <v>5609</v>
      </c>
      <c r="B1598" t="s">
        <v>1339</v>
      </c>
      <c r="C1598">
        <v>77.900000000000006</v>
      </c>
      <c r="D1598">
        <v>78</v>
      </c>
      <c r="E1598" s="178">
        <v>0.1</v>
      </c>
      <c r="F1598" s="176">
        <v>0.13</v>
      </c>
      <c r="G1598" t="s">
        <v>5334</v>
      </c>
      <c r="H1598">
        <v>74</v>
      </c>
      <c r="I1598">
        <v>181</v>
      </c>
      <c r="J1598">
        <v>14.29</v>
      </c>
      <c r="K1598">
        <v>78.5</v>
      </c>
      <c r="L1598">
        <v>77.599999999999994</v>
      </c>
      <c r="M1598" s="175">
        <v>0.05</v>
      </c>
      <c r="N1598" t="s">
        <v>1891</v>
      </c>
    </row>
    <row r="1599" spans="1:14">
      <c r="A1599">
        <v>5701</v>
      </c>
      <c r="B1599" t="s">
        <v>1340</v>
      </c>
      <c r="C1599">
        <v>4.25</v>
      </c>
      <c r="D1599">
        <v>4.3899999999999997</v>
      </c>
      <c r="E1599" s="178">
        <v>0.09</v>
      </c>
      <c r="F1599" s="176">
        <v>2.09</v>
      </c>
      <c r="G1599" t="s">
        <v>6628</v>
      </c>
      <c r="H1599">
        <v>179</v>
      </c>
      <c r="I1599">
        <v>200</v>
      </c>
      <c r="J1599">
        <v>14.3</v>
      </c>
      <c r="K1599">
        <v>4.3899999999999997</v>
      </c>
      <c r="L1599">
        <v>4.01</v>
      </c>
      <c r="M1599" s="175">
        <v>0.13</v>
      </c>
      <c r="N1599" t="s">
        <v>1892</v>
      </c>
    </row>
    <row r="1600" spans="1:14">
      <c r="A1600">
        <v>5703</v>
      </c>
      <c r="B1600" t="s">
        <v>1341</v>
      </c>
      <c r="C1600">
        <v>14.3</v>
      </c>
      <c r="D1600">
        <v>13.75</v>
      </c>
      <c r="E1600" s="178">
        <v>-0.4</v>
      </c>
      <c r="F1600" s="176">
        <v>-2.83</v>
      </c>
      <c r="G1600" t="s">
        <v>6629</v>
      </c>
      <c r="H1600">
        <v>4</v>
      </c>
      <c r="I1600">
        <v>7</v>
      </c>
      <c r="J1600">
        <v>7.02</v>
      </c>
      <c r="K1600">
        <v>14.3</v>
      </c>
      <c r="L1600">
        <v>13.75</v>
      </c>
      <c r="M1600" s="175">
        <v>0.01</v>
      </c>
      <c r="N1600" t="s">
        <v>4212</v>
      </c>
    </row>
    <row r="1601" spans="1:14">
      <c r="A1601">
        <v>5704</v>
      </c>
      <c r="B1601" t="s">
        <v>1342</v>
      </c>
      <c r="C1601">
        <v>23.55</v>
      </c>
      <c r="D1601">
        <v>23.45</v>
      </c>
      <c r="E1601" s="178">
        <v>-0.3</v>
      </c>
      <c r="F1601" s="176">
        <v>-1.26</v>
      </c>
      <c r="G1601" t="s">
        <v>6249</v>
      </c>
      <c r="H1601">
        <v>54</v>
      </c>
      <c r="I1601">
        <v>57</v>
      </c>
      <c r="J1601">
        <v>5.89</v>
      </c>
      <c r="K1601">
        <v>23.55</v>
      </c>
      <c r="L1601">
        <v>23</v>
      </c>
      <c r="M1601" s="175">
        <v>0.09</v>
      </c>
      <c r="N1601" t="s">
        <v>1893</v>
      </c>
    </row>
    <row r="1602" spans="1:14">
      <c r="A1602">
        <v>5706</v>
      </c>
      <c r="B1602" t="s">
        <v>1343</v>
      </c>
      <c r="C1602">
        <v>45</v>
      </c>
      <c r="D1602">
        <v>44.95</v>
      </c>
      <c r="E1602" s="178">
        <v>-0.2</v>
      </c>
      <c r="F1602" s="176">
        <v>-0.44</v>
      </c>
      <c r="G1602" t="s">
        <v>6218</v>
      </c>
      <c r="H1602">
        <v>140</v>
      </c>
      <c r="I1602">
        <v>73</v>
      </c>
      <c r="J1602">
        <v>8.3800000000000008</v>
      </c>
      <c r="K1602">
        <v>45.2</v>
      </c>
      <c r="L1602">
        <v>44.8</v>
      </c>
      <c r="M1602" s="175">
        <v>0.17</v>
      </c>
      <c r="N1602" t="s">
        <v>1894</v>
      </c>
    </row>
    <row r="1603" spans="1:14">
      <c r="A1603">
        <v>5864</v>
      </c>
      <c r="B1603" t="s">
        <v>1344</v>
      </c>
      <c r="C1603">
        <v>35.6</v>
      </c>
      <c r="D1603">
        <v>35.75</v>
      </c>
      <c r="E1603" s="178">
        <v>-0.2</v>
      </c>
      <c r="F1603" s="176">
        <v>-0.56000000000000005</v>
      </c>
      <c r="G1603" t="s">
        <v>6630</v>
      </c>
      <c r="H1603">
        <v>2683</v>
      </c>
      <c r="I1603">
        <v>2611</v>
      </c>
      <c r="J1603">
        <v>50.45</v>
      </c>
      <c r="K1603">
        <v>35.85</v>
      </c>
      <c r="L1603">
        <v>34.799999999999997</v>
      </c>
      <c r="M1603" s="175">
        <v>0.53</v>
      </c>
      <c r="N1603" t="s">
        <v>2137</v>
      </c>
    </row>
    <row r="1604" spans="1:14">
      <c r="A1604">
        <v>5871</v>
      </c>
      <c r="B1604" t="s">
        <v>1345</v>
      </c>
      <c r="C1604">
        <v>113</v>
      </c>
      <c r="D1604">
        <v>117</v>
      </c>
      <c r="E1604" s="178">
        <v>4</v>
      </c>
      <c r="F1604" s="176">
        <v>3.54</v>
      </c>
      <c r="G1604" t="s">
        <v>6024</v>
      </c>
      <c r="H1604">
        <v>14396</v>
      </c>
      <c r="I1604">
        <v>5457</v>
      </c>
      <c r="J1604">
        <v>174.56</v>
      </c>
      <c r="K1604">
        <v>117</v>
      </c>
      <c r="L1604">
        <v>111.5</v>
      </c>
      <c r="M1604" s="175">
        <v>0.82</v>
      </c>
      <c r="N1604" t="s">
        <v>1895</v>
      </c>
    </row>
    <row r="1605" spans="1:14">
      <c r="A1605">
        <v>5876</v>
      </c>
      <c r="B1605" t="s">
        <v>128</v>
      </c>
      <c r="C1605">
        <v>43.15</v>
      </c>
      <c r="D1605">
        <v>42.9</v>
      </c>
      <c r="E1605" s="178">
        <v>-0.25</v>
      </c>
      <c r="F1605" s="176">
        <v>-0.57999999999999996</v>
      </c>
      <c r="G1605" t="s">
        <v>5647</v>
      </c>
      <c r="H1605">
        <v>13870</v>
      </c>
      <c r="I1605">
        <v>4839</v>
      </c>
      <c r="J1605">
        <v>491.02</v>
      </c>
      <c r="K1605">
        <v>43.15</v>
      </c>
      <c r="L1605">
        <v>42.5</v>
      </c>
      <c r="M1605" s="175">
        <v>0.28000000000000003</v>
      </c>
      <c r="N1605" t="s">
        <v>1896</v>
      </c>
    </row>
    <row r="1606" spans="1:14">
      <c r="A1606">
        <v>5878</v>
      </c>
      <c r="B1606" t="s">
        <v>1346</v>
      </c>
      <c r="C1606">
        <v>38.5</v>
      </c>
      <c r="D1606">
        <v>38.450000000000003</v>
      </c>
      <c r="E1606" s="178">
        <v>-0.05</v>
      </c>
      <c r="F1606" s="176">
        <v>-0.13</v>
      </c>
      <c r="G1606" t="s">
        <v>5758</v>
      </c>
      <c r="H1606">
        <v>4</v>
      </c>
      <c r="I1606">
        <v>2</v>
      </c>
      <c r="J1606">
        <v>2.5</v>
      </c>
      <c r="K1606">
        <v>38.5</v>
      </c>
      <c r="L1606">
        <v>38.450000000000003</v>
      </c>
      <c r="M1606" s="175">
        <v>0.02</v>
      </c>
      <c r="N1606" t="s">
        <v>1897</v>
      </c>
    </row>
    <row r="1607" spans="1:14">
      <c r="A1607">
        <v>5880</v>
      </c>
      <c r="B1607" t="s">
        <v>1347</v>
      </c>
      <c r="C1607">
        <v>25.25</v>
      </c>
      <c r="D1607">
        <v>25.55</v>
      </c>
      <c r="E1607" s="178">
        <v>0.3</v>
      </c>
      <c r="F1607" s="176">
        <v>1.19</v>
      </c>
      <c r="G1607" t="s">
        <v>5389</v>
      </c>
      <c r="H1607">
        <v>45276</v>
      </c>
      <c r="I1607">
        <v>9791</v>
      </c>
      <c r="J1607">
        <v>1607.3</v>
      </c>
      <c r="K1607">
        <v>25.65</v>
      </c>
      <c r="L1607">
        <v>25.05</v>
      </c>
      <c r="M1607" s="175">
        <v>0.28000000000000003</v>
      </c>
      <c r="N1607" t="s">
        <v>1898</v>
      </c>
    </row>
    <row r="1608" spans="1:14">
      <c r="A1608">
        <v>5902</v>
      </c>
      <c r="B1608" t="s">
        <v>1348</v>
      </c>
      <c r="C1608" t="s">
        <v>1667</v>
      </c>
      <c r="D1608" t="s">
        <v>1667</v>
      </c>
      <c r="E1608" s="178" t="s">
        <v>1667</v>
      </c>
      <c r="F1608" s="176" t="s">
        <v>1667</v>
      </c>
      <c r="G1608" t="s">
        <v>1667</v>
      </c>
      <c r="H1608">
        <v>0</v>
      </c>
      <c r="I1608">
        <v>12</v>
      </c>
      <c r="J1608">
        <v>9.4499999999999993</v>
      </c>
      <c r="K1608" t="s">
        <v>1667</v>
      </c>
      <c r="L1608" t="s">
        <v>1667</v>
      </c>
      <c r="M1608" s="175">
        <v>0</v>
      </c>
      <c r="N1608" t="s">
        <v>4907</v>
      </c>
    </row>
    <row r="1609" spans="1:14">
      <c r="A1609">
        <v>5903</v>
      </c>
      <c r="B1609" t="s">
        <v>1349</v>
      </c>
      <c r="C1609">
        <v>184</v>
      </c>
      <c r="D1609">
        <v>185</v>
      </c>
      <c r="E1609" s="178">
        <v>-1</v>
      </c>
      <c r="F1609" s="176">
        <v>-0.54</v>
      </c>
      <c r="G1609" t="s">
        <v>5230</v>
      </c>
      <c r="H1609">
        <v>10</v>
      </c>
      <c r="I1609">
        <v>15</v>
      </c>
      <c r="J1609">
        <v>22.32</v>
      </c>
      <c r="K1609">
        <v>185</v>
      </c>
      <c r="L1609">
        <v>184</v>
      </c>
      <c r="M1609" s="175">
        <v>0</v>
      </c>
      <c r="N1609" t="s">
        <v>1899</v>
      </c>
    </row>
    <row r="1610" spans="1:14">
      <c r="A1610">
        <v>5904</v>
      </c>
      <c r="B1610" t="s">
        <v>6631</v>
      </c>
      <c r="C1610">
        <v>74.2</v>
      </c>
      <c r="D1610">
        <v>75</v>
      </c>
      <c r="E1610" s="178">
        <v>0.8</v>
      </c>
      <c r="F1610" s="176">
        <v>1.08</v>
      </c>
      <c r="G1610" t="s">
        <v>6349</v>
      </c>
      <c r="H1610">
        <v>5381</v>
      </c>
      <c r="I1610">
        <v>6055</v>
      </c>
      <c r="J1610">
        <v>10.64</v>
      </c>
      <c r="K1610">
        <v>75</v>
      </c>
      <c r="L1610">
        <v>73.7</v>
      </c>
      <c r="M1610" s="175">
        <v>0.51</v>
      </c>
      <c r="N1610" t="s">
        <v>6632</v>
      </c>
    </row>
    <row r="1611" spans="1:14">
      <c r="A1611">
        <v>5905</v>
      </c>
      <c r="B1611" t="s">
        <v>1350</v>
      </c>
      <c r="C1611">
        <v>7.79</v>
      </c>
      <c r="D1611">
        <v>7.8</v>
      </c>
      <c r="E1611" s="178">
        <v>0.01</v>
      </c>
      <c r="F1611" s="176">
        <v>0.13</v>
      </c>
      <c r="G1611" t="s">
        <v>5319</v>
      </c>
      <c r="H1611">
        <v>345</v>
      </c>
      <c r="I1611">
        <v>443</v>
      </c>
      <c r="J1611">
        <v>28.16</v>
      </c>
      <c r="K1611">
        <v>7.86</v>
      </c>
      <c r="L1611">
        <v>7.72</v>
      </c>
      <c r="M1611" s="175">
        <v>0.12</v>
      </c>
      <c r="N1611" t="s">
        <v>1900</v>
      </c>
    </row>
    <row r="1612" spans="1:14">
      <c r="A1612">
        <v>5906</v>
      </c>
      <c r="B1612" t="s">
        <v>1351</v>
      </c>
      <c r="C1612">
        <v>37</v>
      </c>
      <c r="D1612">
        <v>38</v>
      </c>
      <c r="E1612" s="178">
        <v>0.25</v>
      </c>
      <c r="F1612" s="176">
        <v>0.66</v>
      </c>
      <c r="G1612" t="s">
        <v>6633</v>
      </c>
      <c r="H1612">
        <v>2</v>
      </c>
      <c r="I1612">
        <v>2</v>
      </c>
      <c r="J1612">
        <v>3.57</v>
      </c>
      <c r="K1612">
        <v>38</v>
      </c>
      <c r="L1612">
        <v>37</v>
      </c>
      <c r="M1612" s="175">
        <v>0.01</v>
      </c>
      <c r="N1612" t="s">
        <v>4015</v>
      </c>
    </row>
    <row r="1613" spans="1:14">
      <c r="A1613">
        <v>5907</v>
      </c>
      <c r="B1613" t="s">
        <v>258</v>
      </c>
      <c r="C1613">
        <v>4.99</v>
      </c>
      <c r="D1613">
        <v>4.95</v>
      </c>
      <c r="E1613" s="178">
        <v>0.04</v>
      </c>
      <c r="F1613" s="176">
        <v>0.81</v>
      </c>
      <c r="G1613" t="s">
        <v>5164</v>
      </c>
      <c r="H1613">
        <v>249</v>
      </c>
      <c r="I1613">
        <v>433</v>
      </c>
      <c r="J1613">
        <v>19.55</v>
      </c>
      <c r="K1613">
        <v>5.01</v>
      </c>
      <c r="L1613">
        <v>4.8600000000000003</v>
      </c>
      <c r="M1613" s="175">
        <v>0.13</v>
      </c>
      <c r="N1613" t="s">
        <v>4125</v>
      </c>
    </row>
    <row r="1614" spans="1:14">
      <c r="A1614">
        <v>6005</v>
      </c>
      <c r="B1614" t="s">
        <v>1352</v>
      </c>
      <c r="C1614">
        <v>31.4</v>
      </c>
      <c r="D1614">
        <v>31</v>
      </c>
      <c r="E1614" s="178">
        <v>-0.45</v>
      </c>
      <c r="F1614" s="176">
        <v>-1.43</v>
      </c>
      <c r="G1614" t="s">
        <v>6634</v>
      </c>
      <c r="H1614">
        <v>8074</v>
      </c>
      <c r="I1614">
        <v>4145</v>
      </c>
      <c r="J1614">
        <v>245.53</v>
      </c>
      <c r="K1614">
        <v>31.45</v>
      </c>
      <c r="L1614">
        <v>31</v>
      </c>
      <c r="M1614" s="175">
        <v>0.33</v>
      </c>
      <c r="N1614" t="s">
        <v>3899</v>
      </c>
    </row>
    <row r="1615" spans="1:14">
      <c r="A1615">
        <v>6015</v>
      </c>
      <c r="B1615" t="s">
        <v>1353</v>
      </c>
      <c r="C1615">
        <v>16.149999999999999</v>
      </c>
      <c r="D1615">
        <v>16.2</v>
      </c>
      <c r="E1615" s="178">
        <v>-0.2</v>
      </c>
      <c r="F1615" s="176">
        <v>-1.22</v>
      </c>
      <c r="G1615" t="s">
        <v>6635</v>
      </c>
      <c r="H1615">
        <v>1604</v>
      </c>
      <c r="I1615">
        <v>4125</v>
      </c>
      <c r="J1615">
        <v>40.369999999999997</v>
      </c>
      <c r="K1615">
        <v>16.2</v>
      </c>
      <c r="L1615">
        <v>15.8</v>
      </c>
      <c r="M1615" s="175">
        <v>0.4</v>
      </c>
      <c r="N1615" t="s">
        <v>3354</v>
      </c>
    </row>
    <row r="1616" spans="1:14">
      <c r="A1616">
        <v>6016</v>
      </c>
      <c r="B1616" t="s">
        <v>1354</v>
      </c>
      <c r="C1616">
        <v>20.9</v>
      </c>
      <c r="D1616">
        <v>21.2</v>
      </c>
      <c r="E1616" s="178">
        <v>-0.15</v>
      </c>
      <c r="F1616" s="176">
        <v>-0.7</v>
      </c>
      <c r="G1616" t="s">
        <v>6636</v>
      </c>
      <c r="H1616">
        <v>3648</v>
      </c>
      <c r="I1616">
        <v>3587</v>
      </c>
      <c r="J1616">
        <v>77.239999999999995</v>
      </c>
      <c r="K1616">
        <v>21.25</v>
      </c>
      <c r="L1616">
        <v>20.55</v>
      </c>
      <c r="M1616" s="175">
        <v>0.47</v>
      </c>
      <c r="N1616" t="s">
        <v>2138</v>
      </c>
    </row>
    <row r="1617" spans="1:14">
      <c r="A1617">
        <v>6020</v>
      </c>
      <c r="B1617" t="s">
        <v>1355</v>
      </c>
      <c r="C1617">
        <v>20.85</v>
      </c>
      <c r="D1617">
        <v>20.7</v>
      </c>
      <c r="E1617" s="178">
        <v>-0.15</v>
      </c>
      <c r="F1617" s="176">
        <v>-0.72</v>
      </c>
      <c r="G1617" t="s">
        <v>6637</v>
      </c>
      <c r="H1617">
        <v>10</v>
      </c>
      <c r="I1617">
        <v>12</v>
      </c>
      <c r="J1617">
        <v>25.24</v>
      </c>
      <c r="K1617">
        <v>20.85</v>
      </c>
      <c r="L1617">
        <v>20.7</v>
      </c>
      <c r="M1617" s="175">
        <v>0</v>
      </c>
      <c r="N1617" t="s">
        <v>2111</v>
      </c>
    </row>
    <row r="1618" spans="1:14">
      <c r="A1618">
        <v>6021</v>
      </c>
      <c r="B1618" t="s">
        <v>2074</v>
      </c>
      <c r="C1618">
        <v>39</v>
      </c>
      <c r="D1618">
        <v>38.65</v>
      </c>
      <c r="E1618" s="178">
        <v>-1.1000000000000001</v>
      </c>
      <c r="F1618" s="176">
        <v>-2.77</v>
      </c>
      <c r="G1618" t="s">
        <v>5645</v>
      </c>
      <c r="H1618">
        <v>161</v>
      </c>
      <c r="I1618">
        <v>132</v>
      </c>
      <c r="J1618">
        <v>31.2</v>
      </c>
      <c r="K1618">
        <v>39</v>
      </c>
      <c r="L1618">
        <v>38.450000000000003</v>
      </c>
      <c r="M1618" s="175">
        <v>0.05</v>
      </c>
      <c r="N1618" t="s">
        <v>2135</v>
      </c>
    </row>
    <row r="1619" spans="1:14">
      <c r="A1619">
        <v>6023</v>
      </c>
      <c r="B1619" t="s">
        <v>1356</v>
      </c>
      <c r="C1619">
        <v>82.2</v>
      </c>
      <c r="D1619">
        <v>87.1</v>
      </c>
      <c r="E1619" s="178">
        <v>5.0999999999999996</v>
      </c>
      <c r="F1619" s="176">
        <v>6.22</v>
      </c>
      <c r="G1619" t="s">
        <v>5110</v>
      </c>
      <c r="H1619">
        <v>1225</v>
      </c>
      <c r="I1619">
        <v>416</v>
      </c>
      <c r="J1619">
        <v>44.8</v>
      </c>
      <c r="K1619">
        <v>87.1</v>
      </c>
      <c r="L1619">
        <v>82</v>
      </c>
      <c r="M1619" s="175">
        <v>0.27</v>
      </c>
      <c r="N1619" t="s">
        <v>3629</v>
      </c>
    </row>
    <row r="1620" spans="1:14">
      <c r="A1620">
        <v>6024</v>
      </c>
      <c r="B1620" t="s">
        <v>1357</v>
      </c>
      <c r="C1620">
        <v>61.7</v>
      </c>
      <c r="D1620">
        <v>63.5</v>
      </c>
      <c r="E1620" s="178">
        <v>1.8</v>
      </c>
      <c r="F1620" s="176">
        <v>2.92</v>
      </c>
      <c r="G1620" t="s">
        <v>6638</v>
      </c>
      <c r="H1620">
        <v>557</v>
      </c>
      <c r="I1620">
        <v>212</v>
      </c>
      <c r="J1620">
        <v>26.67</v>
      </c>
      <c r="K1620">
        <v>63.8</v>
      </c>
      <c r="L1620">
        <v>61.7</v>
      </c>
      <c r="M1620" s="175">
        <v>0.21</v>
      </c>
      <c r="N1620" t="s">
        <v>3445</v>
      </c>
    </row>
    <row r="1621" spans="1:14">
      <c r="A1621">
        <v>6026</v>
      </c>
      <c r="B1621" t="s">
        <v>1358</v>
      </c>
      <c r="C1621">
        <v>15.05</v>
      </c>
      <c r="D1621">
        <v>15</v>
      </c>
      <c r="E1621" s="178">
        <v>-0.1</v>
      </c>
      <c r="F1621" s="176">
        <v>-0.66</v>
      </c>
      <c r="G1621" t="s">
        <v>5698</v>
      </c>
      <c r="H1621">
        <v>837</v>
      </c>
      <c r="I1621">
        <v>1045</v>
      </c>
      <c r="J1621">
        <v>39.619999999999997</v>
      </c>
      <c r="K1621">
        <v>15.05</v>
      </c>
      <c r="L1621">
        <v>14.85</v>
      </c>
      <c r="M1621" s="175">
        <v>0.21</v>
      </c>
      <c r="N1621" t="s">
        <v>3385</v>
      </c>
    </row>
    <row r="1622" spans="1:14">
      <c r="A1622">
        <v>6028</v>
      </c>
      <c r="B1622" t="s">
        <v>4956</v>
      </c>
      <c r="C1622">
        <v>95.2</v>
      </c>
      <c r="D1622">
        <v>95.5</v>
      </c>
      <c r="E1622" s="178">
        <v>0.4</v>
      </c>
      <c r="F1622" s="176">
        <v>0.42</v>
      </c>
      <c r="G1622" t="s">
        <v>5435</v>
      </c>
      <c r="H1622">
        <v>2</v>
      </c>
      <c r="I1622">
        <v>44</v>
      </c>
      <c r="J1622">
        <v>2.5</v>
      </c>
      <c r="K1622">
        <v>95.5</v>
      </c>
      <c r="L1622">
        <v>95.2</v>
      </c>
      <c r="M1622" s="175">
        <v>0.01</v>
      </c>
      <c r="N1622" t="s">
        <v>4957</v>
      </c>
    </row>
    <row r="1623" spans="1:14">
      <c r="A1623">
        <v>6101</v>
      </c>
      <c r="B1623" t="s">
        <v>1359</v>
      </c>
      <c r="C1623">
        <v>37.6</v>
      </c>
      <c r="D1623">
        <v>38.4</v>
      </c>
      <c r="E1623" s="178">
        <v>0.5</v>
      </c>
      <c r="F1623" s="176">
        <v>1.32</v>
      </c>
      <c r="G1623" t="s">
        <v>6026</v>
      </c>
      <c r="H1623">
        <v>103</v>
      </c>
      <c r="I1623">
        <v>253</v>
      </c>
      <c r="J1623">
        <v>11.68</v>
      </c>
      <c r="K1623">
        <v>38.4</v>
      </c>
      <c r="L1623">
        <v>37.5</v>
      </c>
      <c r="M1623" s="175">
        <v>0.09</v>
      </c>
      <c r="N1623" t="s">
        <v>1901</v>
      </c>
    </row>
    <row r="1624" spans="1:14">
      <c r="A1624">
        <v>6103</v>
      </c>
      <c r="B1624" t="s">
        <v>1360</v>
      </c>
      <c r="C1624">
        <v>47</v>
      </c>
      <c r="D1624">
        <v>44.5</v>
      </c>
      <c r="E1624" s="178">
        <v>-2.5</v>
      </c>
      <c r="F1624" s="176">
        <v>-5.32</v>
      </c>
      <c r="G1624" t="s">
        <v>6462</v>
      </c>
      <c r="H1624">
        <v>88</v>
      </c>
      <c r="I1624">
        <v>58</v>
      </c>
      <c r="J1624">
        <v>1.36</v>
      </c>
      <c r="K1624">
        <v>47</v>
      </c>
      <c r="L1624">
        <v>43.15</v>
      </c>
      <c r="M1624" s="175">
        <v>0.65</v>
      </c>
      <c r="N1624" t="s">
        <v>1902</v>
      </c>
    </row>
    <row r="1625" spans="1:14">
      <c r="A1625">
        <v>6104</v>
      </c>
      <c r="B1625" t="s">
        <v>1361</v>
      </c>
      <c r="C1625">
        <v>99.3</v>
      </c>
      <c r="D1625">
        <v>97.2</v>
      </c>
      <c r="E1625" s="178">
        <v>-2.1</v>
      </c>
      <c r="F1625" s="176">
        <v>-2.11</v>
      </c>
      <c r="G1625" t="s">
        <v>6639</v>
      </c>
      <c r="H1625">
        <v>631</v>
      </c>
      <c r="I1625">
        <v>1094</v>
      </c>
      <c r="J1625">
        <v>9.11</v>
      </c>
      <c r="K1625">
        <v>99.4</v>
      </c>
      <c r="L1625">
        <v>97</v>
      </c>
      <c r="M1625" s="175">
        <v>0.69</v>
      </c>
      <c r="N1625" t="s">
        <v>3386</v>
      </c>
    </row>
    <row r="1626" spans="1:14">
      <c r="A1626">
        <v>6108</v>
      </c>
      <c r="B1626" t="s">
        <v>65</v>
      </c>
      <c r="C1626">
        <v>26</v>
      </c>
      <c r="D1626">
        <v>23.85</v>
      </c>
      <c r="E1626" s="178">
        <v>-1.85</v>
      </c>
      <c r="F1626" s="176">
        <v>-7.2</v>
      </c>
      <c r="G1626" t="s">
        <v>5409</v>
      </c>
      <c r="H1626">
        <v>6620</v>
      </c>
      <c r="I1626">
        <v>5782</v>
      </c>
      <c r="J1626">
        <v>15.45</v>
      </c>
      <c r="K1626">
        <v>26.15</v>
      </c>
      <c r="L1626">
        <v>23.7</v>
      </c>
      <c r="M1626" s="175">
        <v>4.28</v>
      </c>
      <c r="N1626" t="s">
        <v>3273</v>
      </c>
    </row>
    <row r="1627" spans="1:14">
      <c r="A1627">
        <v>6109</v>
      </c>
      <c r="B1627" t="s">
        <v>265</v>
      </c>
      <c r="C1627">
        <v>11</v>
      </c>
      <c r="D1627">
        <v>10.9</v>
      </c>
      <c r="E1627" s="178">
        <v>0</v>
      </c>
      <c r="F1627" s="176">
        <v>0</v>
      </c>
      <c r="G1627" t="s">
        <v>5440</v>
      </c>
      <c r="H1627">
        <v>61</v>
      </c>
      <c r="I1627">
        <v>70</v>
      </c>
      <c r="J1627">
        <v>8.7799999999999994</v>
      </c>
      <c r="K1627">
        <v>11</v>
      </c>
      <c r="L1627">
        <v>10.85</v>
      </c>
      <c r="M1627" s="175">
        <v>7.0000000000000007E-2</v>
      </c>
      <c r="N1627" t="s">
        <v>2143</v>
      </c>
    </row>
    <row r="1628" spans="1:14">
      <c r="A1628">
        <v>6111</v>
      </c>
      <c r="B1628" t="s">
        <v>4926</v>
      </c>
      <c r="C1628">
        <v>36.75</v>
      </c>
      <c r="D1628">
        <v>38</v>
      </c>
      <c r="E1628" s="178">
        <v>0.95</v>
      </c>
      <c r="F1628" s="176">
        <v>2.56</v>
      </c>
      <c r="G1628" t="s">
        <v>6640</v>
      </c>
      <c r="H1628">
        <v>324</v>
      </c>
      <c r="I1628">
        <v>123</v>
      </c>
      <c r="J1628">
        <v>10.85</v>
      </c>
      <c r="K1628">
        <v>38.4</v>
      </c>
      <c r="L1628">
        <v>36.65</v>
      </c>
      <c r="M1628" s="175">
        <v>0.3</v>
      </c>
      <c r="N1628" t="s">
        <v>4892</v>
      </c>
    </row>
    <row r="1629" spans="1:14">
      <c r="A1629">
        <v>6112</v>
      </c>
      <c r="B1629" t="s">
        <v>2144</v>
      </c>
      <c r="C1629">
        <v>45</v>
      </c>
      <c r="D1629">
        <v>45.4</v>
      </c>
      <c r="E1629" s="178">
        <v>0.35</v>
      </c>
      <c r="F1629" s="176">
        <v>0.78</v>
      </c>
      <c r="G1629" t="s">
        <v>5356</v>
      </c>
      <c r="H1629">
        <v>228</v>
      </c>
      <c r="I1629">
        <v>219</v>
      </c>
      <c r="J1629">
        <v>18.84</v>
      </c>
      <c r="K1629">
        <v>45.7</v>
      </c>
      <c r="L1629">
        <v>44.85</v>
      </c>
      <c r="M1629" s="175">
        <v>0.19</v>
      </c>
      <c r="N1629" t="s">
        <v>3900</v>
      </c>
    </row>
    <row r="1630" spans="1:14">
      <c r="A1630">
        <v>6113</v>
      </c>
      <c r="B1630" t="s">
        <v>1362</v>
      </c>
      <c r="C1630">
        <v>23</v>
      </c>
      <c r="D1630">
        <v>22.8</v>
      </c>
      <c r="E1630" s="178">
        <v>-0.25</v>
      </c>
      <c r="F1630" s="176">
        <v>-1.08</v>
      </c>
      <c r="G1630" t="s">
        <v>5230</v>
      </c>
      <c r="H1630">
        <v>81</v>
      </c>
      <c r="I1630">
        <v>72</v>
      </c>
      <c r="J1630">
        <v>5.25</v>
      </c>
      <c r="K1630">
        <v>23</v>
      </c>
      <c r="L1630">
        <v>22.75</v>
      </c>
      <c r="M1630" s="175">
        <v>0.15</v>
      </c>
      <c r="N1630" t="s">
        <v>3590</v>
      </c>
    </row>
    <row r="1631" spans="1:14">
      <c r="A1631">
        <v>6114</v>
      </c>
      <c r="B1631" t="s">
        <v>1363</v>
      </c>
      <c r="C1631">
        <v>25.4</v>
      </c>
      <c r="D1631">
        <v>25.4</v>
      </c>
      <c r="E1631" s="178">
        <v>0</v>
      </c>
      <c r="F1631" s="176">
        <v>0</v>
      </c>
      <c r="G1631" t="s">
        <v>6641</v>
      </c>
      <c r="H1631">
        <v>8</v>
      </c>
      <c r="I1631">
        <v>16</v>
      </c>
      <c r="J1631">
        <v>4.3899999999999997</v>
      </c>
      <c r="K1631">
        <v>25.4</v>
      </c>
      <c r="L1631">
        <v>24.95</v>
      </c>
      <c r="M1631" s="175">
        <v>0.02</v>
      </c>
      <c r="N1631" t="s">
        <v>3404</v>
      </c>
    </row>
    <row r="1632" spans="1:14">
      <c r="A1632">
        <v>6115</v>
      </c>
      <c r="B1632" t="s">
        <v>1364</v>
      </c>
      <c r="C1632">
        <v>44.05</v>
      </c>
      <c r="D1632">
        <v>43.65</v>
      </c>
      <c r="E1632" s="178">
        <v>-0.35</v>
      </c>
      <c r="F1632" s="176">
        <v>-0.8</v>
      </c>
      <c r="G1632" t="s">
        <v>6642</v>
      </c>
      <c r="H1632">
        <v>368</v>
      </c>
      <c r="I1632">
        <v>272</v>
      </c>
      <c r="J1632">
        <v>18.77</v>
      </c>
      <c r="K1632">
        <v>44.05</v>
      </c>
      <c r="L1632">
        <v>43.55</v>
      </c>
      <c r="M1632" s="175">
        <v>0.2</v>
      </c>
      <c r="N1632" t="s">
        <v>3183</v>
      </c>
    </row>
    <row r="1633" spans="1:14">
      <c r="A1633">
        <v>6116</v>
      </c>
      <c r="B1633" t="s">
        <v>1365</v>
      </c>
      <c r="C1633">
        <v>14.4</v>
      </c>
      <c r="D1633">
        <v>14.5</v>
      </c>
      <c r="E1633" s="178">
        <v>0</v>
      </c>
      <c r="F1633" s="176">
        <v>0</v>
      </c>
      <c r="G1633" t="s">
        <v>6596</v>
      </c>
      <c r="H1633">
        <v>23264</v>
      </c>
      <c r="I1633">
        <v>34322</v>
      </c>
      <c r="J1633">
        <v>285.87</v>
      </c>
      <c r="K1633">
        <v>14.6</v>
      </c>
      <c r="L1633">
        <v>14</v>
      </c>
      <c r="M1633" s="175">
        <v>0.81</v>
      </c>
      <c r="N1633" t="s">
        <v>3536</v>
      </c>
    </row>
    <row r="1634" spans="1:14">
      <c r="A1634">
        <v>6117</v>
      </c>
      <c r="B1634" t="s">
        <v>1366</v>
      </c>
      <c r="C1634">
        <v>63.5</v>
      </c>
      <c r="D1634">
        <v>63.1</v>
      </c>
      <c r="E1634" s="178">
        <v>0.1</v>
      </c>
      <c r="F1634" s="176">
        <v>0.16</v>
      </c>
      <c r="G1634" t="s">
        <v>5645</v>
      </c>
      <c r="H1634">
        <v>93</v>
      </c>
      <c r="I1634">
        <v>136</v>
      </c>
      <c r="J1634">
        <v>9.26</v>
      </c>
      <c r="K1634">
        <v>63.6</v>
      </c>
      <c r="L1634">
        <v>62.6</v>
      </c>
      <c r="M1634" s="175">
        <v>0.1</v>
      </c>
      <c r="N1634" t="s">
        <v>3053</v>
      </c>
    </row>
    <row r="1635" spans="1:14">
      <c r="A1635">
        <v>6118</v>
      </c>
      <c r="B1635" t="s">
        <v>1367</v>
      </c>
      <c r="C1635">
        <v>15.3</v>
      </c>
      <c r="D1635">
        <v>15.3</v>
      </c>
      <c r="E1635" s="178">
        <v>0.1</v>
      </c>
      <c r="F1635" s="176">
        <v>0.66</v>
      </c>
      <c r="G1635" t="s">
        <v>6643</v>
      </c>
      <c r="H1635">
        <v>35</v>
      </c>
      <c r="I1635">
        <v>61</v>
      </c>
      <c r="J1635">
        <v>9.09</v>
      </c>
      <c r="K1635">
        <v>15.45</v>
      </c>
      <c r="L1635">
        <v>15.2</v>
      </c>
      <c r="M1635" s="175">
        <v>0.04</v>
      </c>
      <c r="N1635" t="s">
        <v>4213</v>
      </c>
    </row>
    <row r="1636" spans="1:14">
      <c r="A1636">
        <v>6120</v>
      </c>
      <c r="B1636" t="s">
        <v>4657</v>
      </c>
      <c r="C1636">
        <v>12.85</v>
      </c>
      <c r="D1636">
        <v>12.7</v>
      </c>
      <c r="E1636" s="178">
        <v>-0.1</v>
      </c>
      <c r="F1636" s="176">
        <v>-0.78</v>
      </c>
      <c r="G1636" t="s">
        <v>5698</v>
      </c>
      <c r="H1636">
        <v>984</v>
      </c>
      <c r="I1636">
        <v>1237</v>
      </c>
      <c r="J1636">
        <v>59.9</v>
      </c>
      <c r="K1636">
        <v>12.85</v>
      </c>
      <c r="L1636">
        <v>12.55</v>
      </c>
      <c r="M1636" s="175">
        <v>0.16</v>
      </c>
      <c r="N1636" t="s">
        <v>4658</v>
      </c>
    </row>
    <row r="1637" spans="1:14">
      <c r="A1637">
        <v>6121</v>
      </c>
      <c r="B1637" t="s">
        <v>1368</v>
      </c>
      <c r="C1637">
        <v>404.5</v>
      </c>
      <c r="D1637">
        <v>404</v>
      </c>
      <c r="E1637" s="178">
        <v>-1.5</v>
      </c>
      <c r="F1637" s="176">
        <v>-0.37</v>
      </c>
      <c r="G1637" t="s">
        <v>5469</v>
      </c>
      <c r="H1637">
        <v>389</v>
      </c>
      <c r="I1637">
        <v>464</v>
      </c>
      <c r="J1637">
        <v>18.5</v>
      </c>
      <c r="K1637">
        <v>408</v>
      </c>
      <c r="L1637">
        <v>401.5</v>
      </c>
      <c r="M1637" s="175">
        <v>0.21</v>
      </c>
      <c r="N1637" t="s">
        <v>1903</v>
      </c>
    </row>
    <row r="1638" spans="1:14">
      <c r="A1638">
        <v>6122</v>
      </c>
      <c r="B1638" t="s">
        <v>1369</v>
      </c>
      <c r="C1638">
        <v>48.5</v>
      </c>
      <c r="D1638">
        <v>48</v>
      </c>
      <c r="E1638" s="178">
        <v>-0.65</v>
      </c>
      <c r="F1638" s="176">
        <v>-1.34</v>
      </c>
      <c r="G1638" t="s">
        <v>6523</v>
      </c>
      <c r="H1638">
        <v>108</v>
      </c>
      <c r="I1638">
        <v>189</v>
      </c>
      <c r="J1638">
        <v>7.81</v>
      </c>
      <c r="K1638">
        <v>48.5</v>
      </c>
      <c r="L1638">
        <v>47.8</v>
      </c>
      <c r="M1638" s="175">
        <v>0.14000000000000001</v>
      </c>
      <c r="N1638" t="s">
        <v>3184</v>
      </c>
    </row>
    <row r="1639" spans="1:14">
      <c r="A1639">
        <v>6123</v>
      </c>
      <c r="B1639" t="s">
        <v>1370</v>
      </c>
      <c r="C1639">
        <v>43.3</v>
      </c>
      <c r="D1639">
        <v>43.5</v>
      </c>
      <c r="E1639" s="178">
        <v>0</v>
      </c>
      <c r="F1639" s="176">
        <v>0</v>
      </c>
      <c r="G1639" t="s">
        <v>6644</v>
      </c>
      <c r="H1639">
        <v>10</v>
      </c>
      <c r="I1639">
        <v>35</v>
      </c>
      <c r="J1639">
        <v>6.21</v>
      </c>
      <c r="K1639">
        <v>43.6</v>
      </c>
      <c r="L1639">
        <v>43.3</v>
      </c>
      <c r="M1639" s="175">
        <v>0.02</v>
      </c>
      <c r="N1639" t="s">
        <v>3591</v>
      </c>
    </row>
    <row r="1640" spans="1:14">
      <c r="A1640">
        <v>6124</v>
      </c>
      <c r="B1640" t="s">
        <v>1371</v>
      </c>
      <c r="C1640">
        <v>26.7</v>
      </c>
      <c r="D1640">
        <v>26.9</v>
      </c>
      <c r="E1640" s="178">
        <v>-0.25</v>
      </c>
      <c r="F1640" s="176">
        <v>-0.92</v>
      </c>
      <c r="G1640" t="s">
        <v>5526</v>
      </c>
      <c r="H1640">
        <v>24</v>
      </c>
      <c r="I1640">
        <v>20</v>
      </c>
      <c r="J1640">
        <v>18.25</v>
      </c>
      <c r="K1640">
        <v>27.1</v>
      </c>
      <c r="L1640">
        <v>26.5</v>
      </c>
      <c r="M1640" s="175">
        <v>0.01</v>
      </c>
      <c r="N1640" t="s">
        <v>3274</v>
      </c>
    </row>
    <row r="1641" spans="1:14">
      <c r="A1641">
        <v>6125</v>
      </c>
      <c r="B1641" t="s">
        <v>1372</v>
      </c>
      <c r="C1641">
        <v>52.2</v>
      </c>
      <c r="D1641">
        <v>50.5</v>
      </c>
      <c r="E1641" s="178">
        <v>-0.5</v>
      </c>
      <c r="F1641" s="176">
        <v>-0.98</v>
      </c>
      <c r="G1641" t="s">
        <v>6645</v>
      </c>
      <c r="H1641">
        <v>910</v>
      </c>
      <c r="I1641">
        <v>1200</v>
      </c>
      <c r="J1641">
        <v>25.9</v>
      </c>
      <c r="K1641">
        <v>52.2</v>
      </c>
      <c r="L1641">
        <v>50.2</v>
      </c>
      <c r="M1641" s="175">
        <v>0.35</v>
      </c>
      <c r="N1641" t="s">
        <v>3720</v>
      </c>
    </row>
    <row r="1642" spans="1:14">
      <c r="A1642">
        <v>6126</v>
      </c>
      <c r="B1642" t="s">
        <v>1373</v>
      </c>
      <c r="C1642">
        <v>30</v>
      </c>
      <c r="D1642">
        <v>29.95</v>
      </c>
      <c r="E1642" s="178">
        <v>0.1</v>
      </c>
      <c r="F1642" s="176">
        <v>0.34</v>
      </c>
      <c r="G1642" t="s">
        <v>5681</v>
      </c>
      <c r="H1642">
        <v>230</v>
      </c>
      <c r="I1642">
        <v>285</v>
      </c>
      <c r="J1642">
        <v>13.02</v>
      </c>
      <c r="K1642">
        <v>30.1</v>
      </c>
      <c r="L1642">
        <v>29.7</v>
      </c>
      <c r="M1642" s="175">
        <v>0.18</v>
      </c>
      <c r="N1642" t="s">
        <v>2214</v>
      </c>
    </row>
    <row r="1643" spans="1:14">
      <c r="A1643">
        <v>6127</v>
      </c>
      <c r="B1643" t="s">
        <v>1374</v>
      </c>
      <c r="C1643">
        <v>50.9</v>
      </c>
      <c r="D1643">
        <v>48.4</v>
      </c>
      <c r="E1643" s="178">
        <v>-2.4</v>
      </c>
      <c r="F1643" s="176">
        <v>-4.72</v>
      </c>
      <c r="G1643" t="s">
        <v>5746</v>
      </c>
      <c r="H1643">
        <v>2988</v>
      </c>
      <c r="I1643">
        <v>3003</v>
      </c>
      <c r="J1643">
        <v>10.81</v>
      </c>
      <c r="K1643">
        <v>52</v>
      </c>
      <c r="L1643">
        <v>47.85</v>
      </c>
      <c r="M1643" s="175">
        <v>2.76</v>
      </c>
      <c r="N1643" t="s">
        <v>3063</v>
      </c>
    </row>
    <row r="1644" spans="1:14">
      <c r="A1644">
        <v>6128</v>
      </c>
      <c r="B1644" t="s">
        <v>1375</v>
      </c>
      <c r="C1644">
        <v>20.100000000000001</v>
      </c>
      <c r="D1644">
        <v>19.95</v>
      </c>
      <c r="E1644" s="178">
        <v>-0.35</v>
      </c>
      <c r="F1644" s="176">
        <v>-1.72</v>
      </c>
      <c r="G1644" t="s">
        <v>5541</v>
      </c>
      <c r="H1644">
        <v>92</v>
      </c>
      <c r="I1644">
        <v>38</v>
      </c>
      <c r="J1644">
        <v>12.76</v>
      </c>
      <c r="K1644">
        <v>20.149999999999999</v>
      </c>
      <c r="L1644">
        <v>19.899999999999999</v>
      </c>
      <c r="M1644" s="175">
        <v>7.0000000000000007E-2</v>
      </c>
      <c r="N1644" t="s">
        <v>1904</v>
      </c>
    </row>
    <row r="1645" spans="1:14">
      <c r="A1645">
        <v>6129</v>
      </c>
      <c r="B1645" t="s">
        <v>1376</v>
      </c>
      <c r="C1645">
        <v>13.25</v>
      </c>
      <c r="D1645">
        <v>13.1</v>
      </c>
      <c r="E1645" s="178">
        <v>-0.35</v>
      </c>
      <c r="F1645" s="176">
        <v>-2.6</v>
      </c>
      <c r="G1645" t="s">
        <v>6646</v>
      </c>
      <c r="H1645">
        <v>752</v>
      </c>
      <c r="I1645">
        <v>528</v>
      </c>
      <c r="J1645">
        <v>18.09</v>
      </c>
      <c r="K1645">
        <v>13.35</v>
      </c>
      <c r="L1645">
        <v>13.05</v>
      </c>
      <c r="M1645" s="175">
        <v>0.42</v>
      </c>
      <c r="N1645" t="s">
        <v>1905</v>
      </c>
    </row>
    <row r="1646" spans="1:14">
      <c r="A1646">
        <v>6130</v>
      </c>
      <c r="B1646" t="s">
        <v>3054</v>
      </c>
      <c r="C1646">
        <v>26.95</v>
      </c>
      <c r="D1646">
        <v>26.8</v>
      </c>
      <c r="E1646" s="178">
        <v>0.1</v>
      </c>
      <c r="F1646" s="176">
        <v>0.37</v>
      </c>
      <c r="G1646" t="s">
        <v>5241</v>
      </c>
      <c r="H1646">
        <v>79</v>
      </c>
      <c r="I1646">
        <v>104</v>
      </c>
      <c r="J1646">
        <v>4.93</v>
      </c>
      <c r="K1646">
        <v>27.35</v>
      </c>
      <c r="L1646">
        <v>26.55</v>
      </c>
      <c r="M1646" s="175">
        <v>0.17</v>
      </c>
      <c r="N1646" t="s">
        <v>3446</v>
      </c>
    </row>
    <row r="1647" spans="1:14">
      <c r="A1647">
        <v>6133</v>
      </c>
      <c r="B1647" t="s">
        <v>1377</v>
      </c>
      <c r="C1647">
        <v>23.1</v>
      </c>
      <c r="D1647">
        <v>23.15</v>
      </c>
      <c r="E1647" s="178">
        <v>0.15</v>
      </c>
      <c r="F1647" s="176">
        <v>0.65</v>
      </c>
      <c r="G1647" t="s">
        <v>6647</v>
      </c>
      <c r="H1647">
        <v>479</v>
      </c>
      <c r="I1647">
        <v>617</v>
      </c>
      <c r="J1647">
        <v>11.7</v>
      </c>
      <c r="K1647">
        <v>23.6</v>
      </c>
      <c r="L1647">
        <v>23</v>
      </c>
      <c r="M1647" s="175">
        <v>0.41</v>
      </c>
      <c r="N1647" t="s">
        <v>3275</v>
      </c>
    </row>
    <row r="1648" spans="1:14">
      <c r="A1648">
        <v>6134</v>
      </c>
      <c r="B1648" t="s">
        <v>1378</v>
      </c>
      <c r="C1648">
        <v>28.9</v>
      </c>
      <c r="D1648">
        <v>28.65</v>
      </c>
      <c r="E1648" s="178">
        <v>-0.2</v>
      </c>
      <c r="F1648" s="176">
        <v>-0.69</v>
      </c>
      <c r="G1648" t="s">
        <v>5681</v>
      </c>
      <c r="H1648">
        <v>237</v>
      </c>
      <c r="I1648">
        <v>139</v>
      </c>
      <c r="J1648">
        <v>8.19</v>
      </c>
      <c r="K1648">
        <v>29.45</v>
      </c>
      <c r="L1648">
        <v>28.45</v>
      </c>
      <c r="M1648" s="175">
        <v>0.28999999999999998</v>
      </c>
      <c r="N1648" t="s">
        <v>3387</v>
      </c>
    </row>
    <row r="1649" spans="1:14">
      <c r="A1649">
        <v>6136</v>
      </c>
      <c r="B1649" t="s">
        <v>1379</v>
      </c>
      <c r="C1649">
        <v>25.05</v>
      </c>
      <c r="D1649">
        <v>24.5</v>
      </c>
      <c r="E1649" s="178">
        <v>-0.6</v>
      </c>
      <c r="F1649" s="176">
        <v>-2.39</v>
      </c>
      <c r="G1649" t="s">
        <v>5560</v>
      </c>
      <c r="H1649">
        <v>207</v>
      </c>
      <c r="I1649">
        <v>232</v>
      </c>
      <c r="J1649">
        <v>11.55</v>
      </c>
      <c r="K1649">
        <v>25.1</v>
      </c>
      <c r="L1649">
        <v>24.5</v>
      </c>
      <c r="M1649" s="175">
        <v>0.18</v>
      </c>
      <c r="N1649" t="s">
        <v>2215</v>
      </c>
    </row>
    <row r="1650" spans="1:14">
      <c r="A1650">
        <v>6138</v>
      </c>
      <c r="B1650" t="s">
        <v>1380</v>
      </c>
      <c r="C1650">
        <v>291.5</v>
      </c>
      <c r="D1650">
        <v>292</v>
      </c>
      <c r="E1650" s="178">
        <v>-5</v>
      </c>
      <c r="F1650" s="176">
        <v>-1.68</v>
      </c>
      <c r="G1650" t="s">
        <v>5577</v>
      </c>
      <c r="H1650">
        <v>595</v>
      </c>
      <c r="I1650">
        <v>869</v>
      </c>
      <c r="J1650">
        <v>7.56</v>
      </c>
      <c r="K1650">
        <v>294</v>
      </c>
      <c r="L1650">
        <v>283.5</v>
      </c>
      <c r="M1650" s="175">
        <v>0.79</v>
      </c>
      <c r="N1650" t="s">
        <v>3721</v>
      </c>
    </row>
    <row r="1651" spans="1:14">
      <c r="A1651">
        <v>6139</v>
      </c>
      <c r="B1651" t="s">
        <v>1381</v>
      </c>
      <c r="C1651">
        <v>768</v>
      </c>
      <c r="D1651">
        <v>755</v>
      </c>
      <c r="E1651" s="178">
        <v>-20</v>
      </c>
      <c r="F1651" s="176">
        <v>-2.58</v>
      </c>
      <c r="G1651" t="s">
        <v>6648</v>
      </c>
      <c r="H1651">
        <v>2800</v>
      </c>
      <c r="I1651">
        <v>2159</v>
      </c>
      <c r="J1651">
        <v>23.56</v>
      </c>
      <c r="K1651">
        <v>768</v>
      </c>
      <c r="L1651">
        <v>737</v>
      </c>
      <c r="M1651" s="175">
        <v>1.19</v>
      </c>
      <c r="N1651" t="s">
        <v>1906</v>
      </c>
    </row>
    <row r="1652" spans="1:14">
      <c r="A1652">
        <v>6140</v>
      </c>
      <c r="B1652" t="s">
        <v>1382</v>
      </c>
      <c r="C1652">
        <v>17.100000000000001</v>
      </c>
      <c r="D1652">
        <v>17</v>
      </c>
      <c r="E1652" s="178">
        <v>-0.1</v>
      </c>
      <c r="F1652" s="176">
        <v>-0.57999999999999996</v>
      </c>
      <c r="G1652" t="s">
        <v>5739</v>
      </c>
      <c r="H1652">
        <v>38</v>
      </c>
      <c r="I1652">
        <v>67</v>
      </c>
      <c r="J1652">
        <v>5.49</v>
      </c>
      <c r="K1652">
        <v>17.2</v>
      </c>
      <c r="L1652">
        <v>16.95</v>
      </c>
      <c r="M1652" s="175">
        <v>7.0000000000000007E-2</v>
      </c>
      <c r="N1652" t="s">
        <v>3901</v>
      </c>
    </row>
    <row r="1653" spans="1:14">
      <c r="A1653">
        <v>6141</v>
      </c>
      <c r="B1653" t="s">
        <v>2058</v>
      </c>
      <c r="C1653">
        <v>58.1</v>
      </c>
      <c r="D1653">
        <v>58.9</v>
      </c>
      <c r="E1653" s="178">
        <v>0.7</v>
      </c>
      <c r="F1653" s="176">
        <v>1.2</v>
      </c>
      <c r="G1653" t="s">
        <v>6649</v>
      </c>
      <c r="H1653">
        <v>5196</v>
      </c>
      <c r="I1653">
        <v>6233</v>
      </c>
      <c r="J1653">
        <v>11.34</v>
      </c>
      <c r="K1653">
        <v>59.5</v>
      </c>
      <c r="L1653">
        <v>55.1</v>
      </c>
      <c r="M1653" s="175">
        <v>4.58</v>
      </c>
      <c r="N1653" t="s">
        <v>3185</v>
      </c>
    </row>
    <row r="1654" spans="1:14">
      <c r="A1654">
        <v>6142</v>
      </c>
      <c r="B1654" t="s">
        <v>1383</v>
      </c>
      <c r="C1654">
        <v>8.8699999999999992</v>
      </c>
      <c r="D1654">
        <v>8.8000000000000007</v>
      </c>
      <c r="E1654" s="178">
        <v>-7.0000000000000007E-2</v>
      </c>
      <c r="F1654" s="176">
        <v>-0.79</v>
      </c>
      <c r="G1654" t="s">
        <v>6650</v>
      </c>
      <c r="H1654">
        <v>449</v>
      </c>
      <c r="I1654">
        <v>416</v>
      </c>
      <c r="J1654">
        <v>33.08</v>
      </c>
      <c r="K1654">
        <v>8.8800000000000008</v>
      </c>
      <c r="L1654">
        <v>8.7100000000000009</v>
      </c>
      <c r="M1654" s="175">
        <v>0.2</v>
      </c>
      <c r="N1654" t="s">
        <v>4446</v>
      </c>
    </row>
    <row r="1655" spans="1:14">
      <c r="A1655">
        <v>6143</v>
      </c>
      <c r="B1655" t="s">
        <v>1384</v>
      </c>
      <c r="C1655">
        <v>89.3</v>
      </c>
      <c r="D1655">
        <v>88.6</v>
      </c>
      <c r="E1655" s="178">
        <v>-0.7</v>
      </c>
      <c r="F1655" s="176">
        <v>-0.78</v>
      </c>
      <c r="G1655" t="s">
        <v>5486</v>
      </c>
      <c r="H1655">
        <v>196</v>
      </c>
      <c r="I1655">
        <v>212</v>
      </c>
      <c r="J1655">
        <v>8.61</v>
      </c>
      <c r="K1655">
        <v>89.3</v>
      </c>
      <c r="L1655">
        <v>88.5</v>
      </c>
      <c r="M1655" s="175">
        <v>0.23</v>
      </c>
      <c r="N1655" t="s">
        <v>4935</v>
      </c>
    </row>
    <row r="1656" spans="1:14">
      <c r="A1656">
        <v>6144</v>
      </c>
      <c r="B1656" t="s">
        <v>1385</v>
      </c>
      <c r="C1656">
        <v>13.1</v>
      </c>
      <c r="D1656">
        <v>13.55</v>
      </c>
      <c r="E1656" s="178">
        <v>0.45</v>
      </c>
      <c r="F1656" s="176">
        <v>3.44</v>
      </c>
      <c r="G1656" t="s">
        <v>5607</v>
      </c>
      <c r="H1656">
        <v>17</v>
      </c>
      <c r="I1656">
        <v>17</v>
      </c>
      <c r="J1656">
        <v>3.83</v>
      </c>
      <c r="K1656">
        <v>13.55</v>
      </c>
      <c r="L1656">
        <v>13.1</v>
      </c>
      <c r="M1656" s="175">
        <v>0.04</v>
      </c>
      <c r="N1656" t="s">
        <v>2152</v>
      </c>
    </row>
    <row r="1657" spans="1:14">
      <c r="A1657">
        <v>6146</v>
      </c>
      <c r="B1657" t="s">
        <v>1386</v>
      </c>
      <c r="C1657">
        <v>192</v>
      </c>
      <c r="D1657">
        <v>192.5</v>
      </c>
      <c r="E1657" s="178">
        <v>0</v>
      </c>
      <c r="F1657" s="176">
        <v>0</v>
      </c>
      <c r="G1657" t="s">
        <v>6651</v>
      </c>
      <c r="H1657">
        <v>138</v>
      </c>
      <c r="I1657">
        <v>253</v>
      </c>
      <c r="J1657">
        <v>10.19</v>
      </c>
      <c r="K1657">
        <v>193</v>
      </c>
      <c r="L1657">
        <v>191</v>
      </c>
      <c r="M1657" s="175">
        <v>0.14000000000000001</v>
      </c>
      <c r="N1657" t="s">
        <v>3944</v>
      </c>
    </row>
    <row r="1658" spans="1:14">
      <c r="A1658">
        <v>6147</v>
      </c>
      <c r="B1658" t="s">
        <v>1387</v>
      </c>
      <c r="C1658">
        <v>176</v>
      </c>
      <c r="D1658">
        <v>175.5</v>
      </c>
      <c r="E1658" s="178">
        <v>-7</v>
      </c>
      <c r="F1658" s="176">
        <v>-3.84</v>
      </c>
      <c r="G1658" t="s">
        <v>6652</v>
      </c>
      <c r="H1658">
        <v>20910</v>
      </c>
      <c r="I1658">
        <v>38360</v>
      </c>
      <c r="J1658">
        <v>74.459999999999994</v>
      </c>
      <c r="K1658">
        <v>177.5</v>
      </c>
      <c r="L1658">
        <v>171.5</v>
      </c>
      <c r="M1658" s="175">
        <v>2.81</v>
      </c>
      <c r="N1658" t="s">
        <v>1907</v>
      </c>
    </row>
    <row r="1659" spans="1:14">
      <c r="A1659">
        <v>6148</v>
      </c>
      <c r="B1659" t="s">
        <v>1388</v>
      </c>
      <c r="C1659">
        <v>27.75</v>
      </c>
      <c r="D1659">
        <v>28</v>
      </c>
      <c r="E1659" s="178">
        <v>-0.3</v>
      </c>
      <c r="F1659" s="176">
        <v>-1.06</v>
      </c>
      <c r="G1659" t="s">
        <v>5315</v>
      </c>
      <c r="H1659">
        <v>40</v>
      </c>
      <c r="I1659">
        <v>99</v>
      </c>
      <c r="J1659">
        <v>4.66</v>
      </c>
      <c r="K1659">
        <v>28.3</v>
      </c>
      <c r="L1659">
        <v>27.75</v>
      </c>
      <c r="M1659" s="175">
        <v>0.09</v>
      </c>
      <c r="N1659" t="s">
        <v>1908</v>
      </c>
    </row>
    <row r="1660" spans="1:14">
      <c r="A1660">
        <v>6150</v>
      </c>
      <c r="B1660" t="s">
        <v>1389</v>
      </c>
      <c r="C1660">
        <v>60.9</v>
      </c>
      <c r="D1660">
        <v>60.5</v>
      </c>
      <c r="E1660" s="178">
        <v>-0.6</v>
      </c>
      <c r="F1660" s="176">
        <v>-0.98</v>
      </c>
      <c r="G1660" t="s">
        <v>5477</v>
      </c>
      <c r="H1660">
        <v>85</v>
      </c>
      <c r="I1660">
        <v>155</v>
      </c>
      <c r="J1660">
        <v>4.83</v>
      </c>
      <c r="K1660">
        <v>61.3</v>
      </c>
      <c r="L1660">
        <v>60.5</v>
      </c>
      <c r="M1660" s="175">
        <v>0.18</v>
      </c>
      <c r="N1660" t="s">
        <v>4455</v>
      </c>
    </row>
    <row r="1661" spans="1:14">
      <c r="A1661">
        <v>6151</v>
      </c>
      <c r="B1661" t="s">
        <v>1390</v>
      </c>
      <c r="C1661">
        <v>36</v>
      </c>
      <c r="D1661">
        <v>35.700000000000003</v>
      </c>
      <c r="E1661" s="178">
        <v>-0.6</v>
      </c>
      <c r="F1661" s="176">
        <v>-1.65</v>
      </c>
      <c r="G1661" t="s">
        <v>5270</v>
      </c>
      <c r="H1661">
        <v>94</v>
      </c>
      <c r="I1661">
        <v>75</v>
      </c>
      <c r="J1661">
        <v>5.53</v>
      </c>
      <c r="K1661">
        <v>36.299999999999997</v>
      </c>
      <c r="L1661">
        <v>35.700000000000003</v>
      </c>
      <c r="M1661" s="175">
        <v>0.17</v>
      </c>
      <c r="N1661" t="s">
        <v>1909</v>
      </c>
    </row>
    <row r="1662" spans="1:14">
      <c r="A1662">
        <v>6152</v>
      </c>
      <c r="B1662" t="s">
        <v>1391</v>
      </c>
      <c r="C1662">
        <v>14.1</v>
      </c>
      <c r="D1662">
        <v>14.15</v>
      </c>
      <c r="E1662" s="178">
        <v>0.1</v>
      </c>
      <c r="F1662" s="176">
        <v>0.71</v>
      </c>
      <c r="G1662" t="s">
        <v>6653</v>
      </c>
      <c r="H1662">
        <v>916</v>
      </c>
      <c r="I1662">
        <v>592</v>
      </c>
      <c r="J1662">
        <v>16.77</v>
      </c>
      <c r="K1662">
        <v>14.5</v>
      </c>
      <c r="L1662">
        <v>14</v>
      </c>
      <c r="M1662" s="175">
        <v>0.55000000000000004</v>
      </c>
      <c r="N1662" t="s">
        <v>3121</v>
      </c>
    </row>
    <row r="1663" spans="1:14">
      <c r="A1663">
        <v>6153</v>
      </c>
      <c r="B1663" t="s">
        <v>1910</v>
      </c>
      <c r="C1663">
        <v>17.5</v>
      </c>
      <c r="D1663">
        <v>17.75</v>
      </c>
      <c r="E1663" s="178">
        <v>0</v>
      </c>
      <c r="F1663" s="176">
        <v>0</v>
      </c>
      <c r="G1663" t="s">
        <v>5110</v>
      </c>
      <c r="H1663">
        <v>5756</v>
      </c>
      <c r="I1663">
        <v>2722</v>
      </c>
      <c r="J1663">
        <v>63.62</v>
      </c>
      <c r="K1663">
        <v>18.399999999999999</v>
      </c>
      <c r="L1663">
        <v>17.350000000000001</v>
      </c>
      <c r="M1663" s="175">
        <v>0.9</v>
      </c>
      <c r="N1663" t="s">
        <v>1911</v>
      </c>
    </row>
    <row r="1664" spans="1:14">
      <c r="A1664">
        <v>6154</v>
      </c>
      <c r="B1664" t="s">
        <v>1392</v>
      </c>
      <c r="C1664">
        <v>14.1</v>
      </c>
      <c r="D1664">
        <v>14.05</v>
      </c>
      <c r="E1664" s="178">
        <v>0</v>
      </c>
      <c r="F1664" s="176">
        <v>0</v>
      </c>
      <c r="G1664" t="s">
        <v>5238</v>
      </c>
      <c r="H1664">
        <v>8</v>
      </c>
      <c r="I1664">
        <v>21</v>
      </c>
      <c r="J1664">
        <v>8.01</v>
      </c>
      <c r="K1664">
        <v>14.1</v>
      </c>
      <c r="L1664">
        <v>14</v>
      </c>
      <c r="M1664" s="175">
        <v>0.01</v>
      </c>
      <c r="N1664" t="s">
        <v>3112</v>
      </c>
    </row>
    <row r="1665" spans="1:14">
      <c r="A1665">
        <v>6155</v>
      </c>
      <c r="B1665" t="s">
        <v>1393</v>
      </c>
      <c r="C1665">
        <v>58</v>
      </c>
      <c r="D1665">
        <v>57.1</v>
      </c>
      <c r="E1665" s="178">
        <v>-2.1</v>
      </c>
      <c r="F1665" s="176">
        <v>-3.55</v>
      </c>
      <c r="G1665" t="s">
        <v>6654</v>
      </c>
      <c r="H1665">
        <v>1281</v>
      </c>
      <c r="I1665">
        <v>1618</v>
      </c>
      <c r="J1665">
        <v>8.8000000000000007</v>
      </c>
      <c r="K1665">
        <v>60.5</v>
      </c>
      <c r="L1665">
        <v>57.1</v>
      </c>
      <c r="M1665" s="175">
        <v>1.46</v>
      </c>
      <c r="N1665" t="s">
        <v>1912</v>
      </c>
    </row>
    <row r="1666" spans="1:14">
      <c r="A1666">
        <v>6156</v>
      </c>
      <c r="B1666" t="s">
        <v>1394</v>
      </c>
      <c r="C1666">
        <v>21.35</v>
      </c>
      <c r="D1666">
        <v>21.3</v>
      </c>
      <c r="E1666" s="178">
        <v>0.05</v>
      </c>
      <c r="F1666" s="176">
        <v>0.24</v>
      </c>
      <c r="G1666" t="s">
        <v>6655</v>
      </c>
      <c r="H1666">
        <v>514</v>
      </c>
      <c r="I1666">
        <v>491</v>
      </c>
      <c r="J1666">
        <v>10.79</v>
      </c>
      <c r="K1666">
        <v>21.5</v>
      </c>
      <c r="L1666">
        <v>20.95</v>
      </c>
      <c r="M1666" s="175">
        <v>0.48</v>
      </c>
      <c r="N1666" t="s">
        <v>1913</v>
      </c>
    </row>
    <row r="1667" spans="1:14">
      <c r="A1667">
        <v>6158</v>
      </c>
      <c r="B1667" t="s">
        <v>1395</v>
      </c>
      <c r="C1667">
        <v>16.5</v>
      </c>
      <c r="D1667">
        <v>16.600000000000001</v>
      </c>
      <c r="E1667" s="178">
        <v>0.1</v>
      </c>
      <c r="F1667" s="176">
        <v>0.61</v>
      </c>
      <c r="G1667" t="s">
        <v>6656</v>
      </c>
      <c r="H1667">
        <v>37</v>
      </c>
      <c r="I1667">
        <v>24</v>
      </c>
      <c r="J1667">
        <v>5.5</v>
      </c>
      <c r="K1667">
        <v>16.600000000000001</v>
      </c>
      <c r="L1667">
        <v>16.5</v>
      </c>
      <c r="M1667" s="175">
        <v>7.0000000000000007E-2</v>
      </c>
      <c r="N1667" t="s">
        <v>2216</v>
      </c>
    </row>
    <row r="1668" spans="1:14">
      <c r="A1668">
        <v>6160</v>
      </c>
      <c r="B1668" t="s">
        <v>1396</v>
      </c>
      <c r="C1668">
        <v>14.9</v>
      </c>
      <c r="D1668">
        <v>15</v>
      </c>
      <c r="E1668" s="178">
        <v>0</v>
      </c>
      <c r="F1668" s="176">
        <v>0</v>
      </c>
      <c r="G1668" t="s">
        <v>5488</v>
      </c>
      <c r="H1668">
        <v>36</v>
      </c>
      <c r="I1668">
        <v>114</v>
      </c>
      <c r="J1668">
        <v>6.85</v>
      </c>
      <c r="K1668">
        <v>15.1</v>
      </c>
      <c r="L1668">
        <v>14.9</v>
      </c>
      <c r="M1668" s="175">
        <v>0.05</v>
      </c>
      <c r="N1668" t="s">
        <v>1914</v>
      </c>
    </row>
    <row r="1669" spans="1:14">
      <c r="A1669">
        <v>6161</v>
      </c>
      <c r="B1669" t="s">
        <v>4073</v>
      </c>
      <c r="C1669">
        <v>50.6</v>
      </c>
      <c r="D1669">
        <v>49.55</v>
      </c>
      <c r="E1669" s="178">
        <v>-0.75</v>
      </c>
      <c r="F1669" s="176">
        <v>-1.49</v>
      </c>
      <c r="G1669" t="s">
        <v>5211</v>
      </c>
      <c r="H1669">
        <v>76</v>
      </c>
      <c r="I1669">
        <v>95</v>
      </c>
      <c r="J1669">
        <v>5.62</v>
      </c>
      <c r="K1669">
        <v>50.6</v>
      </c>
      <c r="L1669">
        <v>49.3</v>
      </c>
      <c r="M1669" s="175">
        <v>0.14000000000000001</v>
      </c>
      <c r="N1669" t="s">
        <v>4074</v>
      </c>
    </row>
    <row r="1670" spans="1:14">
      <c r="A1670">
        <v>6163</v>
      </c>
      <c r="B1670" t="s">
        <v>1397</v>
      </c>
      <c r="C1670">
        <v>42.25</v>
      </c>
      <c r="D1670">
        <v>42</v>
      </c>
      <c r="E1670" s="178">
        <v>-1.3</v>
      </c>
      <c r="F1670" s="176">
        <v>-3</v>
      </c>
      <c r="G1670" t="s">
        <v>6583</v>
      </c>
      <c r="H1670">
        <v>415</v>
      </c>
      <c r="I1670">
        <v>402</v>
      </c>
      <c r="J1670">
        <v>14.88</v>
      </c>
      <c r="K1670">
        <v>42.75</v>
      </c>
      <c r="L1670">
        <v>41.9</v>
      </c>
      <c r="M1670" s="175">
        <v>0.28000000000000003</v>
      </c>
      <c r="N1670" t="s">
        <v>1915</v>
      </c>
    </row>
    <row r="1671" spans="1:14">
      <c r="A1671">
        <v>6164</v>
      </c>
      <c r="B1671" t="s">
        <v>4085</v>
      </c>
      <c r="C1671">
        <v>12.4</v>
      </c>
      <c r="D1671">
        <v>12.25</v>
      </c>
      <c r="E1671" s="178">
        <v>-0.1</v>
      </c>
      <c r="F1671" s="176">
        <v>-0.81</v>
      </c>
      <c r="G1671" t="s">
        <v>5629</v>
      </c>
      <c r="H1671">
        <v>220</v>
      </c>
      <c r="I1671">
        <v>589</v>
      </c>
      <c r="J1671">
        <v>8</v>
      </c>
      <c r="K1671">
        <v>12.4</v>
      </c>
      <c r="L1671">
        <v>12.15</v>
      </c>
      <c r="M1671" s="175">
        <v>0.27</v>
      </c>
      <c r="N1671" t="s">
        <v>4086</v>
      </c>
    </row>
    <row r="1672" spans="1:14">
      <c r="A1672">
        <v>6165</v>
      </c>
      <c r="B1672" t="s">
        <v>1398</v>
      </c>
      <c r="C1672">
        <v>48.9</v>
      </c>
      <c r="D1672">
        <v>50.8</v>
      </c>
      <c r="E1672" s="178">
        <v>2.5</v>
      </c>
      <c r="F1672" s="176">
        <v>5.18</v>
      </c>
      <c r="G1672" t="s">
        <v>6657</v>
      </c>
      <c r="H1672">
        <v>1435</v>
      </c>
      <c r="I1672">
        <v>617</v>
      </c>
      <c r="J1672">
        <v>7.78</v>
      </c>
      <c r="K1672">
        <v>51.6</v>
      </c>
      <c r="L1672">
        <v>48.8</v>
      </c>
      <c r="M1672" s="175">
        <v>1.85</v>
      </c>
      <c r="N1672" t="s">
        <v>3276</v>
      </c>
    </row>
    <row r="1673" spans="1:14">
      <c r="A1673">
        <v>6166</v>
      </c>
      <c r="B1673" t="s">
        <v>1399</v>
      </c>
      <c r="C1673">
        <v>116.5</v>
      </c>
      <c r="D1673">
        <v>115.5</v>
      </c>
      <c r="E1673" s="178">
        <v>-1</v>
      </c>
      <c r="F1673" s="176">
        <v>-0.86</v>
      </c>
      <c r="G1673" t="s">
        <v>6658</v>
      </c>
      <c r="H1673">
        <v>1300</v>
      </c>
      <c r="I1673">
        <v>1053</v>
      </c>
      <c r="J1673">
        <v>21.79</v>
      </c>
      <c r="K1673">
        <v>116.5</v>
      </c>
      <c r="L1673">
        <v>113</v>
      </c>
      <c r="M1673" s="175">
        <v>0.6</v>
      </c>
      <c r="N1673" t="s">
        <v>4456</v>
      </c>
    </row>
    <row r="1674" spans="1:14">
      <c r="A1674">
        <v>6167</v>
      </c>
      <c r="B1674" t="s">
        <v>4689</v>
      </c>
      <c r="C1674">
        <v>10.6</v>
      </c>
      <c r="D1674">
        <v>10.5</v>
      </c>
      <c r="E1674" s="178">
        <v>-0.3</v>
      </c>
      <c r="F1674" s="176">
        <v>-2.78</v>
      </c>
      <c r="G1674" t="s">
        <v>5585</v>
      </c>
      <c r="H1674">
        <v>537</v>
      </c>
      <c r="I1674">
        <v>250</v>
      </c>
      <c r="J1674">
        <v>14.6</v>
      </c>
      <c r="K1674">
        <v>10.65</v>
      </c>
      <c r="L1674">
        <v>10.4</v>
      </c>
      <c r="M1674" s="175">
        <v>0.37</v>
      </c>
      <c r="N1674" t="s">
        <v>4690</v>
      </c>
    </row>
    <row r="1675" spans="1:14">
      <c r="A1675">
        <v>6168</v>
      </c>
      <c r="B1675" t="s">
        <v>1400</v>
      </c>
      <c r="C1675">
        <v>28.2</v>
      </c>
      <c r="D1675">
        <v>28.45</v>
      </c>
      <c r="E1675" s="178">
        <v>-0.4</v>
      </c>
      <c r="F1675" s="176">
        <v>-1.39</v>
      </c>
      <c r="G1675" t="s">
        <v>6659</v>
      </c>
      <c r="H1675">
        <v>2167</v>
      </c>
      <c r="I1675">
        <v>8387</v>
      </c>
      <c r="J1675">
        <v>20.58</v>
      </c>
      <c r="K1675">
        <v>28.95</v>
      </c>
      <c r="L1675">
        <v>28.05</v>
      </c>
      <c r="M1675" s="175">
        <v>1.05</v>
      </c>
      <c r="N1675" t="s">
        <v>1916</v>
      </c>
    </row>
    <row r="1676" spans="1:14">
      <c r="A1676">
        <v>6169</v>
      </c>
      <c r="B1676" t="s">
        <v>1401</v>
      </c>
      <c r="C1676">
        <v>12.4</v>
      </c>
      <c r="D1676">
        <v>12.4</v>
      </c>
      <c r="E1676" s="178">
        <v>-0.25</v>
      </c>
      <c r="F1676" s="176">
        <v>-1.98</v>
      </c>
      <c r="G1676" t="s">
        <v>5964</v>
      </c>
      <c r="H1676">
        <v>10</v>
      </c>
      <c r="I1676">
        <v>5</v>
      </c>
      <c r="J1676">
        <v>2.34</v>
      </c>
      <c r="K1676">
        <v>12.65</v>
      </c>
      <c r="L1676">
        <v>12.4</v>
      </c>
      <c r="M1676" s="175">
        <v>0.04</v>
      </c>
      <c r="N1676" t="s">
        <v>2243</v>
      </c>
    </row>
    <row r="1677" spans="1:14">
      <c r="A1677">
        <v>6170</v>
      </c>
      <c r="B1677" t="s">
        <v>1402</v>
      </c>
      <c r="C1677">
        <v>48.65</v>
      </c>
      <c r="D1677">
        <v>48.15</v>
      </c>
      <c r="E1677" s="178">
        <v>-0.55000000000000004</v>
      </c>
      <c r="F1677" s="176">
        <v>-1.1299999999999999</v>
      </c>
      <c r="G1677" t="s">
        <v>6660</v>
      </c>
      <c r="H1677">
        <v>80</v>
      </c>
      <c r="I1677">
        <v>170</v>
      </c>
      <c r="J1677">
        <v>9.73</v>
      </c>
      <c r="K1677">
        <v>48.65</v>
      </c>
      <c r="L1677">
        <v>48</v>
      </c>
      <c r="M1677" s="175">
        <v>0.08</v>
      </c>
      <c r="N1677" t="s">
        <v>3592</v>
      </c>
    </row>
    <row r="1678" spans="1:14">
      <c r="A1678">
        <v>6171</v>
      </c>
      <c r="B1678" t="s">
        <v>2015</v>
      </c>
      <c r="C1678">
        <v>26.8</v>
      </c>
      <c r="D1678">
        <v>26.45</v>
      </c>
      <c r="E1678" s="178">
        <v>0.05</v>
      </c>
      <c r="F1678" s="176">
        <v>0.19</v>
      </c>
      <c r="G1678" t="s">
        <v>5286</v>
      </c>
      <c r="H1678">
        <v>54</v>
      </c>
      <c r="I1678">
        <v>95</v>
      </c>
      <c r="J1678">
        <v>10</v>
      </c>
      <c r="K1678">
        <v>26.8</v>
      </c>
      <c r="L1678">
        <v>26.3</v>
      </c>
      <c r="M1678" s="175">
        <v>0.05</v>
      </c>
      <c r="N1678" t="s">
        <v>3277</v>
      </c>
    </row>
    <row r="1679" spans="1:14">
      <c r="A1679">
        <v>6173</v>
      </c>
      <c r="B1679" t="s">
        <v>1403</v>
      </c>
      <c r="C1679">
        <v>242.5</v>
      </c>
      <c r="D1679">
        <v>246</v>
      </c>
      <c r="E1679" s="178">
        <v>7</v>
      </c>
      <c r="F1679" s="176">
        <v>2.93</v>
      </c>
      <c r="G1679" t="s">
        <v>6661</v>
      </c>
      <c r="H1679">
        <v>28303</v>
      </c>
      <c r="I1679">
        <v>9955</v>
      </c>
      <c r="J1679">
        <v>17.12</v>
      </c>
      <c r="K1679">
        <v>259.5</v>
      </c>
      <c r="L1679">
        <v>235.5</v>
      </c>
      <c r="M1679" s="175">
        <v>16.53</v>
      </c>
      <c r="N1679" t="s">
        <v>4214</v>
      </c>
    </row>
    <row r="1680" spans="1:14">
      <c r="A1680">
        <v>6174</v>
      </c>
      <c r="B1680" t="s">
        <v>1404</v>
      </c>
      <c r="C1680">
        <v>45.15</v>
      </c>
      <c r="D1680">
        <v>45.25</v>
      </c>
      <c r="E1680" s="178">
        <v>-0.3</v>
      </c>
      <c r="F1680" s="176">
        <v>-0.66</v>
      </c>
      <c r="G1680" t="s">
        <v>6662</v>
      </c>
      <c r="H1680">
        <v>414</v>
      </c>
      <c r="I1680">
        <v>859</v>
      </c>
      <c r="J1680">
        <v>5</v>
      </c>
      <c r="K1680">
        <v>45.95</v>
      </c>
      <c r="L1680">
        <v>44.85</v>
      </c>
      <c r="M1680" s="175">
        <v>0.83</v>
      </c>
      <c r="N1680" t="s">
        <v>1917</v>
      </c>
    </row>
    <row r="1681" spans="1:14">
      <c r="A1681">
        <v>6175</v>
      </c>
      <c r="B1681" t="s">
        <v>1405</v>
      </c>
      <c r="C1681">
        <v>75.2</v>
      </c>
      <c r="D1681">
        <v>73.5</v>
      </c>
      <c r="E1681" s="178">
        <v>-3.3</v>
      </c>
      <c r="F1681" s="176">
        <v>-4.3</v>
      </c>
      <c r="G1681" t="s">
        <v>6663</v>
      </c>
      <c r="H1681">
        <v>1054</v>
      </c>
      <c r="I1681">
        <v>1164</v>
      </c>
      <c r="J1681">
        <v>15.01</v>
      </c>
      <c r="K1681">
        <v>77.2</v>
      </c>
      <c r="L1681">
        <v>72.400000000000006</v>
      </c>
      <c r="M1681" s="175">
        <v>0.7</v>
      </c>
      <c r="N1681" t="s">
        <v>4215</v>
      </c>
    </row>
    <row r="1682" spans="1:14">
      <c r="A1682">
        <v>6176</v>
      </c>
      <c r="B1682" t="s">
        <v>100</v>
      </c>
      <c r="C1682">
        <v>92.2</v>
      </c>
      <c r="D1682">
        <v>91.2</v>
      </c>
      <c r="E1682" s="178">
        <v>-1.9</v>
      </c>
      <c r="F1682" s="176">
        <v>-2.04</v>
      </c>
      <c r="G1682" t="s">
        <v>5337</v>
      </c>
      <c r="H1682">
        <v>2493</v>
      </c>
      <c r="I1682">
        <v>3458</v>
      </c>
      <c r="J1682">
        <v>34.880000000000003</v>
      </c>
      <c r="K1682">
        <v>93.1</v>
      </c>
      <c r="L1682">
        <v>91</v>
      </c>
      <c r="M1682" s="175">
        <v>0.71</v>
      </c>
      <c r="N1682" t="s">
        <v>1918</v>
      </c>
    </row>
    <row r="1683" spans="1:14">
      <c r="A1683">
        <v>6177</v>
      </c>
      <c r="B1683" t="s">
        <v>1406</v>
      </c>
      <c r="C1683">
        <v>47.45</v>
      </c>
      <c r="D1683">
        <v>47.1</v>
      </c>
      <c r="E1683" s="178">
        <v>-0.45</v>
      </c>
      <c r="F1683" s="176">
        <v>-0.95</v>
      </c>
      <c r="G1683" t="s">
        <v>6664</v>
      </c>
      <c r="H1683">
        <v>593</v>
      </c>
      <c r="I1683">
        <v>1329</v>
      </c>
      <c r="J1683">
        <v>47.19</v>
      </c>
      <c r="K1683">
        <v>47.65</v>
      </c>
      <c r="L1683">
        <v>47</v>
      </c>
      <c r="M1683" s="175">
        <v>0.13</v>
      </c>
      <c r="N1683" t="s">
        <v>1919</v>
      </c>
    </row>
    <row r="1684" spans="1:14">
      <c r="A1684">
        <v>6179</v>
      </c>
      <c r="B1684" t="s">
        <v>1407</v>
      </c>
      <c r="C1684">
        <v>30.4</v>
      </c>
      <c r="D1684">
        <v>30.5</v>
      </c>
      <c r="E1684" s="178">
        <v>0.1</v>
      </c>
      <c r="F1684" s="176">
        <v>0.33</v>
      </c>
      <c r="G1684" t="s">
        <v>6138</v>
      </c>
      <c r="H1684">
        <v>11064</v>
      </c>
      <c r="I1684">
        <v>3719</v>
      </c>
      <c r="J1684">
        <v>17.73</v>
      </c>
      <c r="K1684">
        <v>32.950000000000003</v>
      </c>
      <c r="L1684">
        <v>29.65</v>
      </c>
      <c r="M1684" s="175">
        <v>6.24</v>
      </c>
      <c r="N1684" t="s">
        <v>2235</v>
      </c>
    </row>
    <row r="1685" spans="1:14">
      <c r="A1685">
        <v>6180</v>
      </c>
      <c r="B1685" t="s">
        <v>86</v>
      </c>
      <c r="C1685">
        <v>42.35</v>
      </c>
      <c r="D1685">
        <v>41.2</v>
      </c>
      <c r="E1685" s="178">
        <v>-1.1000000000000001</v>
      </c>
      <c r="F1685" s="176">
        <v>-2.6</v>
      </c>
      <c r="G1685" t="s">
        <v>5551</v>
      </c>
      <c r="H1685">
        <v>435</v>
      </c>
      <c r="I1685">
        <v>365</v>
      </c>
      <c r="J1685">
        <v>17.55</v>
      </c>
      <c r="K1685">
        <v>42.5</v>
      </c>
      <c r="L1685">
        <v>41.2</v>
      </c>
      <c r="M1685" s="175">
        <v>0.25</v>
      </c>
      <c r="N1685" t="s">
        <v>3096</v>
      </c>
    </row>
    <row r="1686" spans="1:14">
      <c r="A1686">
        <v>6182</v>
      </c>
      <c r="B1686" t="s">
        <v>1408</v>
      </c>
      <c r="C1686">
        <v>108</v>
      </c>
      <c r="D1686">
        <v>105.5</v>
      </c>
      <c r="E1686" s="178">
        <v>-4.5</v>
      </c>
      <c r="F1686" s="176">
        <v>-4.09</v>
      </c>
      <c r="G1686" t="s">
        <v>6665</v>
      </c>
      <c r="H1686">
        <v>28513</v>
      </c>
      <c r="I1686">
        <v>63435</v>
      </c>
      <c r="J1686">
        <v>63.54</v>
      </c>
      <c r="K1686">
        <v>108.5</v>
      </c>
      <c r="L1686">
        <v>104</v>
      </c>
      <c r="M1686" s="175">
        <v>4.5599999999999996</v>
      </c>
      <c r="N1686" t="s">
        <v>1920</v>
      </c>
    </row>
    <row r="1687" spans="1:14">
      <c r="A1687">
        <v>6183</v>
      </c>
      <c r="B1687" t="s">
        <v>1409</v>
      </c>
      <c r="C1687">
        <v>91</v>
      </c>
      <c r="D1687">
        <v>91</v>
      </c>
      <c r="E1687" s="178">
        <v>0</v>
      </c>
      <c r="F1687" s="176">
        <v>0</v>
      </c>
      <c r="G1687" t="s">
        <v>6666</v>
      </c>
      <c r="H1687">
        <v>44</v>
      </c>
      <c r="I1687">
        <v>46</v>
      </c>
      <c r="J1687">
        <v>15</v>
      </c>
      <c r="K1687">
        <v>92</v>
      </c>
      <c r="L1687">
        <v>90.9</v>
      </c>
      <c r="M1687" s="175">
        <v>0.03</v>
      </c>
      <c r="N1687" t="s">
        <v>1921</v>
      </c>
    </row>
    <row r="1688" spans="1:14">
      <c r="A1688">
        <v>6184</v>
      </c>
      <c r="B1688" t="s">
        <v>1410</v>
      </c>
      <c r="C1688">
        <v>41.25</v>
      </c>
      <c r="D1688">
        <v>40.950000000000003</v>
      </c>
      <c r="E1688" s="178">
        <v>-0.2</v>
      </c>
      <c r="F1688" s="176">
        <v>-0.49</v>
      </c>
      <c r="G1688" t="s">
        <v>5556</v>
      </c>
      <c r="H1688">
        <v>86</v>
      </c>
      <c r="I1688">
        <v>87</v>
      </c>
      <c r="J1688">
        <v>16.21</v>
      </c>
      <c r="K1688">
        <v>41.25</v>
      </c>
      <c r="L1688">
        <v>40.85</v>
      </c>
      <c r="M1688" s="175">
        <v>0.05</v>
      </c>
      <c r="N1688" t="s">
        <v>2251</v>
      </c>
    </row>
    <row r="1689" spans="1:14">
      <c r="A1689">
        <v>6185</v>
      </c>
      <c r="B1689" t="s">
        <v>1411</v>
      </c>
      <c r="C1689">
        <v>12.7</v>
      </c>
      <c r="D1689">
        <v>12.95</v>
      </c>
      <c r="E1689" s="178">
        <v>0.3</v>
      </c>
      <c r="F1689" s="176">
        <v>2.37</v>
      </c>
      <c r="G1689" t="s">
        <v>5553</v>
      </c>
      <c r="H1689">
        <v>326</v>
      </c>
      <c r="I1689">
        <v>415</v>
      </c>
      <c r="J1689">
        <v>14.99</v>
      </c>
      <c r="K1689">
        <v>12.95</v>
      </c>
      <c r="L1689">
        <v>12.7</v>
      </c>
      <c r="M1689" s="175">
        <v>0.22</v>
      </c>
      <c r="N1689" t="s">
        <v>2217</v>
      </c>
    </row>
    <row r="1690" spans="1:14">
      <c r="A1690">
        <v>6186</v>
      </c>
      <c r="B1690" t="s">
        <v>1412</v>
      </c>
      <c r="C1690">
        <v>32.5</v>
      </c>
      <c r="D1690">
        <v>32</v>
      </c>
      <c r="E1690" s="178">
        <v>-0.5</v>
      </c>
      <c r="F1690" s="176">
        <v>-1.54</v>
      </c>
      <c r="G1690" t="s">
        <v>6667</v>
      </c>
      <c r="H1690">
        <v>803</v>
      </c>
      <c r="I1690">
        <v>544</v>
      </c>
      <c r="J1690">
        <v>22.69</v>
      </c>
      <c r="K1690">
        <v>32.5</v>
      </c>
      <c r="L1690">
        <v>32</v>
      </c>
      <c r="M1690" s="175">
        <v>0.35</v>
      </c>
      <c r="N1690" t="s">
        <v>1922</v>
      </c>
    </row>
    <row r="1691" spans="1:14">
      <c r="A1691">
        <v>6187</v>
      </c>
      <c r="B1691" t="s">
        <v>1413</v>
      </c>
      <c r="C1691">
        <v>1335</v>
      </c>
      <c r="D1691">
        <v>1345</v>
      </c>
      <c r="E1691" s="178">
        <v>-20</v>
      </c>
      <c r="F1691" s="176">
        <v>-1.47</v>
      </c>
      <c r="G1691" t="s">
        <v>6668</v>
      </c>
      <c r="H1691">
        <v>2699</v>
      </c>
      <c r="I1691">
        <v>3573</v>
      </c>
      <c r="J1691">
        <v>9.83</v>
      </c>
      <c r="K1691">
        <v>1380</v>
      </c>
      <c r="L1691">
        <v>1280</v>
      </c>
      <c r="M1691" s="175">
        <v>2.75</v>
      </c>
      <c r="N1691" t="s">
        <v>2218</v>
      </c>
    </row>
    <row r="1692" spans="1:14">
      <c r="A1692">
        <v>6188</v>
      </c>
      <c r="B1692" t="s">
        <v>1414</v>
      </c>
      <c r="C1692">
        <v>68.5</v>
      </c>
      <c r="D1692">
        <v>67.2</v>
      </c>
      <c r="E1692" s="178">
        <v>-1.6</v>
      </c>
      <c r="F1692" s="176">
        <v>-2.33</v>
      </c>
      <c r="G1692" t="s">
        <v>6669</v>
      </c>
      <c r="H1692">
        <v>774</v>
      </c>
      <c r="I1692">
        <v>554</v>
      </c>
      <c r="J1692">
        <v>27.84</v>
      </c>
      <c r="K1692">
        <v>68.5</v>
      </c>
      <c r="L1692">
        <v>67.2</v>
      </c>
      <c r="M1692" s="175">
        <v>0.28000000000000003</v>
      </c>
      <c r="N1692" t="s">
        <v>2219</v>
      </c>
    </row>
    <row r="1693" spans="1:14">
      <c r="A1693">
        <v>6189</v>
      </c>
      <c r="B1693" t="s">
        <v>1415</v>
      </c>
      <c r="C1693">
        <v>48.45</v>
      </c>
      <c r="D1693">
        <v>48.1</v>
      </c>
      <c r="E1693" s="178">
        <v>-0.05</v>
      </c>
      <c r="F1693" s="176">
        <v>-0.1</v>
      </c>
      <c r="G1693" t="s">
        <v>5497</v>
      </c>
      <c r="H1693">
        <v>293</v>
      </c>
      <c r="I1693">
        <v>354</v>
      </c>
      <c r="J1693">
        <v>26.48</v>
      </c>
      <c r="K1693">
        <v>48.45</v>
      </c>
      <c r="L1693">
        <v>47.7</v>
      </c>
      <c r="M1693" s="175">
        <v>0.11</v>
      </c>
      <c r="N1693" t="s">
        <v>2220</v>
      </c>
    </row>
    <row r="1694" spans="1:14">
      <c r="A1694">
        <v>6190</v>
      </c>
      <c r="B1694" t="s">
        <v>1416</v>
      </c>
      <c r="C1694">
        <v>69.8</v>
      </c>
      <c r="D1694">
        <v>70.599999999999994</v>
      </c>
      <c r="E1694" s="178">
        <v>0</v>
      </c>
      <c r="F1694" s="176">
        <v>0</v>
      </c>
      <c r="G1694" t="s">
        <v>5186</v>
      </c>
      <c r="H1694">
        <v>1704</v>
      </c>
      <c r="I1694">
        <v>2097</v>
      </c>
      <c r="J1694">
        <v>19.579999999999998</v>
      </c>
      <c r="K1694">
        <v>71.2</v>
      </c>
      <c r="L1694">
        <v>69.599999999999994</v>
      </c>
      <c r="M1694" s="175">
        <v>0.87</v>
      </c>
      <c r="N1694" t="s">
        <v>3278</v>
      </c>
    </row>
    <row r="1695" spans="1:14">
      <c r="A1695">
        <v>6191</v>
      </c>
      <c r="B1695" t="s">
        <v>1417</v>
      </c>
      <c r="C1695">
        <v>84</v>
      </c>
      <c r="D1695">
        <v>83.7</v>
      </c>
      <c r="E1695" s="178">
        <v>-1</v>
      </c>
      <c r="F1695" s="176">
        <v>-1.18</v>
      </c>
      <c r="G1695" t="s">
        <v>5193</v>
      </c>
      <c r="H1695">
        <v>1522</v>
      </c>
      <c r="I1695">
        <v>1533</v>
      </c>
      <c r="J1695">
        <v>49.93</v>
      </c>
      <c r="K1695">
        <v>84.9</v>
      </c>
      <c r="L1695">
        <v>83</v>
      </c>
      <c r="M1695" s="175">
        <v>0.3</v>
      </c>
      <c r="N1695" t="s">
        <v>3722</v>
      </c>
    </row>
    <row r="1696" spans="1:14">
      <c r="A1696">
        <v>6192</v>
      </c>
      <c r="B1696" t="s">
        <v>2221</v>
      </c>
      <c r="C1696">
        <v>117.5</v>
      </c>
      <c r="D1696">
        <v>116.5</v>
      </c>
      <c r="E1696" s="178">
        <v>-1</v>
      </c>
      <c r="F1696" s="176">
        <v>-0.85</v>
      </c>
      <c r="G1696" t="s">
        <v>5527</v>
      </c>
      <c r="H1696">
        <v>240</v>
      </c>
      <c r="I1696">
        <v>101</v>
      </c>
      <c r="J1696">
        <v>9.6199999999999992</v>
      </c>
      <c r="K1696">
        <v>117.5</v>
      </c>
      <c r="L1696">
        <v>116</v>
      </c>
      <c r="M1696" s="175">
        <v>0.25</v>
      </c>
      <c r="N1696" t="s">
        <v>3279</v>
      </c>
    </row>
    <row r="1697" spans="1:14">
      <c r="A1697">
        <v>6194</v>
      </c>
      <c r="B1697" t="s">
        <v>1418</v>
      </c>
      <c r="C1697">
        <v>29.75</v>
      </c>
      <c r="D1697">
        <v>29.8</v>
      </c>
      <c r="E1697" s="178">
        <v>0.05</v>
      </c>
      <c r="F1697" s="176">
        <v>0.17</v>
      </c>
      <c r="G1697" t="s">
        <v>6670</v>
      </c>
      <c r="H1697">
        <v>31</v>
      </c>
      <c r="I1697">
        <v>28</v>
      </c>
      <c r="J1697">
        <v>4.8</v>
      </c>
      <c r="K1697">
        <v>29.8</v>
      </c>
      <c r="L1697">
        <v>29.7</v>
      </c>
      <c r="M1697" s="175">
        <v>0.06</v>
      </c>
      <c r="N1697" t="s">
        <v>1923</v>
      </c>
    </row>
    <row r="1698" spans="1:14">
      <c r="A1698">
        <v>6195</v>
      </c>
      <c r="B1698" t="s">
        <v>1419</v>
      </c>
      <c r="C1698">
        <v>27.8</v>
      </c>
      <c r="D1698">
        <v>28.3</v>
      </c>
      <c r="E1698" s="178">
        <v>0.4</v>
      </c>
      <c r="F1698" s="176">
        <v>1.43</v>
      </c>
      <c r="G1698" t="s">
        <v>6288</v>
      </c>
      <c r="H1698">
        <v>8</v>
      </c>
      <c r="I1698">
        <v>11</v>
      </c>
      <c r="J1698">
        <v>5.0199999999999996</v>
      </c>
      <c r="K1698">
        <v>28.3</v>
      </c>
      <c r="L1698">
        <v>27.8</v>
      </c>
      <c r="M1698" s="175">
        <v>0.02</v>
      </c>
      <c r="N1698" t="s">
        <v>2236</v>
      </c>
    </row>
    <row r="1699" spans="1:14">
      <c r="A1699">
        <v>6196</v>
      </c>
      <c r="B1699" t="s">
        <v>1924</v>
      </c>
      <c r="C1699">
        <v>492.5</v>
      </c>
      <c r="D1699">
        <v>485</v>
      </c>
      <c r="E1699" s="178">
        <v>-7.5</v>
      </c>
      <c r="F1699" s="176">
        <v>-1.52</v>
      </c>
      <c r="G1699" t="s">
        <v>6671</v>
      </c>
      <c r="H1699">
        <v>698</v>
      </c>
      <c r="I1699">
        <v>975</v>
      </c>
      <c r="J1699">
        <v>22.03</v>
      </c>
      <c r="K1699">
        <v>492.5</v>
      </c>
      <c r="L1699">
        <v>476.5</v>
      </c>
      <c r="M1699" s="175">
        <v>0.32</v>
      </c>
      <c r="N1699" t="s">
        <v>2048</v>
      </c>
    </row>
    <row r="1700" spans="1:14">
      <c r="A1700">
        <v>6197</v>
      </c>
      <c r="B1700" t="s">
        <v>1420</v>
      </c>
      <c r="C1700">
        <v>305</v>
      </c>
      <c r="D1700">
        <v>302.5</v>
      </c>
      <c r="E1700" s="178">
        <v>-7</v>
      </c>
      <c r="F1700" s="176">
        <v>-2.2599999999999998</v>
      </c>
      <c r="G1700" t="s">
        <v>6672</v>
      </c>
      <c r="H1700">
        <v>990</v>
      </c>
      <c r="I1700">
        <v>1102</v>
      </c>
      <c r="J1700">
        <v>12.58</v>
      </c>
      <c r="K1700">
        <v>308.5</v>
      </c>
      <c r="L1700">
        <v>300</v>
      </c>
      <c r="M1700" s="175">
        <v>0.81</v>
      </c>
      <c r="N1700" t="s">
        <v>2222</v>
      </c>
    </row>
    <row r="1701" spans="1:14">
      <c r="A1701">
        <v>6198</v>
      </c>
      <c r="B1701" t="s">
        <v>2223</v>
      </c>
      <c r="C1701" t="s">
        <v>1667</v>
      </c>
      <c r="D1701" t="s">
        <v>1667</v>
      </c>
      <c r="E1701" s="178" t="s">
        <v>1667</v>
      </c>
      <c r="F1701" s="176" t="s">
        <v>1667</v>
      </c>
      <c r="G1701" t="s">
        <v>1667</v>
      </c>
      <c r="H1701">
        <v>0</v>
      </c>
      <c r="I1701">
        <v>14</v>
      </c>
      <c r="J1701">
        <v>17.14</v>
      </c>
      <c r="K1701" t="s">
        <v>1667</v>
      </c>
      <c r="L1701" t="s">
        <v>1667</v>
      </c>
      <c r="M1701" s="175">
        <v>0</v>
      </c>
      <c r="N1701" t="s">
        <v>3280</v>
      </c>
    </row>
    <row r="1702" spans="1:14">
      <c r="A1702">
        <v>6199</v>
      </c>
      <c r="B1702" t="s">
        <v>1421</v>
      </c>
      <c r="C1702">
        <v>93.3</v>
      </c>
      <c r="D1702">
        <v>92.8</v>
      </c>
      <c r="E1702" s="178">
        <v>-0.5</v>
      </c>
      <c r="F1702" s="176">
        <v>-0.54</v>
      </c>
      <c r="G1702" t="s">
        <v>6673</v>
      </c>
      <c r="H1702">
        <v>412</v>
      </c>
      <c r="I1702">
        <v>773</v>
      </c>
      <c r="J1702">
        <v>6.18</v>
      </c>
      <c r="K1702">
        <v>93.3</v>
      </c>
      <c r="L1702">
        <v>91.8</v>
      </c>
      <c r="M1702" s="175">
        <v>0.67</v>
      </c>
      <c r="N1702" t="s">
        <v>1925</v>
      </c>
    </row>
    <row r="1703" spans="1:14">
      <c r="A1703">
        <v>6201</v>
      </c>
      <c r="B1703" t="s">
        <v>1422</v>
      </c>
      <c r="C1703">
        <v>44.55</v>
      </c>
      <c r="D1703">
        <v>44.55</v>
      </c>
      <c r="E1703" s="178">
        <v>-0.05</v>
      </c>
      <c r="F1703" s="176">
        <v>-0.11</v>
      </c>
      <c r="G1703" t="s">
        <v>5241</v>
      </c>
      <c r="H1703">
        <v>47</v>
      </c>
      <c r="I1703">
        <v>15</v>
      </c>
      <c r="J1703">
        <v>8.92</v>
      </c>
      <c r="K1703">
        <v>45.2</v>
      </c>
      <c r="L1703">
        <v>44.5</v>
      </c>
      <c r="M1703" s="175">
        <v>0.05</v>
      </c>
      <c r="N1703" t="s">
        <v>3723</v>
      </c>
    </row>
    <row r="1704" spans="1:14">
      <c r="A1704">
        <v>6202</v>
      </c>
      <c r="B1704" t="s">
        <v>1423</v>
      </c>
      <c r="C1704">
        <v>58.5</v>
      </c>
      <c r="D1704">
        <v>57.9</v>
      </c>
      <c r="E1704" s="178">
        <v>-1.5</v>
      </c>
      <c r="F1704" s="176">
        <v>-2.5299999999999998</v>
      </c>
      <c r="G1704" t="s">
        <v>5675</v>
      </c>
      <c r="H1704">
        <v>945</v>
      </c>
      <c r="I1704">
        <v>1102</v>
      </c>
      <c r="J1704">
        <v>23.04</v>
      </c>
      <c r="K1704">
        <v>58.8</v>
      </c>
      <c r="L1704">
        <v>57.4</v>
      </c>
      <c r="M1704" s="175">
        <v>0.42</v>
      </c>
      <c r="N1704" t="s">
        <v>3902</v>
      </c>
    </row>
    <row r="1705" spans="1:14">
      <c r="A1705">
        <v>6203</v>
      </c>
      <c r="B1705" t="s">
        <v>1424</v>
      </c>
      <c r="C1705">
        <v>59.6</v>
      </c>
      <c r="D1705">
        <v>59.8</v>
      </c>
      <c r="E1705" s="178">
        <v>0.2</v>
      </c>
      <c r="F1705" s="176">
        <v>0.34</v>
      </c>
      <c r="G1705" t="s">
        <v>5851</v>
      </c>
      <c r="H1705">
        <v>60</v>
      </c>
      <c r="I1705">
        <v>61</v>
      </c>
      <c r="J1705">
        <v>8.24</v>
      </c>
      <c r="K1705">
        <v>59.8</v>
      </c>
      <c r="L1705">
        <v>59.5</v>
      </c>
      <c r="M1705" s="175">
        <v>7.0000000000000007E-2</v>
      </c>
      <c r="N1705" t="s">
        <v>3724</v>
      </c>
    </row>
    <row r="1706" spans="1:14">
      <c r="A1706">
        <v>6204</v>
      </c>
      <c r="B1706" t="s">
        <v>266</v>
      </c>
      <c r="C1706">
        <v>88.4</v>
      </c>
      <c r="D1706">
        <v>84</v>
      </c>
      <c r="E1706" s="178">
        <v>-4.4000000000000004</v>
      </c>
      <c r="F1706" s="176">
        <v>-4.9800000000000004</v>
      </c>
      <c r="G1706" t="s">
        <v>6674</v>
      </c>
      <c r="H1706">
        <v>224</v>
      </c>
      <c r="I1706">
        <v>351</v>
      </c>
      <c r="J1706">
        <v>2.31</v>
      </c>
      <c r="K1706">
        <v>88.4</v>
      </c>
      <c r="L1706">
        <v>84</v>
      </c>
      <c r="M1706" s="175">
        <v>0.97</v>
      </c>
      <c r="N1706" t="s">
        <v>3914</v>
      </c>
    </row>
    <row r="1707" spans="1:14">
      <c r="A1707">
        <v>6205</v>
      </c>
      <c r="B1707" t="s">
        <v>1425</v>
      </c>
      <c r="C1707">
        <v>66.2</v>
      </c>
      <c r="D1707">
        <v>71.099999999999994</v>
      </c>
      <c r="E1707" s="178">
        <v>5.3</v>
      </c>
      <c r="F1707" s="176">
        <v>8.0500000000000007</v>
      </c>
      <c r="G1707" t="s">
        <v>5203</v>
      </c>
      <c r="H1707">
        <v>1749</v>
      </c>
      <c r="I1707">
        <v>822</v>
      </c>
      <c r="J1707">
        <v>8.2200000000000006</v>
      </c>
      <c r="K1707">
        <v>71.099999999999994</v>
      </c>
      <c r="L1707">
        <v>65.900000000000006</v>
      </c>
      <c r="M1707" s="175">
        <v>2.13</v>
      </c>
      <c r="N1707" t="s">
        <v>3725</v>
      </c>
    </row>
    <row r="1708" spans="1:14">
      <c r="A1708">
        <v>6206</v>
      </c>
      <c r="B1708" t="s">
        <v>1426</v>
      </c>
      <c r="C1708">
        <v>136.5</v>
      </c>
      <c r="D1708">
        <v>138</v>
      </c>
      <c r="E1708" s="178">
        <v>-0.5</v>
      </c>
      <c r="F1708" s="176">
        <v>-0.36</v>
      </c>
      <c r="G1708" t="s">
        <v>6675</v>
      </c>
      <c r="H1708">
        <v>662</v>
      </c>
      <c r="I1708">
        <v>1427</v>
      </c>
      <c r="J1708">
        <v>14.31</v>
      </c>
      <c r="K1708">
        <v>139</v>
      </c>
      <c r="L1708">
        <v>136</v>
      </c>
      <c r="M1708" s="175">
        <v>0.46</v>
      </c>
      <c r="N1708" t="s">
        <v>3281</v>
      </c>
    </row>
    <row r="1709" spans="1:14">
      <c r="A1709">
        <v>6207</v>
      </c>
      <c r="B1709" t="s">
        <v>1427</v>
      </c>
      <c r="C1709">
        <v>108.5</v>
      </c>
      <c r="D1709">
        <v>105.5</v>
      </c>
      <c r="E1709" s="178">
        <v>-5.5</v>
      </c>
      <c r="F1709" s="176">
        <v>-4.95</v>
      </c>
      <c r="G1709" t="s">
        <v>5579</v>
      </c>
      <c r="H1709">
        <v>2520</v>
      </c>
      <c r="I1709">
        <v>3957</v>
      </c>
      <c r="J1709">
        <v>9.31</v>
      </c>
      <c r="K1709">
        <v>111.5</v>
      </c>
      <c r="L1709">
        <v>104</v>
      </c>
      <c r="M1709" s="175">
        <v>2.72</v>
      </c>
      <c r="N1709" t="s">
        <v>3155</v>
      </c>
    </row>
    <row r="1710" spans="1:14">
      <c r="A1710">
        <v>6208</v>
      </c>
      <c r="B1710" t="s">
        <v>4059</v>
      </c>
      <c r="C1710">
        <v>82.2</v>
      </c>
      <c r="D1710">
        <v>81.7</v>
      </c>
      <c r="E1710" s="178">
        <v>-1</v>
      </c>
      <c r="F1710" s="176">
        <v>-1.21</v>
      </c>
      <c r="G1710" t="s">
        <v>6676</v>
      </c>
      <c r="H1710">
        <v>156</v>
      </c>
      <c r="I1710">
        <v>176</v>
      </c>
      <c r="J1710">
        <v>9.4499999999999993</v>
      </c>
      <c r="K1710">
        <v>82.3</v>
      </c>
      <c r="L1710">
        <v>81</v>
      </c>
      <c r="M1710" s="175">
        <v>0.17</v>
      </c>
      <c r="N1710" t="s">
        <v>4060</v>
      </c>
    </row>
    <row r="1711" spans="1:14">
      <c r="A1711">
        <v>6209</v>
      </c>
      <c r="B1711" t="s">
        <v>1428</v>
      </c>
      <c r="C1711">
        <v>75.8</v>
      </c>
      <c r="D1711">
        <v>79.5</v>
      </c>
      <c r="E1711" s="178">
        <v>2.8</v>
      </c>
      <c r="F1711" s="176">
        <v>3.65</v>
      </c>
      <c r="G1711" t="s">
        <v>6275</v>
      </c>
      <c r="H1711">
        <v>20589</v>
      </c>
      <c r="I1711">
        <v>11685</v>
      </c>
      <c r="J1711">
        <v>18.2</v>
      </c>
      <c r="K1711">
        <v>82.2</v>
      </c>
      <c r="L1711">
        <v>75.8</v>
      </c>
      <c r="M1711" s="175">
        <v>11.41</v>
      </c>
      <c r="N1711" t="s">
        <v>1926</v>
      </c>
    </row>
    <row r="1712" spans="1:14">
      <c r="A1712">
        <v>6210</v>
      </c>
      <c r="B1712" t="s">
        <v>1429</v>
      </c>
      <c r="C1712">
        <v>18</v>
      </c>
      <c r="D1712">
        <v>18</v>
      </c>
      <c r="E1712" s="178">
        <v>-0.05</v>
      </c>
      <c r="F1712" s="176">
        <v>-0.28000000000000003</v>
      </c>
      <c r="G1712" t="s">
        <v>5817</v>
      </c>
      <c r="H1712">
        <v>13</v>
      </c>
      <c r="I1712">
        <v>7</v>
      </c>
      <c r="J1712">
        <v>3.5</v>
      </c>
      <c r="K1712">
        <v>18.05</v>
      </c>
      <c r="L1712">
        <v>17.5</v>
      </c>
      <c r="M1712" s="175">
        <v>0.04</v>
      </c>
      <c r="N1712" t="s">
        <v>3282</v>
      </c>
    </row>
    <row r="1713" spans="1:14">
      <c r="A1713">
        <v>6212</v>
      </c>
      <c r="B1713" t="s">
        <v>1430</v>
      </c>
      <c r="C1713">
        <v>30.95</v>
      </c>
      <c r="D1713">
        <v>30.95</v>
      </c>
      <c r="E1713" s="178">
        <v>0.2</v>
      </c>
      <c r="F1713" s="176">
        <v>0.65</v>
      </c>
      <c r="G1713" t="s">
        <v>6677</v>
      </c>
      <c r="H1713">
        <v>1</v>
      </c>
      <c r="I1713">
        <v>1</v>
      </c>
      <c r="J1713">
        <v>10.199999999999999</v>
      </c>
      <c r="K1713">
        <v>30.95</v>
      </c>
      <c r="L1713">
        <v>30.95</v>
      </c>
      <c r="M1713" s="175">
        <v>0</v>
      </c>
      <c r="N1713" t="s">
        <v>3630</v>
      </c>
    </row>
    <row r="1714" spans="1:14">
      <c r="A1714">
        <v>6213</v>
      </c>
      <c r="B1714" t="s">
        <v>1431</v>
      </c>
      <c r="C1714">
        <v>563</v>
      </c>
      <c r="D1714">
        <v>548</v>
      </c>
      <c r="E1714" s="178">
        <v>-34</v>
      </c>
      <c r="F1714" s="176">
        <v>-5.84</v>
      </c>
      <c r="G1714" t="s">
        <v>6678</v>
      </c>
      <c r="H1714">
        <v>17213</v>
      </c>
      <c r="I1714">
        <v>27050</v>
      </c>
      <c r="J1714">
        <v>36.36</v>
      </c>
      <c r="K1714">
        <v>591</v>
      </c>
      <c r="L1714">
        <v>534</v>
      </c>
      <c r="M1714" s="175">
        <v>4.7300000000000004</v>
      </c>
      <c r="N1714" t="s">
        <v>3593</v>
      </c>
    </row>
    <row r="1715" spans="1:14">
      <c r="A1715">
        <v>6214</v>
      </c>
      <c r="B1715" t="s">
        <v>1432</v>
      </c>
      <c r="C1715">
        <v>181</v>
      </c>
      <c r="D1715">
        <v>183.5</v>
      </c>
      <c r="E1715" s="178">
        <v>2.5</v>
      </c>
      <c r="F1715" s="176">
        <v>1.38</v>
      </c>
      <c r="G1715" t="s">
        <v>5798</v>
      </c>
      <c r="H1715">
        <v>1782</v>
      </c>
      <c r="I1715">
        <v>1858</v>
      </c>
      <c r="J1715">
        <v>27.22</v>
      </c>
      <c r="K1715">
        <v>184</v>
      </c>
      <c r="L1715">
        <v>180.5</v>
      </c>
      <c r="M1715" s="175">
        <v>0.65</v>
      </c>
      <c r="N1715" t="s">
        <v>3537</v>
      </c>
    </row>
    <row r="1716" spans="1:14">
      <c r="A1716">
        <v>6215</v>
      </c>
      <c r="B1716" t="s">
        <v>1433</v>
      </c>
      <c r="C1716">
        <v>96.7</v>
      </c>
      <c r="D1716">
        <v>98</v>
      </c>
      <c r="E1716" s="178">
        <v>-0.4</v>
      </c>
      <c r="F1716" s="176">
        <v>-0.41</v>
      </c>
      <c r="G1716" t="s">
        <v>6679</v>
      </c>
      <c r="H1716">
        <v>374</v>
      </c>
      <c r="I1716">
        <v>586</v>
      </c>
      <c r="J1716">
        <v>8.2799999999999994</v>
      </c>
      <c r="K1716">
        <v>99.3</v>
      </c>
      <c r="L1716">
        <v>96.7</v>
      </c>
      <c r="M1716" s="175">
        <v>0.45</v>
      </c>
      <c r="N1716" t="s">
        <v>3538</v>
      </c>
    </row>
    <row r="1717" spans="1:14">
      <c r="A1717">
        <v>6216</v>
      </c>
      <c r="B1717" t="s">
        <v>1434</v>
      </c>
      <c r="C1717">
        <v>20.75</v>
      </c>
      <c r="D1717">
        <v>20.65</v>
      </c>
      <c r="E1717" s="178">
        <v>-0.25</v>
      </c>
      <c r="F1717" s="176">
        <v>-1.2</v>
      </c>
      <c r="G1717" t="s">
        <v>5854</v>
      </c>
      <c r="H1717">
        <v>185</v>
      </c>
      <c r="I1717">
        <v>192</v>
      </c>
      <c r="J1717">
        <v>9.74</v>
      </c>
      <c r="K1717">
        <v>20.85</v>
      </c>
      <c r="L1717">
        <v>20.6</v>
      </c>
      <c r="M1717" s="175">
        <v>0.19</v>
      </c>
      <c r="N1717" t="s">
        <v>3539</v>
      </c>
    </row>
    <row r="1718" spans="1:14">
      <c r="A1718">
        <v>6217</v>
      </c>
      <c r="B1718" t="s">
        <v>1435</v>
      </c>
      <c r="C1718">
        <v>172</v>
      </c>
      <c r="D1718">
        <v>172.5</v>
      </c>
      <c r="E1718" s="178">
        <v>-2.5</v>
      </c>
      <c r="F1718" s="176">
        <v>-1.43</v>
      </c>
      <c r="G1718" t="s">
        <v>6680</v>
      </c>
      <c r="H1718">
        <v>3238</v>
      </c>
      <c r="I1718">
        <v>4193</v>
      </c>
      <c r="J1718">
        <v>11.72</v>
      </c>
      <c r="K1718">
        <v>176</v>
      </c>
      <c r="L1718">
        <v>163.5</v>
      </c>
      <c r="M1718" s="175">
        <v>2.76</v>
      </c>
      <c r="N1718" t="s">
        <v>1927</v>
      </c>
    </row>
    <row r="1719" spans="1:14">
      <c r="A1719">
        <v>6218</v>
      </c>
      <c r="B1719" t="s">
        <v>1436</v>
      </c>
      <c r="C1719">
        <v>41.1</v>
      </c>
      <c r="D1719">
        <v>40.5</v>
      </c>
      <c r="E1719" s="178">
        <v>-0.2</v>
      </c>
      <c r="F1719" s="176">
        <v>-0.49</v>
      </c>
      <c r="G1719" t="s">
        <v>6681</v>
      </c>
      <c r="H1719">
        <v>1396</v>
      </c>
      <c r="I1719">
        <v>1893</v>
      </c>
      <c r="J1719">
        <v>6.43</v>
      </c>
      <c r="K1719">
        <v>42.8</v>
      </c>
      <c r="L1719">
        <v>39.85</v>
      </c>
      <c r="M1719" s="175">
        <v>2.17</v>
      </c>
      <c r="N1719" t="s">
        <v>3594</v>
      </c>
    </row>
    <row r="1720" spans="1:14">
      <c r="A1720">
        <v>6219</v>
      </c>
      <c r="B1720" t="s">
        <v>1437</v>
      </c>
      <c r="C1720">
        <v>12.1</v>
      </c>
      <c r="D1720">
        <v>12.1</v>
      </c>
      <c r="E1720" s="178">
        <v>0</v>
      </c>
      <c r="F1720" s="176">
        <v>0</v>
      </c>
      <c r="G1720" t="s">
        <v>5669</v>
      </c>
      <c r="H1720">
        <v>31</v>
      </c>
      <c r="I1720">
        <v>72</v>
      </c>
      <c r="J1720">
        <v>12.5</v>
      </c>
      <c r="K1720">
        <v>12.1</v>
      </c>
      <c r="L1720">
        <v>12</v>
      </c>
      <c r="M1720" s="175">
        <v>0.02</v>
      </c>
      <c r="N1720" t="s">
        <v>1928</v>
      </c>
    </row>
    <row r="1721" spans="1:14">
      <c r="A1721">
        <v>6220</v>
      </c>
      <c r="B1721" t="s">
        <v>1438</v>
      </c>
      <c r="C1721">
        <v>25.6</v>
      </c>
      <c r="D1721">
        <v>25.95</v>
      </c>
      <c r="E1721" s="178">
        <v>0.05</v>
      </c>
      <c r="F1721" s="176">
        <v>0.19</v>
      </c>
      <c r="G1721" t="s">
        <v>6682</v>
      </c>
      <c r="H1721">
        <v>88</v>
      </c>
      <c r="I1721">
        <v>229</v>
      </c>
      <c r="J1721">
        <v>14.65</v>
      </c>
      <c r="K1721">
        <v>26.05</v>
      </c>
      <c r="L1721">
        <v>25.6</v>
      </c>
      <c r="M1721" s="175">
        <v>0.06</v>
      </c>
      <c r="N1721" t="s">
        <v>3283</v>
      </c>
    </row>
    <row r="1722" spans="1:14">
      <c r="A1722">
        <v>6221</v>
      </c>
      <c r="B1722" t="s">
        <v>1439</v>
      </c>
      <c r="C1722">
        <v>21.7</v>
      </c>
      <c r="D1722">
        <v>21.65</v>
      </c>
      <c r="E1722" s="178">
        <v>-0.05</v>
      </c>
      <c r="F1722" s="176">
        <v>-0.23</v>
      </c>
      <c r="G1722" t="s">
        <v>5286</v>
      </c>
      <c r="H1722">
        <v>67</v>
      </c>
      <c r="I1722">
        <v>103</v>
      </c>
      <c r="J1722">
        <v>16.86</v>
      </c>
      <c r="K1722">
        <v>22</v>
      </c>
      <c r="L1722">
        <v>21.6</v>
      </c>
      <c r="M1722" s="175">
        <v>0.04</v>
      </c>
      <c r="N1722" t="s">
        <v>3903</v>
      </c>
    </row>
    <row r="1723" spans="1:14">
      <c r="A1723">
        <v>6222</v>
      </c>
      <c r="B1723" t="s">
        <v>4246</v>
      </c>
      <c r="C1723">
        <v>20.05</v>
      </c>
      <c r="D1723">
        <v>19.899999999999999</v>
      </c>
      <c r="E1723" s="178">
        <v>-0.15</v>
      </c>
      <c r="F1723" s="176">
        <v>-0.75</v>
      </c>
      <c r="G1723" t="s">
        <v>5454</v>
      </c>
      <c r="H1723">
        <v>6</v>
      </c>
      <c r="I1723">
        <v>14</v>
      </c>
      <c r="J1723">
        <v>9.57</v>
      </c>
      <c r="K1723">
        <v>20.05</v>
      </c>
      <c r="L1723">
        <v>19.899999999999999</v>
      </c>
      <c r="M1723" s="175">
        <v>0.01</v>
      </c>
      <c r="N1723" t="s">
        <v>4242</v>
      </c>
    </row>
    <row r="1724" spans="1:14">
      <c r="A1724">
        <v>6223</v>
      </c>
      <c r="B1724" t="s">
        <v>1440</v>
      </c>
      <c r="C1724">
        <v>4930</v>
      </c>
      <c r="D1724">
        <v>5130</v>
      </c>
      <c r="E1724" s="178">
        <v>100</v>
      </c>
      <c r="F1724" s="176">
        <v>1.99</v>
      </c>
      <c r="G1724" t="s">
        <v>6683</v>
      </c>
      <c r="H1724">
        <v>1136</v>
      </c>
      <c r="I1724">
        <v>1473</v>
      </c>
      <c r="J1724">
        <v>9.8000000000000007</v>
      </c>
      <c r="K1724">
        <v>5130</v>
      </c>
      <c r="L1724">
        <v>4870</v>
      </c>
      <c r="M1724" s="175">
        <v>1.1599999999999999</v>
      </c>
      <c r="N1724" t="s">
        <v>5080</v>
      </c>
    </row>
    <row r="1725" spans="1:14">
      <c r="A1725">
        <v>6224</v>
      </c>
      <c r="B1725" t="s">
        <v>401</v>
      </c>
      <c r="C1725">
        <v>75</v>
      </c>
      <c r="D1725">
        <v>78.400000000000006</v>
      </c>
      <c r="E1725" s="178">
        <v>3.9</v>
      </c>
      <c r="F1725" s="176">
        <v>5.23</v>
      </c>
      <c r="G1725" t="s">
        <v>5180</v>
      </c>
      <c r="H1725">
        <v>1402</v>
      </c>
      <c r="I1725">
        <v>1504</v>
      </c>
      <c r="J1725">
        <v>8.56</v>
      </c>
      <c r="K1725">
        <v>79.400000000000006</v>
      </c>
      <c r="L1725">
        <v>75</v>
      </c>
      <c r="M1725" s="175">
        <v>1.64</v>
      </c>
      <c r="N1725" t="s">
        <v>1929</v>
      </c>
    </row>
    <row r="1726" spans="1:14">
      <c r="A1726">
        <v>6225</v>
      </c>
      <c r="B1726" t="s">
        <v>1441</v>
      </c>
      <c r="C1726">
        <v>63</v>
      </c>
      <c r="D1726">
        <v>60</v>
      </c>
      <c r="E1726" s="178">
        <v>0.5</v>
      </c>
      <c r="F1726" s="176">
        <v>0.84</v>
      </c>
      <c r="G1726" t="s">
        <v>5708</v>
      </c>
      <c r="H1726">
        <v>122</v>
      </c>
      <c r="I1726">
        <v>221</v>
      </c>
      <c r="J1726">
        <v>6</v>
      </c>
      <c r="K1726">
        <v>63</v>
      </c>
      <c r="L1726">
        <v>60</v>
      </c>
      <c r="M1726" s="175">
        <v>0.2</v>
      </c>
      <c r="N1726" t="s">
        <v>3595</v>
      </c>
    </row>
    <row r="1727" spans="1:14">
      <c r="A1727">
        <v>6226</v>
      </c>
      <c r="B1727" t="s">
        <v>1442</v>
      </c>
      <c r="C1727">
        <v>35.25</v>
      </c>
      <c r="D1727">
        <v>31.6</v>
      </c>
      <c r="E1727" s="178">
        <v>-2.4</v>
      </c>
      <c r="F1727" s="176">
        <v>-7.06</v>
      </c>
      <c r="G1727" t="s">
        <v>6684</v>
      </c>
      <c r="H1727">
        <v>64641</v>
      </c>
      <c r="I1727">
        <v>26992</v>
      </c>
      <c r="J1727">
        <v>11.55</v>
      </c>
      <c r="K1727">
        <v>36.6</v>
      </c>
      <c r="L1727">
        <v>31.5</v>
      </c>
      <c r="M1727" s="175">
        <v>55.95</v>
      </c>
      <c r="N1727" t="s">
        <v>3726</v>
      </c>
    </row>
    <row r="1728" spans="1:14">
      <c r="A1728">
        <v>6227</v>
      </c>
      <c r="B1728" t="s">
        <v>1443</v>
      </c>
      <c r="C1728">
        <v>112.5</v>
      </c>
      <c r="D1728">
        <v>111</v>
      </c>
      <c r="E1728" s="178">
        <v>-2</v>
      </c>
      <c r="F1728" s="176">
        <v>-1.77</v>
      </c>
      <c r="G1728" t="s">
        <v>6685</v>
      </c>
      <c r="H1728">
        <v>722</v>
      </c>
      <c r="I1728">
        <v>1074</v>
      </c>
      <c r="J1728">
        <v>7.61</v>
      </c>
      <c r="K1728">
        <v>113</v>
      </c>
      <c r="L1728">
        <v>108</v>
      </c>
      <c r="M1728" s="175">
        <v>0.95</v>
      </c>
      <c r="N1728" t="s">
        <v>5010</v>
      </c>
    </row>
    <row r="1729" spans="1:14">
      <c r="A1729">
        <v>6228</v>
      </c>
      <c r="B1729" t="s">
        <v>1444</v>
      </c>
      <c r="C1729" t="s">
        <v>1667</v>
      </c>
      <c r="D1729" t="s">
        <v>1667</v>
      </c>
      <c r="E1729" s="178" t="s">
        <v>1667</v>
      </c>
      <c r="F1729" s="176" t="s">
        <v>1667</v>
      </c>
      <c r="G1729" t="s">
        <v>1667</v>
      </c>
      <c r="H1729">
        <v>0</v>
      </c>
      <c r="I1729">
        <v>3</v>
      </c>
      <c r="J1729">
        <v>2.9</v>
      </c>
      <c r="K1729" t="s">
        <v>1667</v>
      </c>
      <c r="L1729" t="s">
        <v>1667</v>
      </c>
      <c r="M1729" s="175">
        <v>0</v>
      </c>
      <c r="N1729" t="s">
        <v>1930</v>
      </c>
    </row>
    <row r="1730" spans="1:14">
      <c r="A1730">
        <v>6229</v>
      </c>
      <c r="B1730" t="s">
        <v>1445</v>
      </c>
      <c r="C1730">
        <v>24</v>
      </c>
      <c r="D1730">
        <v>23.95</v>
      </c>
      <c r="E1730" s="178">
        <v>-0.15</v>
      </c>
      <c r="F1730" s="176">
        <v>-0.62</v>
      </c>
      <c r="G1730" t="s">
        <v>6686</v>
      </c>
      <c r="H1730">
        <v>18</v>
      </c>
      <c r="I1730">
        <v>49</v>
      </c>
      <c r="J1730">
        <v>4.04</v>
      </c>
      <c r="K1730">
        <v>24.1</v>
      </c>
      <c r="L1730">
        <v>23.6</v>
      </c>
      <c r="M1730" s="175">
        <v>0.04</v>
      </c>
      <c r="N1730" t="s">
        <v>1931</v>
      </c>
    </row>
    <row r="1731" spans="1:14">
      <c r="A1731">
        <v>6230</v>
      </c>
      <c r="B1731" t="s">
        <v>1446</v>
      </c>
      <c r="C1731">
        <v>108</v>
      </c>
      <c r="D1731">
        <v>108</v>
      </c>
      <c r="E1731" s="178">
        <v>-1.5</v>
      </c>
      <c r="F1731" s="176">
        <v>-1.37</v>
      </c>
      <c r="G1731" t="s">
        <v>6687</v>
      </c>
      <c r="H1731">
        <v>43</v>
      </c>
      <c r="I1731">
        <v>26</v>
      </c>
      <c r="J1731">
        <v>8.6300000000000008</v>
      </c>
      <c r="K1731">
        <v>108.5</v>
      </c>
      <c r="L1731">
        <v>106</v>
      </c>
      <c r="M1731" s="175">
        <v>0.05</v>
      </c>
      <c r="N1731" t="s">
        <v>3904</v>
      </c>
    </row>
    <row r="1732" spans="1:14">
      <c r="A1732">
        <v>6231</v>
      </c>
      <c r="B1732" t="s">
        <v>1447</v>
      </c>
      <c r="C1732">
        <v>219.5</v>
      </c>
      <c r="D1732">
        <v>217</v>
      </c>
      <c r="E1732" s="178">
        <v>-3.5</v>
      </c>
      <c r="F1732" s="176">
        <v>-1.59</v>
      </c>
      <c r="G1732" t="s">
        <v>6688</v>
      </c>
      <c r="H1732">
        <v>172</v>
      </c>
      <c r="I1732">
        <v>186</v>
      </c>
      <c r="J1732">
        <v>4.57</v>
      </c>
      <c r="K1732">
        <v>219.5</v>
      </c>
      <c r="L1732">
        <v>214.5</v>
      </c>
      <c r="M1732" s="175">
        <v>0.38</v>
      </c>
      <c r="N1732" t="s">
        <v>3284</v>
      </c>
    </row>
    <row r="1733" spans="1:14">
      <c r="A1733">
        <v>6233</v>
      </c>
      <c r="B1733" t="s">
        <v>1448</v>
      </c>
      <c r="C1733">
        <v>21.75</v>
      </c>
      <c r="D1733">
        <v>21.45</v>
      </c>
      <c r="E1733" s="178">
        <v>-0.35</v>
      </c>
      <c r="F1733" s="176">
        <v>-1.61</v>
      </c>
      <c r="G1733" t="s">
        <v>6689</v>
      </c>
      <c r="H1733">
        <v>223</v>
      </c>
      <c r="I1733">
        <v>130</v>
      </c>
      <c r="J1733">
        <v>8.1</v>
      </c>
      <c r="K1733">
        <v>21.75</v>
      </c>
      <c r="L1733">
        <v>21.2</v>
      </c>
      <c r="M1733" s="175">
        <v>0.28000000000000003</v>
      </c>
      <c r="N1733" t="s">
        <v>1932</v>
      </c>
    </row>
    <row r="1734" spans="1:14">
      <c r="A1734">
        <v>6234</v>
      </c>
      <c r="B1734" t="s">
        <v>1449</v>
      </c>
      <c r="C1734">
        <v>36.799999999999997</v>
      </c>
      <c r="D1734">
        <v>35.799999999999997</v>
      </c>
      <c r="E1734" s="178">
        <v>-1</v>
      </c>
      <c r="F1734" s="176">
        <v>-2.72</v>
      </c>
      <c r="G1734" t="s">
        <v>5417</v>
      </c>
      <c r="H1734">
        <v>164</v>
      </c>
      <c r="I1734">
        <v>250</v>
      </c>
      <c r="J1734">
        <v>10.039999999999999</v>
      </c>
      <c r="K1734">
        <v>37.1</v>
      </c>
      <c r="L1734">
        <v>35.5</v>
      </c>
      <c r="M1734" s="175">
        <v>0.16</v>
      </c>
      <c r="N1734" t="s">
        <v>1933</v>
      </c>
    </row>
    <row r="1735" spans="1:14">
      <c r="A1735">
        <v>6235</v>
      </c>
      <c r="B1735" t="s">
        <v>1450</v>
      </c>
      <c r="C1735">
        <v>38.799999999999997</v>
      </c>
      <c r="D1735">
        <v>38.950000000000003</v>
      </c>
      <c r="E1735" s="178">
        <v>0.05</v>
      </c>
      <c r="F1735" s="176">
        <v>0.13</v>
      </c>
      <c r="G1735" t="s">
        <v>6690</v>
      </c>
      <c r="H1735">
        <v>226</v>
      </c>
      <c r="I1735">
        <v>301</v>
      </c>
      <c r="J1735">
        <v>19.989999999999998</v>
      </c>
      <c r="K1735">
        <v>39.299999999999997</v>
      </c>
      <c r="L1735">
        <v>38.6</v>
      </c>
      <c r="M1735" s="175">
        <v>0.11</v>
      </c>
      <c r="N1735" t="s">
        <v>4384</v>
      </c>
    </row>
    <row r="1736" spans="1:14">
      <c r="A1736">
        <v>6236</v>
      </c>
      <c r="B1736" t="s">
        <v>3072</v>
      </c>
      <c r="C1736" t="s">
        <v>1667</v>
      </c>
      <c r="D1736" t="s">
        <v>1667</v>
      </c>
      <c r="E1736" s="178" t="s">
        <v>1667</v>
      </c>
      <c r="F1736" s="176" t="s">
        <v>1667</v>
      </c>
      <c r="G1736" t="s">
        <v>1667</v>
      </c>
      <c r="H1736">
        <v>0</v>
      </c>
      <c r="I1736">
        <v>3</v>
      </c>
      <c r="J1736">
        <v>4.17</v>
      </c>
      <c r="K1736" t="s">
        <v>1667</v>
      </c>
      <c r="L1736" t="s">
        <v>1667</v>
      </c>
      <c r="M1736" s="175">
        <v>0</v>
      </c>
      <c r="N1736" t="s">
        <v>4562</v>
      </c>
    </row>
    <row r="1737" spans="1:14">
      <c r="A1737">
        <v>6237</v>
      </c>
      <c r="B1737" t="s">
        <v>1451</v>
      </c>
      <c r="C1737">
        <v>35</v>
      </c>
      <c r="D1737">
        <v>34.65</v>
      </c>
      <c r="E1737" s="178">
        <v>-0.55000000000000004</v>
      </c>
      <c r="F1737" s="176">
        <v>-1.56</v>
      </c>
      <c r="G1737" t="s">
        <v>5278</v>
      </c>
      <c r="H1737">
        <v>109</v>
      </c>
      <c r="I1737">
        <v>129</v>
      </c>
      <c r="J1737">
        <v>7.96</v>
      </c>
      <c r="K1737">
        <v>35.549999999999997</v>
      </c>
      <c r="L1737">
        <v>34.549999999999997</v>
      </c>
      <c r="M1737" s="175">
        <v>0.14000000000000001</v>
      </c>
      <c r="N1737" t="s">
        <v>1934</v>
      </c>
    </row>
    <row r="1738" spans="1:14">
      <c r="A1738">
        <v>6239</v>
      </c>
      <c r="B1738" t="s">
        <v>1452</v>
      </c>
      <c r="C1738">
        <v>282.5</v>
      </c>
      <c r="D1738">
        <v>277</v>
      </c>
      <c r="E1738" s="178">
        <v>-10</v>
      </c>
      <c r="F1738" s="176">
        <v>-3.48</v>
      </c>
      <c r="G1738" t="s">
        <v>6691</v>
      </c>
      <c r="H1738">
        <v>15211</v>
      </c>
      <c r="I1738">
        <v>17724</v>
      </c>
      <c r="J1738">
        <v>75.91</v>
      </c>
      <c r="K1738">
        <v>283.5</v>
      </c>
      <c r="L1738">
        <v>271</v>
      </c>
      <c r="M1738" s="175">
        <v>2</v>
      </c>
      <c r="N1738" t="s">
        <v>1935</v>
      </c>
    </row>
    <row r="1739" spans="1:14">
      <c r="A1739">
        <v>6240</v>
      </c>
      <c r="B1739" t="s">
        <v>1453</v>
      </c>
      <c r="C1739">
        <v>23</v>
      </c>
      <c r="D1739">
        <v>25.3</v>
      </c>
      <c r="E1739" s="178">
        <v>2.2999999999999998</v>
      </c>
      <c r="F1739" s="176">
        <v>10</v>
      </c>
      <c r="G1739" t="s">
        <v>5717</v>
      </c>
      <c r="H1739">
        <v>116</v>
      </c>
      <c r="I1739">
        <v>73</v>
      </c>
      <c r="J1739">
        <v>2.29</v>
      </c>
      <c r="K1739">
        <v>25.3</v>
      </c>
      <c r="L1739">
        <v>22.3</v>
      </c>
      <c r="M1739" s="175">
        <v>0.51</v>
      </c>
      <c r="N1739" t="s">
        <v>4504</v>
      </c>
    </row>
    <row r="1740" spans="1:14">
      <c r="A1740">
        <v>6241</v>
      </c>
      <c r="B1740" t="s">
        <v>5100</v>
      </c>
      <c r="C1740">
        <v>17.899999999999999</v>
      </c>
      <c r="D1740">
        <v>17.05</v>
      </c>
      <c r="E1740" s="178">
        <v>-0.9</v>
      </c>
      <c r="F1740" s="176">
        <v>-5.01</v>
      </c>
      <c r="G1740" t="s">
        <v>6692</v>
      </c>
      <c r="H1740">
        <v>149</v>
      </c>
      <c r="I1740">
        <v>220</v>
      </c>
      <c r="J1740">
        <v>4.55</v>
      </c>
      <c r="K1740">
        <v>17.899999999999999</v>
      </c>
      <c r="L1740">
        <v>16.850000000000001</v>
      </c>
      <c r="M1740" s="175">
        <v>0.33</v>
      </c>
      <c r="N1740" t="s">
        <v>5087</v>
      </c>
    </row>
    <row r="1741" spans="1:14">
      <c r="A1741">
        <v>6242</v>
      </c>
      <c r="B1741" t="s">
        <v>1455</v>
      </c>
      <c r="C1741" t="s">
        <v>1667</v>
      </c>
      <c r="D1741" t="s">
        <v>1667</v>
      </c>
      <c r="E1741" s="178" t="s">
        <v>1667</v>
      </c>
      <c r="F1741" s="176" t="s">
        <v>1667</v>
      </c>
      <c r="G1741" t="s">
        <v>1667</v>
      </c>
      <c r="H1741">
        <v>0</v>
      </c>
      <c r="I1741">
        <v>2</v>
      </c>
      <c r="J1741">
        <v>3.18</v>
      </c>
      <c r="K1741" t="s">
        <v>1667</v>
      </c>
      <c r="L1741" t="s">
        <v>1667</v>
      </c>
      <c r="M1741" s="175">
        <v>0</v>
      </c>
      <c r="N1741" t="s">
        <v>3727</v>
      </c>
    </row>
    <row r="1742" spans="1:14">
      <c r="A1742">
        <v>6243</v>
      </c>
      <c r="B1742" t="s">
        <v>1456</v>
      </c>
      <c r="C1742">
        <v>41.1</v>
      </c>
      <c r="D1742">
        <v>39.9</v>
      </c>
      <c r="E1742" s="178">
        <v>-1.7</v>
      </c>
      <c r="F1742" s="176">
        <v>-4.09</v>
      </c>
      <c r="G1742" t="s">
        <v>6693</v>
      </c>
      <c r="H1742">
        <v>598</v>
      </c>
      <c r="I1742">
        <v>1065</v>
      </c>
      <c r="J1742">
        <v>4.53</v>
      </c>
      <c r="K1742">
        <v>41.1</v>
      </c>
      <c r="L1742">
        <v>39.9</v>
      </c>
      <c r="M1742" s="175">
        <v>1.32</v>
      </c>
      <c r="N1742" t="s">
        <v>3447</v>
      </c>
    </row>
    <row r="1743" spans="1:14">
      <c r="A1743">
        <v>6244</v>
      </c>
      <c r="B1743" t="s">
        <v>1457</v>
      </c>
      <c r="C1743">
        <v>24.3</v>
      </c>
      <c r="D1743">
        <v>24.05</v>
      </c>
      <c r="E1743" s="178">
        <v>-0.35</v>
      </c>
      <c r="F1743" s="176">
        <v>-1.43</v>
      </c>
      <c r="G1743" t="s">
        <v>6694</v>
      </c>
      <c r="H1743">
        <v>1445</v>
      </c>
      <c r="I1743">
        <v>2084</v>
      </c>
      <c r="J1743">
        <v>38.700000000000003</v>
      </c>
      <c r="K1743">
        <v>24.45</v>
      </c>
      <c r="L1743">
        <v>23.85</v>
      </c>
      <c r="M1743" s="175">
        <v>0.37</v>
      </c>
      <c r="N1743" t="s">
        <v>4126</v>
      </c>
    </row>
    <row r="1744" spans="1:14">
      <c r="A1744">
        <v>6245</v>
      </c>
      <c r="B1744" t="s">
        <v>1458</v>
      </c>
      <c r="C1744">
        <v>83</v>
      </c>
      <c r="D1744">
        <v>81.8</v>
      </c>
      <c r="E1744" s="178">
        <v>-1.4</v>
      </c>
      <c r="F1744" s="176">
        <v>-1.68</v>
      </c>
      <c r="G1744" t="s">
        <v>6695</v>
      </c>
      <c r="H1744">
        <v>961</v>
      </c>
      <c r="I1744">
        <v>420</v>
      </c>
      <c r="J1744">
        <v>14.66</v>
      </c>
      <c r="K1744">
        <v>83</v>
      </c>
      <c r="L1744">
        <v>81.3</v>
      </c>
      <c r="M1744" s="175">
        <v>0.66</v>
      </c>
      <c r="N1744" t="s">
        <v>3285</v>
      </c>
    </row>
    <row r="1745" spans="1:14">
      <c r="A1745">
        <v>6246</v>
      </c>
      <c r="B1745" t="s">
        <v>1459</v>
      </c>
      <c r="C1745">
        <v>12.25</v>
      </c>
      <c r="D1745">
        <v>12.2</v>
      </c>
      <c r="E1745" s="178">
        <v>-0.05</v>
      </c>
      <c r="F1745" s="176">
        <v>-0.41</v>
      </c>
      <c r="G1745" t="s">
        <v>5789</v>
      </c>
      <c r="H1745">
        <v>8</v>
      </c>
      <c r="I1745">
        <v>16</v>
      </c>
      <c r="J1745">
        <v>3.79</v>
      </c>
      <c r="K1745">
        <v>12.25</v>
      </c>
      <c r="L1745">
        <v>12.2</v>
      </c>
      <c r="M1745" s="175">
        <v>0.02</v>
      </c>
      <c r="N1745" t="s">
        <v>1936</v>
      </c>
    </row>
    <row r="1746" spans="1:14">
      <c r="A1746">
        <v>6248</v>
      </c>
      <c r="B1746" t="s">
        <v>1460</v>
      </c>
      <c r="C1746">
        <v>17.100000000000001</v>
      </c>
      <c r="D1746">
        <v>17.05</v>
      </c>
      <c r="E1746" s="178">
        <v>-0.05</v>
      </c>
      <c r="F1746" s="176">
        <v>-0.28999999999999998</v>
      </c>
      <c r="G1746" t="s">
        <v>6696</v>
      </c>
      <c r="H1746">
        <v>33</v>
      </c>
      <c r="I1746">
        <v>152</v>
      </c>
      <c r="J1746">
        <v>10</v>
      </c>
      <c r="K1746">
        <v>17.100000000000001</v>
      </c>
      <c r="L1746">
        <v>17</v>
      </c>
      <c r="M1746" s="175">
        <v>0.03</v>
      </c>
      <c r="N1746" t="s">
        <v>5011</v>
      </c>
    </row>
    <row r="1747" spans="1:14">
      <c r="A1747">
        <v>6257</v>
      </c>
      <c r="B1747" t="s">
        <v>1461</v>
      </c>
      <c r="C1747">
        <v>212.5</v>
      </c>
      <c r="D1747">
        <v>208.5</v>
      </c>
      <c r="E1747" s="178">
        <v>-10.5</v>
      </c>
      <c r="F1747" s="176">
        <v>-4.79</v>
      </c>
      <c r="G1747" t="s">
        <v>6697</v>
      </c>
      <c r="H1747">
        <v>11865</v>
      </c>
      <c r="I1747">
        <v>5989</v>
      </c>
      <c r="J1747">
        <v>48.39</v>
      </c>
      <c r="K1747">
        <v>214.5</v>
      </c>
      <c r="L1747">
        <v>202</v>
      </c>
      <c r="M1747" s="175">
        <v>2.4500000000000002</v>
      </c>
      <c r="N1747" t="s">
        <v>1937</v>
      </c>
    </row>
    <row r="1748" spans="1:14">
      <c r="A1748">
        <v>6259</v>
      </c>
      <c r="B1748" t="s">
        <v>1462</v>
      </c>
      <c r="C1748">
        <v>31.45</v>
      </c>
      <c r="D1748">
        <v>30.4</v>
      </c>
      <c r="E1748" s="178">
        <v>-1.35</v>
      </c>
      <c r="F1748" s="176">
        <v>-4.25</v>
      </c>
      <c r="G1748" t="s">
        <v>6698</v>
      </c>
      <c r="H1748">
        <v>414</v>
      </c>
      <c r="I1748">
        <v>425</v>
      </c>
      <c r="J1748">
        <v>2.81</v>
      </c>
      <c r="K1748">
        <v>32.549999999999997</v>
      </c>
      <c r="L1748">
        <v>30.3</v>
      </c>
      <c r="M1748" s="175">
        <v>1.48</v>
      </c>
      <c r="N1748" t="s">
        <v>1938</v>
      </c>
    </row>
    <row r="1749" spans="1:14">
      <c r="A1749">
        <v>6261</v>
      </c>
      <c r="B1749" t="s">
        <v>1463</v>
      </c>
      <c r="C1749">
        <v>79.2</v>
      </c>
      <c r="D1749">
        <v>78</v>
      </c>
      <c r="E1749" s="178">
        <v>-1</v>
      </c>
      <c r="F1749" s="176">
        <v>-1.27</v>
      </c>
      <c r="G1749" t="s">
        <v>5642</v>
      </c>
      <c r="H1749">
        <v>303</v>
      </c>
      <c r="I1749">
        <v>649</v>
      </c>
      <c r="J1749">
        <v>12.85</v>
      </c>
      <c r="K1749">
        <v>79.7</v>
      </c>
      <c r="L1749">
        <v>77.099999999999994</v>
      </c>
      <c r="M1749" s="175">
        <v>0.24</v>
      </c>
      <c r="N1749" t="s">
        <v>1939</v>
      </c>
    </row>
    <row r="1750" spans="1:14">
      <c r="A1750">
        <v>6263</v>
      </c>
      <c r="B1750" t="s">
        <v>1464</v>
      </c>
      <c r="C1750">
        <v>164.5</v>
      </c>
      <c r="D1750">
        <v>164</v>
      </c>
      <c r="E1750" s="178">
        <v>-1.5</v>
      </c>
      <c r="F1750" s="176">
        <v>-0.91</v>
      </c>
      <c r="G1750" t="s">
        <v>6699</v>
      </c>
      <c r="H1750">
        <v>78</v>
      </c>
      <c r="I1750">
        <v>89</v>
      </c>
      <c r="J1750">
        <v>6.25</v>
      </c>
      <c r="K1750">
        <v>165.5</v>
      </c>
      <c r="L1750">
        <v>162.5</v>
      </c>
      <c r="M1750" s="175">
        <v>0.12</v>
      </c>
      <c r="N1750" t="s">
        <v>1940</v>
      </c>
    </row>
    <row r="1751" spans="1:14">
      <c r="A1751">
        <v>6264</v>
      </c>
      <c r="B1751" t="s">
        <v>1465</v>
      </c>
      <c r="C1751">
        <v>6.01</v>
      </c>
      <c r="D1751">
        <v>6.08</v>
      </c>
      <c r="E1751" s="178">
        <v>0.02</v>
      </c>
      <c r="F1751" s="176">
        <v>0.33</v>
      </c>
      <c r="G1751" t="s">
        <v>6700</v>
      </c>
      <c r="H1751">
        <v>6</v>
      </c>
      <c r="I1751">
        <v>26</v>
      </c>
      <c r="J1751">
        <v>13.64</v>
      </c>
      <c r="K1751">
        <v>6.08</v>
      </c>
      <c r="L1751">
        <v>5.98</v>
      </c>
      <c r="M1751" s="175">
        <v>0</v>
      </c>
      <c r="N1751" t="s">
        <v>3286</v>
      </c>
    </row>
    <row r="1752" spans="1:14">
      <c r="A1752">
        <v>6265</v>
      </c>
      <c r="B1752" t="s">
        <v>267</v>
      </c>
      <c r="C1752">
        <v>57</v>
      </c>
      <c r="D1752">
        <v>57.4</v>
      </c>
      <c r="E1752" s="178">
        <v>0.3</v>
      </c>
      <c r="F1752" s="176">
        <v>0.53</v>
      </c>
      <c r="G1752" t="s">
        <v>5476</v>
      </c>
      <c r="H1752">
        <v>2949</v>
      </c>
      <c r="I1752">
        <v>5938</v>
      </c>
      <c r="J1752">
        <v>11.82</v>
      </c>
      <c r="K1752">
        <v>58.6</v>
      </c>
      <c r="L1752">
        <v>56.6</v>
      </c>
      <c r="M1752" s="175">
        <v>2.5</v>
      </c>
      <c r="N1752" t="s">
        <v>4542</v>
      </c>
    </row>
    <row r="1753" spans="1:14">
      <c r="A1753">
        <v>6266</v>
      </c>
      <c r="B1753" t="s">
        <v>268</v>
      </c>
      <c r="C1753">
        <v>24.95</v>
      </c>
      <c r="D1753">
        <v>24.85</v>
      </c>
      <c r="E1753" s="178">
        <v>-0.15</v>
      </c>
      <c r="F1753" s="176">
        <v>-0.6</v>
      </c>
      <c r="G1753" t="s">
        <v>5368</v>
      </c>
      <c r="H1753">
        <v>80</v>
      </c>
      <c r="I1753">
        <v>96</v>
      </c>
      <c r="J1753">
        <v>15.39</v>
      </c>
      <c r="K1753">
        <v>24.95</v>
      </c>
      <c r="L1753">
        <v>24.7</v>
      </c>
      <c r="M1753" s="175">
        <v>0.05</v>
      </c>
      <c r="N1753" t="s">
        <v>1941</v>
      </c>
    </row>
    <row r="1754" spans="1:14">
      <c r="A1754">
        <v>6269</v>
      </c>
      <c r="B1754" t="s">
        <v>1466</v>
      </c>
      <c r="C1754">
        <v>73.3</v>
      </c>
      <c r="D1754">
        <v>74.900000000000006</v>
      </c>
      <c r="E1754" s="178">
        <v>-0.1</v>
      </c>
      <c r="F1754" s="176">
        <v>-0.13</v>
      </c>
      <c r="G1754" t="s">
        <v>6278</v>
      </c>
      <c r="H1754">
        <v>39952</v>
      </c>
      <c r="I1754">
        <v>9513</v>
      </c>
      <c r="J1754">
        <v>32.380000000000003</v>
      </c>
      <c r="K1754">
        <v>82.3</v>
      </c>
      <c r="L1754">
        <v>73</v>
      </c>
      <c r="M1754" s="175">
        <v>12.34</v>
      </c>
      <c r="N1754" t="s">
        <v>4563</v>
      </c>
    </row>
    <row r="1755" spans="1:14">
      <c r="A1755">
        <v>6270</v>
      </c>
      <c r="B1755" t="s">
        <v>269</v>
      </c>
      <c r="C1755">
        <v>29.8</v>
      </c>
      <c r="D1755">
        <v>29.65</v>
      </c>
      <c r="E1755" s="178">
        <v>-0.3</v>
      </c>
      <c r="F1755" s="176">
        <v>-1</v>
      </c>
      <c r="G1755" t="s">
        <v>5496</v>
      </c>
      <c r="H1755">
        <v>122</v>
      </c>
      <c r="I1755">
        <v>121</v>
      </c>
      <c r="J1755">
        <v>7.21</v>
      </c>
      <c r="K1755">
        <v>29.95</v>
      </c>
      <c r="L1755">
        <v>29.35</v>
      </c>
      <c r="M1755" s="175">
        <v>0.17</v>
      </c>
      <c r="N1755" t="s">
        <v>3448</v>
      </c>
    </row>
    <row r="1756" spans="1:14">
      <c r="A1756">
        <v>6271</v>
      </c>
      <c r="B1756" t="s">
        <v>2237</v>
      </c>
      <c r="C1756">
        <v>211.5</v>
      </c>
      <c r="D1756">
        <v>212</v>
      </c>
      <c r="E1756" s="178">
        <v>-3</v>
      </c>
      <c r="F1756" s="176">
        <v>-1.4</v>
      </c>
      <c r="G1756" t="s">
        <v>6701</v>
      </c>
      <c r="H1756">
        <v>5006</v>
      </c>
      <c r="I1756">
        <v>4586</v>
      </c>
      <c r="J1756">
        <v>20.91</v>
      </c>
      <c r="K1756">
        <v>217.5</v>
      </c>
      <c r="L1756">
        <v>211</v>
      </c>
      <c r="M1756" s="175">
        <v>2.39</v>
      </c>
      <c r="N1756" t="s">
        <v>4385</v>
      </c>
    </row>
    <row r="1757" spans="1:14">
      <c r="A1757">
        <v>6272</v>
      </c>
      <c r="B1757" t="s">
        <v>4771</v>
      </c>
      <c r="C1757">
        <v>27.25</v>
      </c>
      <c r="D1757">
        <v>26.15</v>
      </c>
      <c r="E1757" s="178">
        <v>-0.35</v>
      </c>
      <c r="F1757" s="176">
        <v>-1.32</v>
      </c>
      <c r="G1757" t="s">
        <v>6702</v>
      </c>
      <c r="H1757">
        <v>937</v>
      </c>
      <c r="I1757">
        <v>127</v>
      </c>
      <c r="J1757">
        <v>8.18</v>
      </c>
      <c r="K1757">
        <v>28.8</v>
      </c>
      <c r="L1757">
        <v>26</v>
      </c>
      <c r="M1757" s="175">
        <v>1.1499999999999999</v>
      </c>
      <c r="N1757" t="s">
        <v>4772</v>
      </c>
    </row>
    <row r="1758" spans="1:14">
      <c r="A1758">
        <v>6274</v>
      </c>
      <c r="B1758" t="s">
        <v>270</v>
      </c>
      <c r="C1758">
        <v>1435</v>
      </c>
      <c r="D1758">
        <v>1435</v>
      </c>
      <c r="E1758" s="178">
        <v>-55</v>
      </c>
      <c r="F1758" s="176">
        <v>-3.69</v>
      </c>
      <c r="G1758" t="s">
        <v>6703</v>
      </c>
      <c r="H1758">
        <v>7025</v>
      </c>
      <c r="I1758">
        <v>5846</v>
      </c>
      <c r="J1758">
        <v>29.95</v>
      </c>
      <c r="K1758">
        <v>1485</v>
      </c>
      <c r="L1758">
        <v>1385</v>
      </c>
      <c r="M1758" s="175">
        <v>2.35</v>
      </c>
      <c r="N1758" t="s">
        <v>3593</v>
      </c>
    </row>
    <row r="1759" spans="1:14">
      <c r="A1759">
        <v>6275</v>
      </c>
      <c r="B1759" t="s">
        <v>271</v>
      </c>
      <c r="C1759">
        <v>45.65</v>
      </c>
      <c r="D1759">
        <v>46.3</v>
      </c>
      <c r="E1759" s="178">
        <v>0.6</v>
      </c>
      <c r="F1759" s="176">
        <v>1.31</v>
      </c>
      <c r="G1759" t="s">
        <v>6704</v>
      </c>
      <c r="H1759">
        <v>450</v>
      </c>
      <c r="I1759">
        <v>408</v>
      </c>
      <c r="J1759">
        <v>8.0299999999999994</v>
      </c>
      <c r="K1759">
        <v>47.2</v>
      </c>
      <c r="L1759">
        <v>45</v>
      </c>
      <c r="M1759" s="175">
        <v>0.56000000000000005</v>
      </c>
      <c r="N1759" t="s">
        <v>2224</v>
      </c>
    </row>
    <row r="1760" spans="1:14">
      <c r="A1760">
        <v>6276</v>
      </c>
      <c r="B1760" t="s">
        <v>3153</v>
      </c>
      <c r="C1760">
        <v>20.3</v>
      </c>
      <c r="D1760">
        <v>20.100000000000001</v>
      </c>
      <c r="E1760" s="178">
        <v>-0.15</v>
      </c>
      <c r="F1760" s="176">
        <v>-0.74</v>
      </c>
      <c r="G1760" t="s">
        <v>5706</v>
      </c>
      <c r="H1760">
        <v>18</v>
      </c>
      <c r="I1760">
        <v>27</v>
      </c>
      <c r="J1760">
        <v>2.2000000000000002</v>
      </c>
      <c r="K1760">
        <v>20.65</v>
      </c>
      <c r="L1760">
        <v>20</v>
      </c>
      <c r="M1760" s="175">
        <v>0.08</v>
      </c>
      <c r="N1760" t="s">
        <v>4564</v>
      </c>
    </row>
    <row r="1761" spans="1:14">
      <c r="A1761">
        <v>6277</v>
      </c>
      <c r="B1761" t="s">
        <v>1467</v>
      </c>
      <c r="C1761">
        <v>78.7</v>
      </c>
      <c r="D1761">
        <v>78.099999999999994</v>
      </c>
      <c r="E1761" s="178">
        <v>-1.2</v>
      </c>
      <c r="F1761" s="176">
        <v>-1.51</v>
      </c>
      <c r="G1761" t="s">
        <v>5754</v>
      </c>
      <c r="H1761">
        <v>242</v>
      </c>
      <c r="I1761">
        <v>273</v>
      </c>
      <c r="J1761">
        <v>11.95</v>
      </c>
      <c r="K1761">
        <v>78.900000000000006</v>
      </c>
      <c r="L1761">
        <v>78</v>
      </c>
      <c r="M1761" s="175">
        <v>0.2</v>
      </c>
      <c r="N1761" t="s">
        <v>2225</v>
      </c>
    </row>
    <row r="1762" spans="1:14">
      <c r="A1762">
        <v>6278</v>
      </c>
      <c r="B1762" t="s">
        <v>1468</v>
      </c>
      <c r="C1762">
        <v>198</v>
      </c>
      <c r="D1762">
        <v>199.5</v>
      </c>
      <c r="E1762" s="178">
        <v>-2</v>
      </c>
      <c r="F1762" s="176">
        <v>-0.99</v>
      </c>
      <c r="G1762" t="s">
        <v>5592</v>
      </c>
      <c r="H1762">
        <v>4000</v>
      </c>
      <c r="I1762">
        <v>11124</v>
      </c>
      <c r="J1762">
        <v>29.24</v>
      </c>
      <c r="K1762">
        <v>203</v>
      </c>
      <c r="L1762">
        <v>195</v>
      </c>
      <c r="M1762" s="175">
        <v>1.37</v>
      </c>
      <c r="N1762" t="s">
        <v>4457</v>
      </c>
    </row>
    <row r="1763" spans="1:14">
      <c r="A1763">
        <v>6279</v>
      </c>
      <c r="B1763" t="s">
        <v>272</v>
      </c>
      <c r="C1763">
        <v>127</v>
      </c>
      <c r="D1763">
        <v>125.5</v>
      </c>
      <c r="E1763" s="178">
        <v>-1.5</v>
      </c>
      <c r="F1763" s="176">
        <v>-1.18</v>
      </c>
      <c r="G1763" t="s">
        <v>6705</v>
      </c>
      <c r="H1763">
        <v>491</v>
      </c>
      <c r="I1763">
        <v>377</v>
      </c>
      <c r="J1763">
        <v>11.9</v>
      </c>
      <c r="K1763">
        <v>127</v>
      </c>
      <c r="L1763">
        <v>125</v>
      </c>
      <c r="M1763" s="175">
        <v>0.41</v>
      </c>
      <c r="N1763" t="s">
        <v>1942</v>
      </c>
    </row>
    <row r="1764" spans="1:14">
      <c r="A1764">
        <v>6281</v>
      </c>
      <c r="B1764" t="s">
        <v>1469</v>
      </c>
      <c r="C1764">
        <v>51.2</v>
      </c>
      <c r="D1764">
        <v>51.3</v>
      </c>
      <c r="E1764" s="178">
        <v>0</v>
      </c>
      <c r="F1764" s="176">
        <v>0</v>
      </c>
      <c r="G1764" t="s">
        <v>5323</v>
      </c>
      <c r="H1764">
        <v>35</v>
      </c>
      <c r="I1764">
        <v>28</v>
      </c>
      <c r="J1764">
        <v>9.92</v>
      </c>
      <c r="K1764">
        <v>51.4</v>
      </c>
      <c r="L1764">
        <v>51</v>
      </c>
      <c r="M1764" s="175">
        <v>0.04</v>
      </c>
      <c r="N1764" t="s">
        <v>1943</v>
      </c>
    </row>
    <row r="1765" spans="1:14">
      <c r="A1765">
        <v>6282</v>
      </c>
      <c r="B1765" t="s">
        <v>1470</v>
      </c>
      <c r="C1765">
        <v>44.9</v>
      </c>
      <c r="D1765">
        <v>44.9</v>
      </c>
      <c r="E1765" s="178">
        <v>-0.4</v>
      </c>
      <c r="F1765" s="176">
        <v>-0.88</v>
      </c>
      <c r="G1765" t="s">
        <v>5366</v>
      </c>
      <c r="H1765">
        <v>4636</v>
      </c>
      <c r="I1765">
        <v>5625</v>
      </c>
      <c r="J1765">
        <v>85.61</v>
      </c>
      <c r="K1765">
        <v>45.5</v>
      </c>
      <c r="L1765">
        <v>44.5</v>
      </c>
      <c r="M1765" s="175">
        <v>0.54</v>
      </c>
      <c r="N1765" t="s">
        <v>4216</v>
      </c>
    </row>
    <row r="1766" spans="1:14">
      <c r="A1766">
        <v>6283</v>
      </c>
      <c r="B1766" t="s">
        <v>1471</v>
      </c>
      <c r="C1766">
        <v>19.8</v>
      </c>
      <c r="D1766">
        <v>19.8</v>
      </c>
      <c r="E1766" s="178">
        <v>-0.2</v>
      </c>
      <c r="F1766" s="176">
        <v>-1</v>
      </c>
      <c r="G1766" t="s">
        <v>5312</v>
      </c>
      <c r="H1766">
        <v>120</v>
      </c>
      <c r="I1766">
        <v>87</v>
      </c>
      <c r="J1766">
        <v>14.62</v>
      </c>
      <c r="K1766">
        <v>19.899999999999999</v>
      </c>
      <c r="L1766">
        <v>19.7</v>
      </c>
      <c r="M1766" s="175">
        <v>0.09</v>
      </c>
      <c r="N1766" t="s">
        <v>2226</v>
      </c>
    </row>
    <row r="1767" spans="1:14">
      <c r="A1767">
        <v>6284</v>
      </c>
      <c r="B1767" t="s">
        <v>273</v>
      </c>
      <c r="C1767">
        <v>80.3</v>
      </c>
      <c r="D1767">
        <v>77.599999999999994</v>
      </c>
      <c r="E1767" s="178">
        <v>-3.8</v>
      </c>
      <c r="F1767" s="176">
        <v>-4.67</v>
      </c>
      <c r="G1767" t="s">
        <v>5354</v>
      </c>
      <c r="H1767">
        <v>1396</v>
      </c>
      <c r="I1767">
        <v>1300</v>
      </c>
      <c r="J1767">
        <v>14.9</v>
      </c>
      <c r="K1767">
        <v>82.2</v>
      </c>
      <c r="L1767">
        <v>77.5</v>
      </c>
      <c r="M1767" s="175">
        <v>0.94</v>
      </c>
      <c r="N1767" t="s">
        <v>1944</v>
      </c>
    </row>
    <row r="1768" spans="1:14">
      <c r="A1768">
        <v>6285</v>
      </c>
      <c r="B1768" t="s">
        <v>1472</v>
      </c>
      <c r="C1768">
        <v>243.5</v>
      </c>
      <c r="D1768">
        <v>244</v>
      </c>
      <c r="E1768" s="178">
        <v>-3</v>
      </c>
      <c r="F1768" s="176">
        <v>-1.21</v>
      </c>
      <c r="G1768" t="s">
        <v>6706</v>
      </c>
      <c r="H1768">
        <v>6250</v>
      </c>
      <c r="I1768">
        <v>4489</v>
      </c>
      <c r="J1768">
        <v>48.34</v>
      </c>
      <c r="K1768">
        <v>255</v>
      </c>
      <c r="L1768">
        <v>241.5</v>
      </c>
      <c r="M1768" s="175">
        <v>1.29</v>
      </c>
      <c r="N1768" t="s">
        <v>1945</v>
      </c>
    </row>
    <row r="1769" spans="1:14">
      <c r="A1769">
        <v>6290</v>
      </c>
      <c r="B1769" t="s">
        <v>274</v>
      </c>
      <c r="C1769">
        <v>247</v>
      </c>
      <c r="D1769">
        <v>253.5</v>
      </c>
      <c r="E1769" s="178">
        <v>5.5</v>
      </c>
      <c r="F1769" s="176">
        <v>2.2200000000000002</v>
      </c>
      <c r="G1769" t="s">
        <v>6707</v>
      </c>
      <c r="H1769">
        <v>5388</v>
      </c>
      <c r="I1769">
        <v>7206</v>
      </c>
      <c r="J1769">
        <v>16.97</v>
      </c>
      <c r="K1769">
        <v>259</v>
      </c>
      <c r="L1769">
        <v>245.5</v>
      </c>
      <c r="M1769" s="175">
        <v>3.18</v>
      </c>
      <c r="N1769" t="s">
        <v>3979</v>
      </c>
    </row>
    <row r="1770" spans="1:14">
      <c r="A1770">
        <v>6291</v>
      </c>
      <c r="B1770" t="s">
        <v>2172</v>
      </c>
      <c r="C1770">
        <v>391</v>
      </c>
      <c r="D1770">
        <v>405</v>
      </c>
      <c r="E1770" s="178">
        <v>4.5</v>
      </c>
      <c r="F1770" s="176">
        <v>1.1200000000000001</v>
      </c>
      <c r="G1770" t="s">
        <v>5242</v>
      </c>
      <c r="H1770">
        <v>531</v>
      </c>
      <c r="I1770">
        <v>940</v>
      </c>
      <c r="J1770">
        <v>4.2</v>
      </c>
      <c r="K1770">
        <v>407</v>
      </c>
      <c r="L1770">
        <v>388</v>
      </c>
      <c r="M1770" s="175">
        <v>1.26</v>
      </c>
      <c r="N1770" t="s">
        <v>2173</v>
      </c>
    </row>
    <row r="1771" spans="1:14">
      <c r="A1771">
        <v>6292</v>
      </c>
      <c r="B1771" t="s">
        <v>275</v>
      </c>
      <c r="C1771">
        <v>62.9</v>
      </c>
      <c r="D1771">
        <v>62.2</v>
      </c>
      <c r="E1771" s="178">
        <v>-0.7</v>
      </c>
      <c r="F1771" s="176">
        <v>-1.1100000000000001</v>
      </c>
      <c r="G1771" t="s">
        <v>6708</v>
      </c>
      <c r="H1771">
        <v>106</v>
      </c>
      <c r="I1771">
        <v>177</v>
      </c>
      <c r="J1771">
        <v>4.66</v>
      </c>
      <c r="K1771">
        <v>62.9</v>
      </c>
      <c r="L1771">
        <v>61.2</v>
      </c>
      <c r="M1771" s="175">
        <v>0.23</v>
      </c>
      <c r="N1771" t="s">
        <v>1946</v>
      </c>
    </row>
    <row r="1772" spans="1:14">
      <c r="A1772">
        <v>6294</v>
      </c>
      <c r="B1772" t="s">
        <v>276</v>
      </c>
      <c r="C1772">
        <v>28.7</v>
      </c>
      <c r="D1772">
        <v>28.75</v>
      </c>
      <c r="E1772" s="178">
        <v>-0.1</v>
      </c>
      <c r="F1772" s="176">
        <v>-0.35</v>
      </c>
      <c r="G1772" t="s">
        <v>6709</v>
      </c>
      <c r="H1772">
        <v>2</v>
      </c>
      <c r="I1772">
        <v>8</v>
      </c>
      <c r="J1772">
        <v>2.6</v>
      </c>
      <c r="K1772">
        <v>28.75</v>
      </c>
      <c r="L1772">
        <v>28.7</v>
      </c>
      <c r="M1772" s="175">
        <v>0.01</v>
      </c>
      <c r="N1772" t="s">
        <v>3953</v>
      </c>
    </row>
    <row r="1773" spans="1:14">
      <c r="A1773">
        <v>6405</v>
      </c>
      <c r="B1773" t="s">
        <v>1473</v>
      </c>
      <c r="C1773">
        <v>39.75</v>
      </c>
      <c r="D1773">
        <v>39</v>
      </c>
      <c r="E1773" s="178">
        <v>-1.25</v>
      </c>
      <c r="F1773" s="176">
        <v>-3.11</v>
      </c>
      <c r="G1773" t="s">
        <v>5357</v>
      </c>
      <c r="H1773">
        <v>225</v>
      </c>
      <c r="I1773">
        <v>560</v>
      </c>
      <c r="J1773">
        <v>6.58</v>
      </c>
      <c r="K1773">
        <v>39.85</v>
      </c>
      <c r="L1773">
        <v>38.549999999999997</v>
      </c>
      <c r="M1773" s="175">
        <v>0.34</v>
      </c>
      <c r="N1773" t="s">
        <v>1947</v>
      </c>
    </row>
    <row r="1774" spans="1:14">
      <c r="A1774">
        <v>6409</v>
      </c>
      <c r="B1774" t="s">
        <v>1474</v>
      </c>
      <c r="C1774">
        <v>1030</v>
      </c>
      <c r="D1774">
        <v>1035</v>
      </c>
      <c r="E1774" s="178">
        <v>5</v>
      </c>
      <c r="F1774" s="176">
        <v>0.49</v>
      </c>
      <c r="G1774" t="s">
        <v>5821</v>
      </c>
      <c r="H1774">
        <v>302</v>
      </c>
      <c r="I1774">
        <v>377</v>
      </c>
      <c r="J1774">
        <v>8.83</v>
      </c>
      <c r="K1774">
        <v>1040</v>
      </c>
      <c r="L1774">
        <v>994</v>
      </c>
      <c r="M1774" s="175">
        <v>0.34</v>
      </c>
      <c r="N1774" t="s">
        <v>1948</v>
      </c>
    </row>
    <row r="1775" spans="1:14">
      <c r="A1775">
        <v>6411</v>
      </c>
      <c r="B1775" t="s">
        <v>187</v>
      </c>
      <c r="C1775">
        <v>79.8</v>
      </c>
      <c r="D1775">
        <v>79.8</v>
      </c>
      <c r="E1775" s="178">
        <v>-0.3</v>
      </c>
      <c r="F1775" s="176">
        <v>-0.37</v>
      </c>
      <c r="G1775" t="s">
        <v>6710</v>
      </c>
      <c r="H1775">
        <v>212</v>
      </c>
      <c r="I1775">
        <v>260</v>
      </c>
      <c r="J1775">
        <v>9.9499999999999993</v>
      </c>
      <c r="K1775">
        <v>80.099999999999994</v>
      </c>
      <c r="L1775">
        <v>78.7</v>
      </c>
      <c r="M1775" s="175">
        <v>0.21</v>
      </c>
      <c r="N1775" t="s">
        <v>1949</v>
      </c>
    </row>
    <row r="1776" spans="1:14">
      <c r="A1776">
        <v>6412</v>
      </c>
      <c r="B1776" t="s">
        <v>1475</v>
      </c>
      <c r="C1776">
        <v>79.099999999999994</v>
      </c>
      <c r="D1776">
        <v>79</v>
      </c>
      <c r="E1776" s="178">
        <v>-0.1</v>
      </c>
      <c r="F1776" s="176">
        <v>-0.13</v>
      </c>
      <c r="G1776" t="s">
        <v>5643</v>
      </c>
      <c r="H1776">
        <v>668</v>
      </c>
      <c r="I1776">
        <v>489</v>
      </c>
      <c r="J1776">
        <v>40.08</v>
      </c>
      <c r="K1776">
        <v>79.5</v>
      </c>
      <c r="L1776">
        <v>78.5</v>
      </c>
      <c r="M1776" s="175">
        <v>0.17</v>
      </c>
      <c r="N1776" t="s">
        <v>5012</v>
      </c>
    </row>
    <row r="1777" spans="1:14">
      <c r="A1777">
        <v>6414</v>
      </c>
      <c r="B1777" t="s">
        <v>1476</v>
      </c>
      <c r="C1777">
        <v>386</v>
      </c>
      <c r="D1777">
        <v>389.5</v>
      </c>
      <c r="E1777" s="178">
        <v>-0.5</v>
      </c>
      <c r="F1777" s="176">
        <v>-0.13</v>
      </c>
      <c r="G1777" t="s">
        <v>6711</v>
      </c>
      <c r="H1777">
        <v>1337</v>
      </c>
      <c r="I1777">
        <v>912</v>
      </c>
      <c r="J1777">
        <v>15.66</v>
      </c>
      <c r="K1777">
        <v>392.5</v>
      </c>
      <c r="L1777">
        <v>380.5</v>
      </c>
      <c r="M1777" s="175">
        <v>0.92</v>
      </c>
      <c r="N1777" t="s">
        <v>3905</v>
      </c>
    </row>
    <row r="1778" spans="1:14">
      <c r="A1778">
        <v>6415</v>
      </c>
      <c r="B1778" t="s">
        <v>2131</v>
      </c>
      <c r="C1778">
        <v>452</v>
      </c>
      <c r="D1778">
        <v>412.5</v>
      </c>
      <c r="E1778" s="178">
        <v>-45.5</v>
      </c>
      <c r="F1778" s="176">
        <v>-9.93</v>
      </c>
      <c r="G1778" t="s">
        <v>5581</v>
      </c>
      <c r="H1778">
        <v>4276</v>
      </c>
      <c r="I1778">
        <v>3543</v>
      </c>
      <c r="J1778">
        <v>9.75</v>
      </c>
      <c r="K1778">
        <v>452</v>
      </c>
      <c r="L1778">
        <v>412.5</v>
      </c>
      <c r="M1778" s="175">
        <v>1.1000000000000001</v>
      </c>
      <c r="N1778" t="s">
        <v>2132</v>
      </c>
    </row>
    <row r="1779" spans="1:14">
      <c r="A1779">
        <v>6416</v>
      </c>
      <c r="B1779" t="s">
        <v>314</v>
      </c>
      <c r="C1779">
        <v>99</v>
      </c>
      <c r="D1779">
        <v>102</v>
      </c>
      <c r="E1779" s="178">
        <v>1.5</v>
      </c>
      <c r="F1779" s="176">
        <v>1.49</v>
      </c>
      <c r="G1779" t="s">
        <v>6712</v>
      </c>
      <c r="H1779">
        <v>343</v>
      </c>
      <c r="I1779">
        <v>413</v>
      </c>
      <c r="J1779">
        <v>7.33</v>
      </c>
      <c r="K1779">
        <v>102</v>
      </c>
      <c r="L1779">
        <v>99</v>
      </c>
      <c r="M1779" s="175">
        <v>0.47</v>
      </c>
      <c r="N1779" t="s">
        <v>3728</v>
      </c>
    </row>
    <row r="1780" spans="1:14">
      <c r="A1780">
        <v>6417</v>
      </c>
      <c r="B1780" t="s">
        <v>277</v>
      </c>
      <c r="C1780">
        <v>105.5</v>
      </c>
      <c r="D1780">
        <v>106</v>
      </c>
      <c r="E1780" s="178">
        <v>0</v>
      </c>
      <c r="F1780" s="176">
        <v>0</v>
      </c>
      <c r="G1780" t="s">
        <v>5496</v>
      </c>
      <c r="H1780">
        <v>34</v>
      </c>
      <c r="I1780">
        <v>31</v>
      </c>
      <c r="J1780">
        <v>4.2300000000000004</v>
      </c>
      <c r="K1780">
        <v>107</v>
      </c>
      <c r="L1780">
        <v>105.5</v>
      </c>
      <c r="M1780" s="175">
        <v>0.08</v>
      </c>
      <c r="N1780" t="s">
        <v>1950</v>
      </c>
    </row>
    <row r="1781" spans="1:14">
      <c r="A1781">
        <v>6418</v>
      </c>
      <c r="B1781" t="s">
        <v>342</v>
      </c>
      <c r="C1781">
        <v>37.1</v>
      </c>
      <c r="D1781">
        <v>34.35</v>
      </c>
      <c r="E1781" s="178">
        <v>-3.5</v>
      </c>
      <c r="F1781" s="176">
        <v>-9.25</v>
      </c>
      <c r="G1781" t="s">
        <v>6713</v>
      </c>
      <c r="H1781">
        <v>463</v>
      </c>
      <c r="I1781">
        <v>482</v>
      </c>
      <c r="J1781">
        <v>3.45</v>
      </c>
      <c r="K1781">
        <v>38.6</v>
      </c>
      <c r="L1781">
        <v>34.200000000000003</v>
      </c>
      <c r="M1781" s="175">
        <v>1.34</v>
      </c>
      <c r="N1781" t="s">
        <v>2227</v>
      </c>
    </row>
    <row r="1782" spans="1:14">
      <c r="A1782">
        <v>6419</v>
      </c>
      <c r="B1782" t="s">
        <v>278</v>
      </c>
      <c r="C1782">
        <v>154</v>
      </c>
      <c r="D1782">
        <v>154.5</v>
      </c>
      <c r="E1782" s="178">
        <v>0.5</v>
      </c>
      <c r="F1782" s="176">
        <v>0.32</v>
      </c>
      <c r="G1782" t="s">
        <v>6714</v>
      </c>
      <c r="H1782">
        <v>174</v>
      </c>
      <c r="I1782">
        <v>217</v>
      </c>
      <c r="J1782">
        <v>1.32</v>
      </c>
      <c r="K1782">
        <v>156.5</v>
      </c>
      <c r="L1782">
        <v>151</v>
      </c>
      <c r="M1782" s="175">
        <v>1.32</v>
      </c>
      <c r="N1782" t="s">
        <v>1951</v>
      </c>
    </row>
    <row r="1783" spans="1:14">
      <c r="A1783">
        <v>6423</v>
      </c>
      <c r="B1783" t="s">
        <v>4829</v>
      </c>
      <c r="C1783">
        <v>80.8</v>
      </c>
      <c r="D1783">
        <v>81.099999999999994</v>
      </c>
      <c r="E1783" s="178">
        <v>0.2</v>
      </c>
      <c r="F1783" s="176">
        <v>0.25</v>
      </c>
      <c r="G1783" t="s">
        <v>6715</v>
      </c>
      <c r="H1783">
        <v>12</v>
      </c>
      <c r="I1783">
        <v>33</v>
      </c>
      <c r="J1783">
        <v>3.1</v>
      </c>
      <c r="K1783">
        <v>81.099999999999994</v>
      </c>
      <c r="L1783">
        <v>80</v>
      </c>
      <c r="M1783" s="175">
        <v>0.04</v>
      </c>
      <c r="N1783" t="s">
        <v>4830</v>
      </c>
    </row>
    <row r="1784" spans="1:14">
      <c r="A1784">
        <v>6425</v>
      </c>
      <c r="B1784" t="s">
        <v>338</v>
      </c>
      <c r="C1784">
        <v>64.599999999999994</v>
      </c>
      <c r="D1784">
        <v>67.8</v>
      </c>
      <c r="E1784" s="178">
        <v>2.6</v>
      </c>
      <c r="F1784" s="176">
        <v>3.99</v>
      </c>
      <c r="G1784" t="s">
        <v>6716</v>
      </c>
      <c r="H1784">
        <v>1199</v>
      </c>
      <c r="I1784">
        <v>401</v>
      </c>
      <c r="J1784">
        <v>5.14</v>
      </c>
      <c r="K1784">
        <v>68</v>
      </c>
      <c r="L1784">
        <v>64.099999999999994</v>
      </c>
      <c r="M1784" s="175">
        <v>2.33</v>
      </c>
      <c r="N1784" t="s">
        <v>3186</v>
      </c>
    </row>
    <row r="1785" spans="1:14">
      <c r="A1785">
        <v>6426</v>
      </c>
      <c r="B1785" t="s">
        <v>125</v>
      </c>
      <c r="C1785">
        <v>260.5</v>
      </c>
      <c r="D1785">
        <v>261</v>
      </c>
      <c r="E1785" s="178">
        <v>-2.5</v>
      </c>
      <c r="F1785" s="176">
        <v>-0.95</v>
      </c>
      <c r="G1785" t="s">
        <v>6138</v>
      </c>
      <c r="H1785">
        <v>1310</v>
      </c>
      <c r="I1785">
        <v>2843</v>
      </c>
      <c r="J1785">
        <v>3.85</v>
      </c>
      <c r="K1785">
        <v>270</v>
      </c>
      <c r="L1785">
        <v>254</v>
      </c>
      <c r="M1785" s="175">
        <v>3.4</v>
      </c>
      <c r="N1785" t="s">
        <v>2016</v>
      </c>
    </row>
    <row r="1786" spans="1:14">
      <c r="A1786">
        <v>6431</v>
      </c>
      <c r="B1786" t="s">
        <v>1477</v>
      </c>
      <c r="C1786">
        <v>20.2</v>
      </c>
      <c r="D1786">
        <v>20.100000000000001</v>
      </c>
      <c r="E1786" s="178">
        <v>0.45</v>
      </c>
      <c r="F1786" s="176">
        <v>2.29</v>
      </c>
      <c r="G1786" t="s">
        <v>5298</v>
      </c>
      <c r="H1786">
        <v>145</v>
      </c>
      <c r="I1786">
        <v>80</v>
      </c>
      <c r="J1786">
        <v>8.61</v>
      </c>
      <c r="K1786">
        <v>20.2</v>
      </c>
      <c r="L1786">
        <v>19.399999999999999</v>
      </c>
      <c r="M1786" s="175">
        <v>0.28999999999999998</v>
      </c>
      <c r="N1786" t="s">
        <v>3596</v>
      </c>
    </row>
    <row r="1787" spans="1:14">
      <c r="A1787">
        <v>6432</v>
      </c>
      <c r="B1787" t="s">
        <v>279</v>
      </c>
      <c r="C1787">
        <v>65.099999999999994</v>
      </c>
      <c r="D1787">
        <v>62.6</v>
      </c>
      <c r="E1787" s="178">
        <v>-2.8</v>
      </c>
      <c r="F1787" s="176">
        <v>-4.28</v>
      </c>
      <c r="G1787" t="s">
        <v>5502</v>
      </c>
      <c r="H1787">
        <v>521</v>
      </c>
      <c r="I1787">
        <v>683</v>
      </c>
      <c r="J1787">
        <v>4</v>
      </c>
      <c r="K1787">
        <v>67</v>
      </c>
      <c r="L1787">
        <v>62</v>
      </c>
      <c r="M1787" s="175">
        <v>1.3</v>
      </c>
      <c r="N1787" t="s">
        <v>3097</v>
      </c>
    </row>
    <row r="1788" spans="1:14">
      <c r="A1788">
        <v>6435</v>
      </c>
      <c r="B1788" t="s">
        <v>280</v>
      </c>
      <c r="C1788">
        <v>255.5</v>
      </c>
      <c r="D1788">
        <v>244</v>
      </c>
      <c r="E1788" s="178">
        <v>-16</v>
      </c>
      <c r="F1788" s="176">
        <v>-6.15</v>
      </c>
      <c r="G1788" t="s">
        <v>5764</v>
      </c>
      <c r="H1788">
        <v>679</v>
      </c>
      <c r="I1788">
        <v>823</v>
      </c>
      <c r="J1788">
        <v>3.75</v>
      </c>
      <c r="K1788">
        <v>256</v>
      </c>
      <c r="L1788">
        <v>243</v>
      </c>
      <c r="M1788" s="175">
        <v>1.81</v>
      </c>
      <c r="N1788" t="s">
        <v>4217</v>
      </c>
    </row>
    <row r="1789" spans="1:14">
      <c r="A1789">
        <v>6438</v>
      </c>
      <c r="B1789" t="s">
        <v>281</v>
      </c>
      <c r="C1789">
        <v>150</v>
      </c>
      <c r="D1789">
        <v>148.5</v>
      </c>
      <c r="E1789" s="178">
        <v>-2.5</v>
      </c>
      <c r="F1789" s="176">
        <v>-1.66</v>
      </c>
      <c r="G1789" t="s">
        <v>6717</v>
      </c>
      <c r="H1789">
        <v>238</v>
      </c>
      <c r="I1789">
        <v>295</v>
      </c>
      <c r="J1789">
        <v>8.2200000000000006</v>
      </c>
      <c r="K1789">
        <v>150</v>
      </c>
      <c r="L1789">
        <v>146</v>
      </c>
      <c r="M1789" s="175">
        <v>0.28999999999999998</v>
      </c>
      <c r="N1789" t="s">
        <v>1952</v>
      </c>
    </row>
    <row r="1790" spans="1:14">
      <c r="A1790">
        <v>6441</v>
      </c>
      <c r="B1790" t="s">
        <v>317</v>
      </c>
      <c r="C1790">
        <v>21.25</v>
      </c>
      <c r="D1790">
        <v>21.25</v>
      </c>
      <c r="E1790" s="178">
        <v>0</v>
      </c>
      <c r="F1790" s="176">
        <v>0</v>
      </c>
      <c r="G1790" t="s">
        <v>6718</v>
      </c>
      <c r="H1790">
        <v>38</v>
      </c>
      <c r="I1790">
        <v>26</v>
      </c>
      <c r="J1790">
        <v>5.33</v>
      </c>
      <c r="K1790">
        <v>21.25</v>
      </c>
      <c r="L1790">
        <v>20.5</v>
      </c>
      <c r="M1790" s="175">
        <v>7.0000000000000007E-2</v>
      </c>
      <c r="N1790" t="s">
        <v>3287</v>
      </c>
    </row>
    <row r="1791" spans="1:14">
      <c r="A1791">
        <v>6442</v>
      </c>
      <c r="B1791" t="s">
        <v>1478</v>
      </c>
      <c r="C1791">
        <v>1575</v>
      </c>
      <c r="D1791">
        <v>1630</v>
      </c>
      <c r="E1791" s="178">
        <v>15</v>
      </c>
      <c r="F1791" s="176">
        <v>0.93</v>
      </c>
      <c r="G1791" t="s">
        <v>6719</v>
      </c>
      <c r="H1791">
        <v>3398</v>
      </c>
      <c r="I1791">
        <v>2388</v>
      </c>
      <c r="J1791">
        <v>8.18</v>
      </c>
      <c r="K1791">
        <v>1655</v>
      </c>
      <c r="L1791">
        <v>1560</v>
      </c>
      <c r="M1791" s="175">
        <v>4.22</v>
      </c>
      <c r="N1791" t="s">
        <v>4333</v>
      </c>
    </row>
    <row r="1792" spans="1:14">
      <c r="A1792">
        <v>6443</v>
      </c>
      <c r="B1792" t="s">
        <v>1479</v>
      </c>
      <c r="C1792">
        <v>26.2</v>
      </c>
      <c r="D1792">
        <v>26</v>
      </c>
      <c r="E1792" s="178">
        <v>-0.65</v>
      </c>
      <c r="F1792" s="176">
        <v>-2.44</v>
      </c>
      <c r="G1792" t="s">
        <v>6720</v>
      </c>
      <c r="H1792">
        <v>3840</v>
      </c>
      <c r="I1792">
        <v>4287</v>
      </c>
      <c r="J1792">
        <v>51.28</v>
      </c>
      <c r="K1792">
        <v>26.4</v>
      </c>
      <c r="L1792">
        <v>25.5</v>
      </c>
      <c r="M1792" s="175">
        <v>0.75</v>
      </c>
      <c r="N1792" t="s">
        <v>3597</v>
      </c>
    </row>
    <row r="1793" spans="1:14">
      <c r="A1793">
        <v>6446</v>
      </c>
      <c r="B1793" t="s">
        <v>282</v>
      </c>
      <c r="C1793">
        <v>1630</v>
      </c>
      <c r="D1793">
        <v>1395</v>
      </c>
      <c r="E1793" s="178">
        <v>-150</v>
      </c>
      <c r="F1793" s="176">
        <v>-9.7100000000000009</v>
      </c>
      <c r="G1793" t="s">
        <v>6721</v>
      </c>
      <c r="H1793">
        <v>9608</v>
      </c>
      <c r="I1793">
        <v>4130</v>
      </c>
      <c r="J1793">
        <v>42.24</v>
      </c>
      <c r="K1793">
        <v>1645</v>
      </c>
      <c r="L1793">
        <v>1395</v>
      </c>
      <c r="M1793" s="175">
        <v>2.27</v>
      </c>
      <c r="N1793" t="s">
        <v>1953</v>
      </c>
    </row>
    <row r="1794" spans="1:14">
      <c r="A1794">
        <v>6449</v>
      </c>
      <c r="B1794" t="s">
        <v>1480</v>
      </c>
      <c r="C1794">
        <v>230</v>
      </c>
      <c r="D1794">
        <v>232</v>
      </c>
      <c r="E1794" s="178">
        <v>-5</v>
      </c>
      <c r="F1794" s="176">
        <v>-2.11</v>
      </c>
      <c r="G1794" t="s">
        <v>6722</v>
      </c>
      <c r="H1794">
        <v>1528</v>
      </c>
      <c r="I1794">
        <v>1890</v>
      </c>
      <c r="J1794">
        <v>9.19</v>
      </c>
      <c r="K1794">
        <v>244</v>
      </c>
      <c r="L1794">
        <v>227</v>
      </c>
      <c r="M1794" s="175">
        <v>1.66</v>
      </c>
      <c r="N1794" t="s">
        <v>3098</v>
      </c>
    </row>
    <row r="1795" spans="1:14">
      <c r="A1795">
        <v>6451</v>
      </c>
      <c r="B1795" t="s">
        <v>1481</v>
      </c>
      <c r="C1795">
        <v>443.5</v>
      </c>
      <c r="D1795">
        <v>456</v>
      </c>
      <c r="E1795" s="178">
        <v>2.5</v>
      </c>
      <c r="F1795" s="176">
        <v>0.55000000000000004</v>
      </c>
      <c r="G1795" t="s">
        <v>6275</v>
      </c>
      <c r="H1795">
        <v>3689</v>
      </c>
      <c r="I1795">
        <v>5574</v>
      </c>
      <c r="J1795">
        <v>11.47</v>
      </c>
      <c r="K1795">
        <v>456</v>
      </c>
      <c r="L1795">
        <v>426</v>
      </c>
      <c r="M1795" s="175">
        <v>3.23</v>
      </c>
      <c r="N1795" t="s">
        <v>4218</v>
      </c>
    </row>
    <row r="1796" spans="1:14">
      <c r="A1796">
        <v>6456</v>
      </c>
      <c r="B1796" t="s">
        <v>1482</v>
      </c>
      <c r="C1796">
        <v>74.099999999999994</v>
      </c>
      <c r="D1796">
        <v>71.599999999999994</v>
      </c>
      <c r="E1796" s="178">
        <v>-2.7</v>
      </c>
      <c r="F1796" s="176">
        <v>-3.63</v>
      </c>
      <c r="G1796" t="s">
        <v>5868</v>
      </c>
      <c r="H1796">
        <v>5428</v>
      </c>
      <c r="I1796">
        <v>5122</v>
      </c>
      <c r="J1796">
        <v>33.79</v>
      </c>
      <c r="K1796">
        <v>76</v>
      </c>
      <c r="L1796">
        <v>71</v>
      </c>
      <c r="M1796" s="175">
        <v>1.61</v>
      </c>
      <c r="N1796" t="s">
        <v>4219</v>
      </c>
    </row>
    <row r="1797" spans="1:14">
      <c r="A1797">
        <v>6461</v>
      </c>
      <c r="B1797" t="s">
        <v>1483</v>
      </c>
      <c r="C1797">
        <v>16.3</v>
      </c>
      <c r="D1797">
        <v>16.55</v>
      </c>
      <c r="E1797" s="178">
        <v>0.4</v>
      </c>
      <c r="F1797" s="176">
        <v>2.48</v>
      </c>
      <c r="G1797" t="s">
        <v>6004</v>
      </c>
      <c r="H1797">
        <v>205</v>
      </c>
      <c r="I1797">
        <v>103</v>
      </c>
      <c r="J1797">
        <v>17.84</v>
      </c>
      <c r="K1797">
        <v>17.399999999999999</v>
      </c>
      <c r="L1797">
        <v>16.149999999999999</v>
      </c>
      <c r="M1797" s="175">
        <v>0.11</v>
      </c>
      <c r="N1797" t="s">
        <v>4411</v>
      </c>
    </row>
    <row r="1798" spans="1:14">
      <c r="A1798">
        <v>6462</v>
      </c>
      <c r="B1798" t="s">
        <v>283</v>
      </c>
      <c r="C1798">
        <v>101</v>
      </c>
      <c r="D1798">
        <v>99.9</v>
      </c>
      <c r="E1798" s="178">
        <v>-1.1000000000000001</v>
      </c>
      <c r="F1798" s="176">
        <v>-1.0900000000000001</v>
      </c>
      <c r="G1798" t="s">
        <v>6723</v>
      </c>
      <c r="H1798">
        <v>236</v>
      </c>
      <c r="I1798">
        <v>418</v>
      </c>
      <c r="J1798">
        <v>9.1300000000000008</v>
      </c>
      <c r="K1798">
        <v>101</v>
      </c>
      <c r="L1798">
        <v>99.3</v>
      </c>
      <c r="M1798" s="175">
        <v>0.26</v>
      </c>
      <c r="N1798" t="s">
        <v>2083</v>
      </c>
    </row>
    <row r="1799" spans="1:14">
      <c r="A1799">
        <v>6464</v>
      </c>
      <c r="B1799" t="s">
        <v>1484</v>
      </c>
      <c r="C1799">
        <v>77.5</v>
      </c>
      <c r="D1799">
        <v>77.5</v>
      </c>
      <c r="E1799" s="178">
        <v>0.1</v>
      </c>
      <c r="F1799" s="176">
        <v>0.13</v>
      </c>
      <c r="G1799" t="s">
        <v>5190</v>
      </c>
      <c r="H1799">
        <v>20</v>
      </c>
      <c r="I1799">
        <v>205</v>
      </c>
      <c r="J1799">
        <v>13.39</v>
      </c>
      <c r="K1799">
        <v>77.7</v>
      </c>
      <c r="L1799">
        <v>77</v>
      </c>
      <c r="M1799" s="175">
        <v>0.01</v>
      </c>
      <c r="N1799" t="s">
        <v>1954</v>
      </c>
    </row>
    <row r="1800" spans="1:14">
      <c r="A1800">
        <v>6465</v>
      </c>
      <c r="B1800" t="s">
        <v>4725</v>
      </c>
      <c r="C1800">
        <v>48.4</v>
      </c>
      <c r="D1800">
        <v>48.45</v>
      </c>
      <c r="E1800" s="178">
        <v>0.05</v>
      </c>
      <c r="F1800" s="176">
        <v>0.1</v>
      </c>
      <c r="G1800" t="s">
        <v>6724</v>
      </c>
      <c r="H1800">
        <v>150</v>
      </c>
      <c r="I1800">
        <v>170</v>
      </c>
      <c r="J1800">
        <v>5.91</v>
      </c>
      <c r="K1800">
        <v>48.6</v>
      </c>
      <c r="L1800">
        <v>47.6</v>
      </c>
      <c r="M1800" s="175">
        <v>0.25</v>
      </c>
      <c r="N1800" t="s">
        <v>4727</v>
      </c>
    </row>
    <row r="1801" spans="1:14">
      <c r="A1801">
        <v>6469</v>
      </c>
      <c r="B1801" t="s">
        <v>284</v>
      </c>
      <c r="C1801">
        <v>68.400000000000006</v>
      </c>
      <c r="D1801">
        <v>68.2</v>
      </c>
      <c r="E1801" s="178">
        <v>-0.2</v>
      </c>
      <c r="F1801" s="176">
        <v>-0.28999999999999998</v>
      </c>
      <c r="G1801" t="s">
        <v>6725</v>
      </c>
      <c r="H1801">
        <v>408</v>
      </c>
      <c r="I1801">
        <v>315</v>
      </c>
      <c r="J1801">
        <v>15.91</v>
      </c>
      <c r="K1801">
        <v>68.400000000000006</v>
      </c>
      <c r="L1801">
        <v>67.5</v>
      </c>
      <c r="M1801" s="175">
        <v>0.26</v>
      </c>
      <c r="N1801" t="s">
        <v>4428</v>
      </c>
    </row>
    <row r="1802" spans="1:14">
      <c r="A1802">
        <v>6470</v>
      </c>
      <c r="B1802" t="s">
        <v>285</v>
      </c>
      <c r="C1802">
        <v>41.6</v>
      </c>
      <c r="D1802">
        <v>41.5</v>
      </c>
      <c r="E1802" s="178">
        <v>0</v>
      </c>
      <c r="F1802" s="176">
        <v>0</v>
      </c>
      <c r="G1802" t="s">
        <v>5403</v>
      </c>
      <c r="H1802">
        <v>32</v>
      </c>
      <c r="I1802">
        <v>42</v>
      </c>
      <c r="J1802">
        <v>3.77</v>
      </c>
      <c r="K1802">
        <v>41.6</v>
      </c>
      <c r="L1802">
        <v>41.1</v>
      </c>
      <c r="M1802" s="175">
        <v>0.08</v>
      </c>
      <c r="N1802" t="s">
        <v>4573</v>
      </c>
    </row>
    <row r="1803" spans="1:14">
      <c r="A1803">
        <v>6472</v>
      </c>
      <c r="B1803" t="s">
        <v>286</v>
      </c>
      <c r="C1803">
        <v>444.5</v>
      </c>
      <c r="D1803">
        <v>433</v>
      </c>
      <c r="E1803" s="178">
        <v>-2</v>
      </c>
      <c r="F1803" s="176">
        <v>-0.46</v>
      </c>
      <c r="G1803" t="s">
        <v>6726</v>
      </c>
      <c r="H1803">
        <v>736</v>
      </c>
      <c r="I1803">
        <v>1927</v>
      </c>
      <c r="J1803">
        <v>12.81</v>
      </c>
      <c r="K1803">
        <v>444.5</v>
      </c>
      <c r="L1803">
        <v>433</v>
      </c>
      <c r="M1803" s="175">
        <v>0.57999999999999996</v>
      </c>
      <c r="N1803" t="s">
        <v>4412</v>
      </c>
    </row>
    <row r="1804" spans="1:14">
      <c r="A1804">
        <v>6474</v>
      </c>
      <c r="B1804" t="s">
        <v>4728</v>
      </c>
      <c r="C1804">
        <v>37.5</v>
      </c>
      <c r="D1804">
        <v>36.5</v>
      </c>
      <c r="E1804" s="178">
        <v>-0.7</v>
      </c>
      <c r="F1804" s="176">
        <v>-1.88</v>
      </c>
      <c r="G1804" t="s">
        <v>6621</v>
      </c>
      <c r="H1804">
        <v>86</v>
      </c>
      <c r="I1804">
        <v>170</v>
      </c>
      <c r="J1804">
        <v>5.25</v>
      </c>
      <c r="K1804">
        <v>37.5</v>
      </c>
      <c r="L1804">
        <v>36.450000000000003</v>
      </c>
      <c r="M1804" s="175">
        <v>0.16</v>
      </c>
      <c r="N1804" t="s">
        <v>4729</v>
      </c>
    </row>
    <row r="1805" spans="1:14">
      <c r="A1805">
        <v>6477</v>
      </c>
      <c r="B1805" t="s">
        <v>1485</v>
      </c>
      <c r="C1805">
        <v>37</v>
      </c>
      <c r="D1805">
        <v>36.450000000000003</v>
      </c>
      <c r="E1805" s="178">
        <v>-0.6</v>
      </c>
      <c r="F1805" s="176">
        <v>-1.62</v>
      </c>
      <c r="G1805" t="s">
        <v>6727</v>
      </c>
      <c r="H1805">
        <v>693</v>
      </c>
      <c r="I1805">
        <v>2130</v>
      </c>
      <c r="J1805">
        <v>12.41</v>
      </c>
      <c r="K1805">
        <v>37.200000000000003</v>
      </c>
      <c r="L1805">
        <v>36.200000000000003</v>
      </c>
      <c r="M1805" s="175">
        <v>0.56000000000000005</v>
      </c>
      <c r="N1805" t="s">
        <v>1955</v>
      </c>
    </row>
    <row r="1806" spans="1:14">
      <c r="A1806">
        <v>6482</v>
      </c>
      <c r="B1806" t="s">
        <v>287</v>
      </c>
      <c r="C1806">
        <v>24.8</v>
      </c>
      <c r="D1806">
        <v>24.85</v>
      </c>
      <c r="E1806" s="178">
        <v>0.1</v>
      </c>
      <c r="F1806" s="176">
        <v>0.4</v>
      </c>
      <c r="G1806" t="s">
        <v>5665</v>
      </c>
      <c r="H1806">
        <v>24</v>
      </c>
      <c r="I1806">
        <v>58</v>
      </c>
      <c r="J1806">
        <v>2.86</v>
      </c>
      <c r="K1806">
        <v>25.55</v>
      </c>
      <c r="L1806">
        <v>24.7</v>
      </c>
      <c r="M1806" s="175">
        <v>0.08</v>
      </c>
      <c r="N1806" t="s">
        <v>1956</v>
      </c>
    </row>
    <row r="1807" spans="1:14">
      <c r="A1807">
        <v>6485</v>
      </c>
      <c r="B1807" t="s">
        <v>288</v>
      </c>
      <c r="C1807">
        <v>62.9</v>
      </c>
      <c r="D1807">
        <v>62.3</v>
      </c>
      <c r="E1807" s="178">
        <v>-1.5</v>
      </c>
      <c r="F1807" s="176">
        <v>-2.35</v>
      </c>
      <c r="G1807" t="s">
        <v>6728</v>
      </c>
      <c r="H1807">
        <v>233</v>
      </c>
      <c r="I1807">
        <v>229</v>
      </c>
      <c r="J1807">
        <v>4.74</v>
      </c>
      <c r="K1807">
        <v>63.4</v>
      </c>
      <c r="L1807">
        <v>60.9</v>
      </c>
      <c r="M1807" s="175">
        <v>0.49</v>
      </c>
      <c r="N1807" t="s">
        <v>1957</v>
      </c>
    </row>
    <row r="1808" spans="1:14">
      <c r="A1808">
        <v>6486</v>
      </c>
      <c r="B1808" t="s">
        <v>289</v>
      </c>
      <c r="C1808">
        <v>77.400000000000006</v>
      </c>
      <c r="D1808">
        <v>77.8</v>
      </c>
      <c r="E1808" s="178">
        <v>0.4</v>
      </c>
      <c r="F1808" s="176">
        <v>0.52</v>
      </c>
      <c r="G1808" t="s">
        <v>5830</v>
      </c>
      <c r="H1808">
        <v>58</v>
      </c>
      <c r="I1808">
        <v>79</v>
      </c>
      <c r="J1808">
        <v>5.09</v>
      </c>
      <c r="K1808">
        <v>77.900000000000006</v>
      </c>
      <c r="L1808">
        <v>76.7</v>
      </c>
      <c r="M1808" s="175">
        <v>0.11</v>
      </c>
      <c r="N1808" t="s">
        <v>1958</v>
      </c>
    </row>
    <row r="1809" spans="1:14">
      <c r="A1809">
        <v>6488</v>
      </c>
      <c r="B1809" t="s">
        <v>290</v>
      </c>
      <c r="C1809">
        <v>951</v>
      </c>
      <c r="D1809">
        <v>912</v>
      </c>
      <c r="E1809" s="178">
        <v>-60</v>
      </c>
      <c r="F1809" s="176">
        <v>-6.17</v>
      </c>
      <c r="G1809" t="s">
        <v>6729</v>
      </c>
      <c r="H1809">
        <v>10915</v>
      </c>
      <c r="I1809">
        <v>10211</v>
      </c>
      <c r="J1809">
        <v>47.81</v>
      </c>
      <c r="K1809">
        <v>953</v>
      </c>
      <c r="L1809">
        <v>875</v>
      </c>
      <c r="M1809" s="175">
        <v>2.2799999999999998</v>
      </c>
      <c r="N1809" t="s">
        <v>1959</v>
      </c>
    </row>
    <row r="1810" spans="1:14">
      <c r="A1810">
        <v>6491</v>
      </c>
      <c r="B1810" t="s">
        <v>1486</v>
      </c>
      <c r="C1810">
        <v>375.5</v>
      </c>
      <c r="D1810">
        <v>399.5</v>
      </c>
      <c r="E1810" s="178">
        <v>22.5</v>
      </c>
      <c r="F1810" s="176">
        <v>5.97</v>
      </c>
      <c r="G1810" t="s">
        <v>6730</v>
      </c>
      <c r="H1810">
        <v>1272</v>
      </c>
      <c r="I1810">
        <v>214</v>
      </c>
      <c r="J1810">
        <v>7.8</v>
      </c>
      <c r="K1810">
        <v>399.5</v>
      </c>
      <c r="L1810">
        <v>374.5</v>
      </c>
      <c r="M1810" s="175">
        <v>1.63</v>
      </c>
      <c r="N1810" t="s">
        <v>5013</v>
      </c>
    </row>
    <row r="1811" spans="1:14">
      <c r="A1811">
        <v>6492</v>
      </c>
      <c r="B1811" t="s">
        <v>291</v>
      </c>
      <c r="C1811">
        <v>34.950000000000003</v>
      </c>
      <c r="D1811">
        <v>34.5</v>
      </c>
      <c r="E1811" s="178">
        <v>-0.45</v>
      </c>
      <c r="F1811" s="176">
        <v>-1.29</v>
      </c>
      <c r="G1811" t="s">
        <v>5451</v>
      </c>
      <c r="H1811">
        <v>369</v>
      </c>
      <c r="I1811">
        <v>569</v>
      </c>
      <c r="J1811">
        <v>11.49</v>
      </c>
      <c r="K1811">
        <v>34.950000000000003</v>
      </c>
      <c r="L1811">
        <v>34.049999999999997</v>
      </c>
      <c r="M1811" s="175">
        <v>0.32</v>
      </c>
      <c r="N1811" t="s">
        <v>4413</v>
      </c>
    </row>
    <row r="1812" spans="1:14">
      <c r="A1812">
        <v>6494</v>
      </c>
      <c r="B1812" t="s">
        <v>292</v>
      </c>
      <c r="C1812">
        <v>54</v>
      </c>
      <c r="D1812">
        <v>53.8</v>
      </c>
      <c r="E1812" s="178">
        <v>-1.1000000000000001</v>
      </c>
      <c r="F1812" s="176">
        <v>-2</v>
      </c>
      <c r="G1812" t="s">
        <v>6731</v>
      </c>
      <c r="H1812">
        <v>65</v>
      </c>
      <c r="I1812">
        <v>103</v>
      </c>
      <c r="J1812">
        <v>3.16</v>
      </c>
      <c r="K1812">
        <v>54.8</v>
      </c>
      <c r="L1812">
        <v>53.7</v>
      </c>
      <c r="M1812" s="175">
        <v>0.21</v>
      </c>
      <c r="N1812" t="s">
        <v>1960</v>
      </c>
    </row>
    <row r="1813" spans="1:14">
      <c r="A1813">
        <v>6496</v>
      </c>
      <c r="B1813" t="s">
        <v>293</v>
      </c>
      <c r="C1813">
        <v>24.95</v>
      </c>
      <c r="D1813">
        <v>24.3</v>
      </c>
      <c r="E1813" s="178">
        <v>-0.3</v>
      </c>
      <c r="F1813" s="176">
        <v>-1.22</v>
      </c>
      <c r="G1813" t="s">
        <v>5545</v>
      </c>
      <c r="H1813">
        <v>23</v>
      </c>
      <c r="I1813">
        <v>6</v>
      </c>
      <c r="J1813">
        <v>4.7300000000000004</v>
      </c>
      <c r="K1813">
        <v>25.1</v>
      </c>
      <c r="L1813">
        <v>23.9</v>
      </c>
      <c r="M1813" s="175">
        <v>0.05</v>
      </c>
      <c r="N1813" t="s">
        <v>1961</v>
      </c>
    </row>
    <row r="1814" spans="1:14">
      <c r="A1814">
        <v>6498</v>
      </c>
      <c r="B1814" t="s">
        <v>4505</v>
      </c>
      <c r="C1814">
        <v>74.5</v>
      </c>
      <c r="D1814">
        <v>74.400000000000006</v>
      </c>
      <c r="E1814" s="178">
        <v>-1.5</v>
      </c>
      <c r="F1814" s="176">
        <v>-1.98</v>
      </c>
      <c r="G1814" t="s">
        <v>6732</v>
      </c>
      <c r="H1814">
        <v>68</v>
      </c>
      <c r="I1814">
        <v>137</v>
      </c>
      <c r="J1814">
        <v>4.75</v>
      </c>
      <c r="K1814">
        <v>75.2</v>
      </c>
      <c r="L1814">
        <v>73.8</v>
      </c>
      <c r="M1814" s="175">
        <v>0.14000000000000001</v>
      </c>
      <c r="N1814" t="s">
        <v>4506</v>
      </c>
    </row>
    <row r="1815" spans="1:14">
      <c r="A1815">
        <v>6499</v>
      </c>
      <c r="B1815" t="s">
        <v>294</v>
      </c>
      <c r="C1815">
        <v>75.3</v>
      </c>
      <c r="D1815">
        <v>77.5</v>
      </c>
      <c r="E1815" s="178">
        <v>2.2000000000000002</v>
      </c>
      <c r="F1815" s="176">
        <v>2.92</v>
      </c>
      <c r="G1815" t="s">
        <v>6733</v>
      </c>
      <c r="H1815">
        <v>1130</v>
      </c>
      <c r="I1815">
        <v>597</v>
      </c>
      <c r="J1815">
        <v>9.69</v>
      </c>
      <c r="K1815">
        <v>78.7</v>
      </c>
      <c r="L1815">
        <v>75.3</v>
      </c>
      <c r="M1815" s="175">
        <v>1.17</v>
      </c>
      <c r="N1815" t="s">
        <v>1962</v>
      </c>
    </row>
    <row r="1816" spans="1:14">
      <c r="A1816">
        <v>6504</v>
      </c>
      <c r="B1816" t="s">
        <v>1487</v>
      </c>
      <c r="C1816">
        <v>37.1</v>
      </c>
      <c r="D1816">
        <v>37.4</v>
      </c>
      <c r="E1816" s="178">
        <v>-0.45</v>
      </c>
      <c r="F1816" s="176">
        <v>-1.19</v>
      </c>
      <c r="G1816" t="s">
        <v>5669</v>
      </c>
      <c r="H1816">
        <v>10</v>
      </c>
      <c r="I1816">
        <v>10</v>
      </c>
      <c r="J1816">
        <v>7.26</v>
      </c>
      <c r="K1816">
        <v>37.6</v>
      </c>
      <c r="L1816">
        <v>37.1</v>
      </c>
      <c r="M1816" s="175">
        <v>0.01</v>
      </c>
      <c r="N1816" t="s">
        <v>4414</v>
      </c>
    </row>
    <row r="1817" spans="1:14">
      <c r="A1817">
        <v>6505</v>
      </c>
      <c r="B1817" t="s">
        <v>1488</v>
      </c>
      <c r="C1817">
        <v>71.900000000000006</v>
      </c>
      <c r="D1817">
        <v>73.5</v>
      </c>
      <c r="E1817" s="178">
        <v>2.1</v>
      </c>
      <c r="F1817" s="176">
        <v>2.94</v>
      </c>
      <c r="G1817" t="s">
        <v>6734</v>
      </c>
      <c r="H1817">
        <v>17079</v>
      </c>
      <c r="I1817">
        <v>18738</v>
      </c>
      <c r="J1817">
        <v>952.6</v>
      </c>
      <c r="K1817">
        <v>73.900000000000006</v>
      </c>
      <c r="L1817">
        <v>71.099999999999994</v>
      </c>
      <c r="M1817" s="175">
        <v>0.18</v>
      </c>
      <c r="N1817" t="s">
        <v>3187</v>
      </c>
    </row>
    <row r="1818" spans="1:14">
      <c r="A1818">
        <v>6506</v>
      </c>
      <c r="B1818" t="s">
        <v>295</v>
      </c>
      <c r="C1818">
        <v>17.8</v>
      </c>
      <c r="D1818">
        <v>17.899999999999999</v>
      </c>
      <c r="E1818" s="178">
        <v>0.1</v>
      </c>
      <c r="F1818" s="176">
        <v>0.56000000000000005</v>
      </c>
      <c r="G1818" t="s">
        <v>6735</v>
      </c>
      <c r="H1818">
        <v>26</v>
      </c>
      <c r="I1818">
        <v>37</v>
      </c>
      <c r="J1818">
        <v>8.24</v>
      </c>
      <c r="K1818">
        <v>17.899999999999999</v>
      </c>
      <c r="L1818">
        <v>17.600000000000001</v>
      </c>
      <c r="M1818" s="175">
        <v>0.03</v>
      </c>
      <c r="N1818" t="s">
        <v>3288</v>
      </c>
    </row>
    <row r="1819" spans="1:14">
      <c r="A1819">
        <v>6508</v>
      </c>
      <c r="B1819" t="s">
        <v>296</v>
      </c>
      <c r="C1819">
        <v>25.8</v>
      </c>
      <c r="D1819">
        <v>25.9</v>
      </c>
      <c r="E1819" s="178">
        <v>-0.1</v>
      </c>
      <c r="F1819" s="176">
        <v>-0.38</v>
      </c>
      <c r="G1819" t="s">
        <v>6256</v>
      </c>
      <c r="H1819">
        <v>25</v>
      </c>
      <c r="I1819">
        <v>22</v>
      </c>
      <c r="J1819">
        <v>8.65</v>
      </c>
      <c r="K1819">
        <v>26.4</v>
      </c>
      <c r="L1819">
        <v>25.75</v>
      </c>
      <c r="M1819" s="175">
        <v>0.03</v>
      </c>
      <c r="N1819" t="s">
        <v>3289</v>
      </c>
    </row>
    <row r="1820" spans="1:14">
      <c r="A1820">
        <v>6509</v>
      </c>
      <c r="B1820" t="s">
        <v>297</v>
      </c>
      <c r="C1820">
        <v>45.9</v>
      </c>
      <c r="D1820">
        <v>45.95</v>
      </c>
      <c r="E1820" s="178">
        <v>-0.5</v>
      </c>
      <c r="F1820" s="176">
        <v>-1.08</v>
      </c>
      <c r="G1820" t="s">
        <v>6736</v>
      </c>
      <c r="H1820">
        <v>807</v>
      </c>
      <c r="I1820">
        <v>749</v>
      </c>
      <c r="J1820">
        <v>19.739999999999998</v>
      </c>
      <c r="K1820">
        <v>46.25</v>
      </c>
      <c r="L1820">
        <v>45.3</v>
      </c>
      <c r="M1820" s="175">
        <v>0.41</v>
      </c>
      <c r="N1820" t="s">
        <v>3055</v>
      </c>
    </row>
    <row r="1821" spans="1:14">
      <c r="A1821">
        <v>6510</v>
      </c>
      <c r="B1821" t="s">
        <v>298</v>
      </c>
      <c r="C1821">
        <v>2680</v>
      </c>
      <c r="D1821">
        <v>2845</v>
      </c>
      <c r="E1821" s="178">
        <v>165</v>
      </c>
      <c r="F1821" s="176">
        <v>6.16</v>
      </c>
      <c r="G1821" t="s">
        <v>6737</v>
      </c>
      <c r="H1821">
        <v>907</v>
      </c>
      <c r="I1821">
        <v>314</v>
      </c>
      <c r="J1821">
        <v>3.29</v>
      </c>
      <c r="K1821">
        <v>2920</v>
      </c>
      <c r="L1821">
        <v>2605</v>
      </c>
      <c r="M1821" s="175">
        <v>2.75</v>
      </c>
      <c r="N1821" t="s">
        <v>3449</v>
      </c>
    </row>
    <row r="1822" spans="1:14">
      <c r="A1822">
        <v>6512</v>
      </c>
      <c r="B1822" t="s">
        <v>299</v>
      </c>
      <c r="C1822">
        <v>20.2</v>
      </c>
      <c r="D1822">
        <v>20.6</v>
      </c>
      <c r="E1822" s="178">
        <v>0</v>
      </c>
      <c r="F1822" s="176">
        <v>0</v>
      </c>
      <c r="G1822" t="s">
        <v>6738</v>
      </c>
      <c r="H1822">
        <v>3</v>
      </c>
      <c r="I1822">
        <v>2</v>
      </c>
      <c r="J1822">
        <v>2.5299999999999998</v>
      </c>
      <c r="K1822">
        <v>20.6</v>
      </c>
      <c r="L1822">
        <v>20.149999999999999</v>
      </c>
      <c r="M1822" s="175">
        <v>0.01</v>
      </c>
      <c r="N1822" t="s">
        <v>3388</v>
      </c>
    </row>
    <row r="1823" spans="1:14">
      <c r="A1823">
        <v>6515</v>
      </c>
      <c r="B1823" t="s">
        <v>1510</v>
      </c>
      <c r="C1823">
        <v>6295</v>
      </c>
      <c r="D1823">
        <v>6285</v>
      </c>
      <c r="E1823" s="178">
        <v>35</v>
      </c>
      <c r="F1823" s="176">
        <v>0.56000000000000005</v>
      </c>
      <c r="G1823" t="s">
        <v>5288</v>
      </c>
      <c r="H1823">
        <v>299</v>
      </c>
      <c r="I1823">
        <v>335</v>
      </c>
      <c r="J1823">
        <v>3.64</v>
      </c>
      <c r="K1823">
        <v>6420</v>
      </c>
      <c r="L1823">
        <v>6000</v>
      </c>
      <c r="M1823" s="175">
        <v>0.83</v>
      </c>
      <c r="N1823" t="s">
        <v>5081</v>
      </c>
    </row>
    <row r="1824" spans="1:14">
      <c r="A1824">
        <v>6516</v>
      </c>
      <c r="B1824" t="s">
        <v>374</v>
      </c>
      <c r="C1824">
        <v>59.4</v>
      </c>
      <c r="D1824">
        <v>57.9</v>
      </c>
      <c r="E1824" s="178">
        <v>-0.4</v>
      </c>
      <c r="F1824" s="176">
        <v>-0.69</v>
      </c>
      <c r="G1824" t="s">
        <v>5164</v>
      </c>
      <c r="H1824">
        <v>21</v>
      </c>
      <c r="I1824">
        <v>41</v>
      </c>
      <c r="J1824">
        <v>5.63</v>
      </c>
      <c r="K1824">
        <v>59.4</v>
      </c>
      <c r="L1824">
        <v>57.5</v>
      </c>
      <c r="M1824" s="175">
        <v>0.04</v>
      </c>
      <c r="N1824" t="s">
        <v>1963</v>
      </c>
    </row>
    <row r="1825" spans="1:14">
      <c r="A1825">
        <v>6517</v>
      </c>
      <c r="B1825" t="s">
        <v>2238</v>
      </c>
      <c r="C1825">
        <v>70.8</v>
      </c>
      <c r="D1825">
        <v>70.8</v>
      </c>
      <c r="E1825" s="178">
        <v>-0.8</v>
      </c>
      <c r="F1825" s="176">
        <v>-1.1200000000000001</v>
      </c>
      <c r="G1825" t="s">
        <v>6739</v>
      </c>
      <c r="H1825">
        <v>605</v>
      </c>
      <c r="I1825">
        <v>1398</v>
      </c>
      <c r="J1825">
        <v>3.06</v>
      </c>
      <c r="K1825">
        <v>73</v>
      </c>
      <c r="L1825">
        <v>70.8</v>
      </c>
      <c r="M1825" s="175">
        <v>1.98</v>
      </c>
      <c r="N1825" t="s">
        <v>2239</v>
      </c>
    </row>
    <row r="1826" spans="1:14">
      <c r="A1826">
        <v>6523</v>
      </c>
      <c r="B1826" t="s">
        <v>300</v>
      </c>
      <c r="C1826">
        <v>89.8</v>
      </c>
      <c r="D1826">
        <v>89.7</v>
      </c>
      <c r="E1826" s="178">
        <v>-0.1</v>
      </c>
      <c r="F1826" s="176">
        <v>-0.11</v>
      </c>
      <c r="G1826" t="s">
        <v>5286</v>
      </c>
      <c r="H1826">
        <v>16</v>
      </c>
      <c r="I1826">
        <v>11</v>
      </c>
      <c r="J1826">
        <v>4.5</v>
      </c>
      <c r="K1826">
        <v>89.8</v>
      </c>
      <c r="L1826">
        <v>89.5</v>
      </c>
      <c r="M1826" s="175">
        <v>0.04</v>
      </c>
      <c r="N1826" t="s">
        <v>1964</v>
      </c>
    </row>
    <row r="1827" spans="1:14">
      <c r="A1827">
        <v>6525</v>
      </c>
      <c r="B1827" t="s">
        <v>1489</v>
      </c>
      <c r="C1827">
        <v>143.5</v>
      </c>
      <c r="D1827">
        <v>139.5</v>
      </c>
      <c r="E1827" s="178">
        <v>-5</v>
      </c>
      <c r="F1827" s="176">
        <v>-3.46</v>
      </c>
      <c r="G1827" t="s">
        <v>6147</v>
      </c>
      <c r="H1827">
        <v>1127</v>
      </c>
      <c r="I1827">
        <v>1380</v>
      </c>
      <c r="J1827">
        <v>12.9</v>
      </c>
      <c r="K1827">
        <v>143.5</v>
      </c>
      <c r="L1827">
        <v>138</v>
      </c>
      <c r="M1827" s="175">
        <v>0.87</v>
      </c>
      <c r="N1827" t="s">
        <v>3729</v>
      </c>
    </row>
    <row r="1828" spans="1:14">
      <c r="A1828">
        <v>6526</v>
      </c>
      <c r="B1828" t="s">
        <v>3084</v>
      </c>
      <c r="C1828">
        <v>606</v>
      </c>
      <c r="D1828">
        <v>607</v>
      </c>
      <c r="E1828" s="178">
        <v>-13</v>
      </c>
      <c r="F1828" s="176">
        <v>-2.1</v>
      </c>
      <c r="G1828" t="s">
        <v>5869</v>
      </c>
      <c r="H1828">
        <v>245</v>
      </c>
      <c r="I1828">
        <v>308</v>
      </c>
      <c r="J1828">
        <v>16.75</v>
      </c>
      <c r="K1828">
        <v>612</v>
      </c>
      <c r="L1828">
        <v>597</v>
      </c>
      <c r="M1828" s="175">
        <v>0.15</v>
      </c>
      <c r="N1828" t="s">
        <v>3085</v>
      </c>
    </row>
    <row r="1829" spans="1:14">
      <c r="A1829">
        <v>6527</v>
      </c>
      <c r="B1829" t="s">
        <v>1490</v>
      </c>
      <c r="C1829">
        <v>74.5</v>
      </c>
      <c r="D1829">
        <v>74.5</v>
      </c>
      <c r="E1829" s="178">
        <v>0</v>
      </c>
      <c r="F1829" s="176">
        <v>0</v>
      </c>
      <c r="G1829" t="s">
        <v>5439</v>
      </c>
      <c r="H1829">
        <v>7</v>
      </c>
      <c r="I1829">
        <v>15</v>
      </c>
      <c r="J1829">
        <v>2.5499999999999998</v>
      </c>
      <c r="K1829">
        <v>74.7</v>
      </c>
      <c r="L1829">
        <v>74.3</v>
      </c>
      <c r="M1829" s="175">
        <v>0.03</v>
      </c>
      <c r="N1829" t="s">
        <v>1965</v>
      </c>
    </row>
    <row r="1830" spans="1:14">
      <c r="A1830">
        <v>6530</v>
      </c>
      <c r="B1830" t="s">
        <v>379</v>
      </c>
      <c r="C1830">
        <v>86.6</v>
      </c>
      <c r="D1830">
        <v>88.1</v>
      </c>
      <c r="E1830" s="178">
        <v>1.2</v>
      </c>
      <c r="F1830" s="176">
        <v>1.38</v>
      </c>
      <c r="G1830" t="s">
        <v>5136</v>
      </c>
      <c r="H1830">
        <v>1184</v>
      </c>
      <c r="I1830">
        <v>1566</v>
      </c>
      <c r="J1830">
        <v>3.38</v>
      </c>
      <c r="K1830">
        <v>89.3</v>
      </c>
      <c r="L1830">
        <v>85.1</v>
      </c>
      <c r="M1830" s="175">
        <v>3.51</v>
      </c>
      <c r="N1830" t="s">
        <v>3598</v>
      </c>
    </row>
    <row r="1831" spans="1:14">
      <c r="A1831">
        <v>6531</v>
      </c>
      <c r="B1831" t="s">
        <v>2017</v>
      </c>
      <c r="C1831">
        <v>895</v>
      </c>
      <c r="D1831">
        <v>927</v>
      </c>
      <c r="E1831" s="178">
        <v>32</v>
      </c>
      <c r="F1831" s="176">
        <v>3.58</v>
      </c>
      <c r="G1831" t="s">
        <v>6152</v>
      </c>
      <c r="H1831">
        <v>2288</v>
      </c>
      <c r="I1831">
        <v>3176</v>
      </c>
      <c r="J1831">
        <v>8.16</v>
      </c>
      <c r="K1831">
        <v>928</v>
      </c>
      <c r="L1831">
        <v>879</v>
      </c>
      <c r="M1831" s="175">
        <v>1.41</v>
      </c>
      <c r="N1831" t="s">
        <v>3405</v>
      </c>
    </row>
    <row r="1832" spans="1:14">
      <c r="A1832">
        <v>6532</v>
      </c>
      <c r="B1832" t="s">
        <v>301</v>
      </c>
      <c r="C1832">
        <v>89.1</v>
      </c>
      <c r="D1832">
        <v>95.3</v>
      </c>
      <c r="E1832" s="178">
        <v>6.1</v>
      </c>
      <c r="F1832" s="176">
        <v>6.84</v>
      </c>
      <c r="G1832" t="s">
        <v>5388</v>
      </c>
      <c r="H1832">
        <v>1402</v>
      </c>
      <c r="I1832">
        <v>580</v>
      </c>
      <c r="J1832">
        <v>3.74</v>
      </c>
      <c r="K1832">
        <v>96.2</v>
      </c>
      <c r="L1832">
        <v>89.1</v>
      </c>
      <c r="M1832" s="175">
        <v>3.74</v>
      </c>
      <c r="N1832" t="s">
        <v>3599</v>
      </c>
    </row>
    <row r="1833" spans="1:14">
      <c r="A1833">
        <v>6533</v>
      </c>
      <c r="B1833" t="s">
        <v>1491</v>
      </c>
      <c r="C1833">
        <v>262.5</v>
      </c>
      <c r="D1833">
        <v>261</v>
      </c>
      <c r="E1833" s="178">
        <v>-4.5</v>
      </c>
      <c r="F1833" s="176">
        <v>-1.69</v>
      </c>
      <c r="G1833" t="s">
        <v>5522</v>
      </c>
      <c r="H1833">
        <v>878</v>
      </c>
      <c r="I1833">
        <v>1347</v>
      </c>
      <c r="J1833">
        <v>5.07</v>
      </c>
      <c r="K1833">
        <v>262.5</v>
      </c>
      <c r="L1833">
        <v>254</v>
      </c>
      <c r="M1833" s="175">
        <v>1.73</v>
      </c>
      <c r="N1833" t="s">
        <v>3730</v>
      </c>
    </row>
    <row r="1834" spans="1:14">
      <c r="A1834">
        <v>6535</v>
      </c>
      <c r="B1834" t="s">
        <v>302</v>
      </c>
      <c r="C1834">
        <v>78</v>
      </c>
      <c r="D1834">
        <v>74.8</v>
      </c>
      <c r="E1834" s="178">
        <v>-3.8</v>
      </c>
      <c r="F1834" s="176">
        <v>-4.83</v>
      </c>
      <c r="G1834" t="s">
        <v>5231</v>
      </c>
      <c r="H1834">
        <v>2018</v>
      </c>
      <c r="I1834">
        <v>411</v>
      </c>
      <c r="J1834">
        <v>16.78</v>
      </c>
      <c r="K1834">
        <v>80.2</v>
      </c>
      <c r="L1834">
        <v>74.8</v>
      </c>
      <c r="M1834" s="175">
        <v>1.2</v>
      </c>
      <c r="N1834" t="s">
        <v>3290</v>
      </c>
    </row>
    <row r="1835" spans="1:14">
      <c r="A1835">
        <v>6538</v>
      </c>
      <c r="B1835" t="s">
        <v>303</v>
      </c>
      <c r="C1835">
        <v>197.5</v>
      </c>
      <c r="D1835">
        <v>205.5</v>
      </c>
      <c r="E1835" s="178">
        <v>5.5</v>
      </c>
      <c r="F1835" s="176">
        <v>2.75</v>
      </c>
      <c r="G1835" t="s">
        <v>6740</v>
      </c>
      <c r="H1835">
        <v>2990</v>
      </c>
      <c r="I1835">
        <v>2946</v>
      </c>
      <c r="J1835">
        <v>3.77</v>
      </c>
      <c r="K1835">
        <v>215</v>
      </c>
      <c r="L1835">
        <v>197.5</v>
      </c>
      <c r="M1835" s="175">
        <v>7.86</v>
      </c>
      <c r="N1835" t="s">
        <v>1966</v>
      </c>
    </row>
    <row r="1836" spans="1:14">
      <c r="A1836">
        <v>6541</v>
      </c>
      <c r="B1836" t="s">
        <v>321</v>
      </c>
      <c r="C1836">
        <v>35.85</v>
      </c>
      <c r="D1836">
        <v>34</v>
      </c>
      <c r="E1836" s="178">
        <v>-2.1</v>
      </c>
      <c r="F1836" s="176">
        <v>-5.82</v>
      </c>
      <c r="G1836" t="s">
        <v>6741</v>
      </c>
      <c r="H1836">
        <v>1162</v>
      </c>
      <c r="I1836">
        <v>219</v>
      </c>
      <c r="J1836">
        <v>26.51</v>
      </c>
      <c r="K1836">
        <v>36.049999999999997</v>
      </c>
      <c r="L1836">
        <v>33.6</v>
      </c>
      <c r="M1836" s="175">
        <v>0.44</v>
      </c>
      <c r="N1836" t="s">
        <v>1967</v>
      </c>
    </row>
    <row r="1837" spans="1:14">
      <c r="A1837">
        <v>6542</v>
      </c>
      <c r="B1837" t="s">
        <v>304</v>
      </c>
      <c r="C1837" t="s">
        <v>1667</v>
      </c>
      <c r="D1837" t="s">
        <v>1667</v>
      </c>
      <c r="E1837" s="178" t="s">
        <v>1667</v>
      </c>
      <c r="F1837" s="176" t="s">
        <v>1667</v>
      </c>
      <c r="G1837" t="s">
        <v>1667</v>
      </c>
      <c r="H1837">
        <v>0</v>
      </c>
      <c r="I1837">
        <v>15</v>
      </c>
      <c r="J1837">
        <v>4.2</v>
      </c>
      <c r="K1837" t="s">
        <v>1667</v>
      </c>
      <c r="L1837" t="s">
        <v>1667</v>
      </c>
      <c r="M1837" s="175">
        <v>0</v>
      </c>
      <c r="N1837" t="s">
        <v>3099</v>
      </c>
    </row>
    <row r="1838" spans="1:14">
      <c r="A1838">
        <v>6546</v>
      </c>
      <c r="B1838" t="s">
        <v>2113</v>
      </c>
      <c r="C1838">
        <v>63.4</v>
      </c>
      <c r="D1838">
        <v>62.9</v>
      </c>
      <c r="E1838" s="178">
        <v>-0.7</v>
      </c>
      <c r="F1838" s="176">
        <v>-1.1000000000000001</v>
      </c>
      <c r="G1838" t="s">
        <v>5509</v>
      </c>
      <c r="H1838">
        <v>115</v>
      </c>
      <c r="I1838">
        <v>184</v>
      </c>
      <c r="J1838">
        <v>6.68</v>
      </c>
      <c r="K1838">
        <v>64</v>
      </c>
      <c r="L1838">
        <v>62.6</v>
      </c>
      <c r="M1838" s="175">
        <v>0.17</v>
      </c>
      <c r="N1838" t="s">
        <v>2114</v>
      </c>
    </row>
    <row r="1839" spans="1:14">
      <c r="A1839">
        <v>6547</v>
      </c>
      <c r="B1839" t="s">
        <v>328</v>
      </c>
      <c r="C1839">
        <v>65</v>
      </c>
      <c r="D1839">
        <v>63.9</v>
      </c>
      <c r="E1839" s="178">
        <v>-1.1000000000000001</v>
      </c>
      <c r="F1839" s="176">
        <v>-1.69</v>
      </c>
      <c r="G1839" t="s">
        <v>5504</v>
      </c>
      <c r="H1839">
        <v>6847</v>
      </c>
      <c r="I1839">
        <v>10858</v>
      </c>
      <c r="J1839">
        <v>32.950000000000003</v>
      </c>
      <c r="K1839">
        <v>65.900000000000006</v>
      </c>
      <c r="L1839">
        <v>62.8</v>
      </c>
      <c r="M1839" s="175">
        <v>2.08</v>
      </c>
      <c r="N1839" t="s">
        <v>4220</v>
      </c>
    </row>
    <row r="1840" spans="1:14">
      <c r="A1840">
        <v>6548</v>
      </c>
      <c r="B1840" t="s">
        <v>2155</v>
      </c>
      <c r="C1840">
        <v>72.8</v>
      </c>
      <c r="D1840">
        <v>71.400000000000006</v>
      </c>
      <c r="E1840" s="178">
        <v>-2.1</v>
      </c>
      <c r="F1840" s="176">
        <v>-2.86</v>
      </c>
      <c r="G1840" t="s">
        <v>5421</v>
      </c>
      <c r="H1840">
        <v>2425</v>
      </c>
      <c r="I1840">
        <v>3321</v>
      </c>
      <c r="J1840">
        <v>3.8</v>
      </c>
      <c r="K1840">
        <v>73</v>
      </c>
      <c r="L1840">
        <v>70.3</v>
      </c>
      <c r="M1840" s="175">
        <v>0.26</v>
      </c>
      <c r="N1840" t="s">
        <v>4221</v>
      </c>
    </row>
    <row r="1841" spans="1:14">
      <c r="A1841">
        <v>6550</v>
      </c>
      <c r="B1841" t="s">
        <v>2118</v>
      </c>
      <c r="C1841">
        <v>11.2</v>
      </c>
      <c r="D1841">
        <v>10.7</v>
      </c>
      <c r="E1841" s="178">
        <v>-0.5</v>
      </c>
      <c r="F1841" s="176">
        <v>-4.46</v>
      </c>
      <c r="G1841" t="s">
        <v>6742</v>
      </c>
      <c r="H1841">
        <v>2162</v>
      </c>
      <c r="I1841">
        <v>2657</v>
      </c>
      <c r="J1841">
        <v>89.48</v>
      </c>
      <c r="K1841">
        <v>11.25</v>
      </c>
      <c r="L1841">
        <v>10.5</v>
      </c>
      <c r="M1841" s="175">
        <v>0.28000000000000003</v>
      </c>
      <c r="N1841" t="s">
        <v>2119</v>
      </c>
    </row>
    <row r="1842" spans="1:14">
      <c r="A1842">
        <v>6552</v>
      </c>
      <c r="B1842" t="s">
        <v>1492</v>
      </c>
      <c r="C1842">
        <v>25.1</v>
      </c>
      <c r="D1842">
        <v>24.7</v>
      </c>
      <c r="E1842" s="178">
        <v>-0.6</v>
      </c>
      <c r="F1842" s="176">
        <v>-2.37</v>
      </c>
      <c r="G1842" t="s">
        <v>5191</v>
      </c>
      <c r="H1842">
        <v>89</v>
      </c>
      <c r="I1842">
        <v>74</v>
      </c>
      <c r="J1842">
        <v>8.3000000000000007</v>
      </c>
      <c r="K1842">
        <v>25.1</v>
      </c>
      <c r="L1842">
        <v>24.5</v>
      </c>
      <c r="M1842" s="175">
        <v>0.11</v>
      </c>
      <c r="N1842" t="s">
        <v>1968</v>
      </c>
    </row>
    <row r="1843" spans="1:14">
      <c r="A1843">
        <v>6556</v>
      </c>
      <c r="B1843" t="s">
        <v>1493</v>
      </c>
      <c r="C1843">
        <v>61</v>
      </c>
      <c r="D1843">
        <v>60.5</v>
      </c>
      <c r="E1843" s="178">
        <v>-0.8</v>
      </c>
      <c r="F1843" s="176">
        <v>-1.31</v>
      </c>
      <c r="G1843" t="s">
        <v>6743</v>
      </c>
      <c r="H1843">
        <v>11</v>
      </c>
      <c r="I1843">
        <v>8</v>
      </c>
      <c r="J1843">
        <v>2.88</v>
      </c>
      <c r="K1843">
        <v>61</v>
      </c>
      <c r="L1843">
        <v>60</v>
      </c>
      <c r="M1843" s="175">
        <v>0.04</v>
      </c>
      <c r="N1843" t="s">
        <v>2252</v>
      </c>
    </row>
    <row r="1844" spans="1:14">
      <c r="A1844">
        <v>6558</v>
      </c>
      <c r="B1844" t="s">
        <v>332</v>
      </c>
      <c r="C1844">
        <v>25.1</v>
      </c>
      <c r="D1844">
        <v>24.65</v>
      </c>
      <c r="E1844" s="178">
        <v>-0.85</v>
      </c>
      <c r="F1844" s="176">
        <v>-3.33</v>
      </c>
      <c r="G1844" t="s">
        <v>6057</v>
      </c>
      <c r="H1844">
        <v>202</v>
      </c>
      <c r="I1844">
        <v>163</v>
      </c>
      <c r="J1844">
        <v>9.3800000000000008</v>
      </c>
      <c r="K1844">
        <v>25.45</v>
      </c>
      <c r="L1844">
        <v>24.65</v>
      </c>
      <c r="M1844" s="175">
        <v>0.23</v>
      </c>
      <c r="N1844" t="s">
        <v>1969</v>
      </c>
    </row>
    <row r="1845" spans="1:14">
      <c r="A1845">
        <v>6560</v>
      </c>
      <c r="B1845" t="s">
        <v>305</v>
      </c>
      <c r="C1845">
        <v>30.5</v>
      </c>
      <c r="D1845">
        <v>31</v>
      </c>
      <c r="E1845" s="178">
        <v>0</v>
      </c>
      <c r="F1845" s="176">
        <v>0</v>
      </c>
      <c r="G1845" t="s">
        <v>6744</v>
      </c>
      <c r="H1845">
        <v>12</v>
      </c>
      <c r="I1845">
        <v>13</v>
      </c>
      <c r="J1845">
        <v>3.35</v>
      </c>
      <c r="K1845">
        <v>31</v>
      </c>
      <c r="L1845">
        <v>30.3</v>
      </c>
      <c r="M1845" s="175">
        <v>0.04</v>
      </c>
      <c r="N1845" t="s">
        <v>3347</v>
      </c>
    </row>
    <row r="1846" spans="1:14">
      <c r="A1846">
        <v>6561</v>
      </c>
      <c r="B1846" t="s">
        <v>334</v>
      </c>
      <c r="C1846">
        <v>320</v>
      </c>
      <c r="D1846">
        <v>321</v>
      </c>
      <c r="E1846" s="178">
        <v>-1.5</v>
      </c>
      <c r="F1846" s="176">
        <v>-0.47</v>
      </c>
      <c r="G1846" t="s">
        <v>6745</v>
      </c>
      <c r="H1846">
        <v>32</v>
      </c>
      <c r="I1846">
        <v>29</v>
      </c>
      <c r="J1846">
        <v>7.8</v>
      </c>
      <c r="K1846">
        <v>323.5</v>
      </c>
      <c r="L1846">
        <v>319.5</v>
      </c>
      <c r="M1846" s="175">
        <v>0.04</v>
      </c>
      <c r="N1846" t="s">
        <v>4222</v>
      </c>
    </row>
    <row r="1847" spans="1:14">
      <c r="A1847">
        <v>6568</v>
      </c>
      <c r="B1847" t="s">
        <v>306</v>
      </c>
      <c r="C1847">
        <v>131</v>
      </c>
      <c r="D1847">
        <v>129</v>
      </c>
      <c r="E1847" s="178">
        <v>-2</v>
      </c>
      <c r="F1847" s="176">
        <v>-1.53</v>
      </c>
      <c r="G1847" t="s">
        <v>5346</v>
      </c>
      <c r="H1847">
        <v>41</v>
      </c>
      <c r="I1847">
        <v>77</v>
      </c>
      <c r="J1847">
        <v>3.08</v>
      </c>
      <c r="K1847">
        <v>131</v>
      </c>
      <c r="L1847">
        <v>128</v>
      </c>
      <c r="M1847" s="175">
        <v>0.13</v>
      </c>
      <c r="N1847" t="s">
        <v>1970</v>
      </c>
    </row>
    <row r="1848" spans="1:14">
      <c r="A1848">
        <v>6569</v>
      </c>
      <c r="B1848" t="s">
        <v>307</v>
      </c>
      <c r="C1848">
        <v>92.2</v>
      </c>
      <c r="D1848">
        <v>91.5</v>
      </c>
      <c r="E1848" s="178">
        <v>-1.1000000000000001</v>
      </c>
      <c r="F1848" s="176">
        <v>-1.19</v>
      </c>
      <c r="G1848" t="s">
        <v>5495</v>
      </c>
      <c r="H1848">
        <v>34</v>
      </c>
      <c r="I1848">
        <v>39</v>
      </c>
      <c r="J1848">
        <v>4.28</v>
      </c>
      <c r="K1848">
        <v>92.2</v>
      </c>
      <c r="L1848">
        <v>91.3</v>
      </c>
      <c r="M1848" s="175">
        <v>0.08</v>
      </c>
      <c r="N1848" t="s">
        <v>4223</v>
      </c>
    </row>
    <row r="1849" spans="1:14">
      <c r="A1849">
        <v>6570</v>
      </c>
      <c r="B1849" t="s">
        <v>351</v>
      </c>
      <c r="C1849">
        <v>51.7</v>
      </c>
      <c r="D1849">
        <v>50.4</v>
      </c>
      <c r="E1849" s="178">
        <v>-1.3</v>
      </c>
      <c r="F1849" s="176">
        <v>-2.5099999999999998</v>
      </c>
      <c r="G1849" t="s">
        <v>5325</v>
      </c>
      <c r="H1849">
        <v>118</v>
      </c>
      <c r="I1849">
        <v>86</v>
      </c>
      <c r="J1849">
        <v>3.71</v>
      </c>
      <c r="K1849">
        <v>51.9</v>
      </c>
      <c r="L1849">
        <v>50.1</v>
      </c>
      <c r="M1849" s="175">
        <v>0.32</v>
      </c>
      <c r="N1849" t="s">
        <v>3291</v>
      </c>
    </row>
    <row r="1850" spans="1:14">
      <c r="A1850">
        <v>6573</v>
      </c>
      <c r="B1850" t="s">
        <v>320</v>
      </c>
      <c r="C1850">
        <v>18.2</v>
      </c>
      <c r="D1850">
        <v>17.399999999999999</v>
      </c>
      <c r="E1850" s="178">
        <v>-1.4</v>
      </c>
      <c r="F1850" s="176">
        <v>-7.45</v>
      </c>
      <c r="G1850" t="s">
        <v>6746</v>
      </c>
      <c r="H1850">
        <v>420</v>
      </c>
      <c r="I1850">
        <v>478</v>
      </c>
      <c r="J1850">
        <v>8.0500000000000007</v>
      </c>
      <c r="K1850">
        <v>18.2</v>
      </c>
      <c r="L1850">
        <v>17.25</v>
      </c>
      <c r="M1850" s="175">
        <v>0.52</v>
      </c>
      <c r="N1850" t="s">
        <v>1971</v>
      </c>
    </row>
    <row r="1851" spans="1:14">
      <c r="A1851">
        <v>6574</v>
      </c>
      <c r="B1851" t="s">
        <v>1494</v>
      </c>
      <c r="C1851">
        <v>120.5</v>
      </c>
      <c r="D1851">
        <v>121.5</v>
      </c>
      <c r="E1851" s="178">
        <v>1</v>
      </c>
      <c r="F1851" s="176">
        <v>0.83</v>
      </c>
      <c r="G1851" t="s">
        <v>5664</v>
      </c>
      <c r="H1851">
        <v>18</v>
      </c>
      <c r="I1851">
        <v>48</v>
      </c>
      <c r="J1851">
        <v>2.2000000000000002</v>
      </c>
      <c r="K1851">
        <v>121.5</v>
      </c>
      <c r="L1851">
        <v>120</v>
      </c>
      <c r="M1851" s="175">
        <v>0.08</v>
      </c>
      <c r="N1851" t="s">
        <v>1972</v>
      </c>
    </row>
    <row r="1852" spans="1:14">
      <c r="A1852">
        <v>6576</v>
      </c>
      <c r="B1852" t="s">
        <v>368</v>
      </c>
      <c r="C1852">
        <v>80.5</v>
      </c>
      <c r="D1852">
        <v>81.2</v>
      </c>
      <c r="E1852" s="178">
        <v>1.1000000000000001</v>
      </c>
      <c r="F1852" s="176">
        <v>1.37</v>
      </c>
      <c r="G1852" t="s">
        <v>6747</v>
      </c>
      <c r="H1852">
        <v>113</v>
      </c>
      <c r="I1852">
        <v>77</v>
      </c>
      <c r="J1852">
        <v>15.76</v>
      </c>
      <c r="K1852">
        <v>81.400000000000006</v>
      </c>
      <c r="L1852">
        <v>80.099999999999994</v>
      </c>
      <c r="M1852" s="175">
        <v>7.0000000000000007E-2</v>
      </c>
      <c r="N1852" t="s">
        <v>1973</v>
      </c>
    </row>
    <row r="1853" spans="1:14">
      <c r="A1853">
        <v>6577</v>
      </c>
      <c r="B1853" t="s">
        <v>308</v>
      </c>
      <c r="C1853">
        <v>80</v>
      </c>
      <c r="D1853">
        <v>80.7</v>
      </c>
      <c r="E1853" s="178">
        <v>-0.1</v>
      </c>
      <c r="F1853" s="176">
        <v>-0.12</v>
      </c>
      <c r="G1853" t="s">
        <v>6748</v>
      </c>
      <c r="H1853">
        <v>95</v>
      </c>
      <c r="I1853">
        <v>43</v>
      </c>
      <c r="J1853">
        <v>6.01</v>
      </c>
      <c r="K1853">
        <v>80.7</v>
      </c>
      <c r="L1853">
        <v>78</v>
      </c>
      <c r="M1853" s="175">
        <v>0.16</v>
      </c>
      <c r="N1853" t="s">
        <v>4224</v>
      </c>
    </row>
    <row r="1854" spans="1:14">
      <c r="A1854">
        <v>6578</v>
      </c>
      <c r="B1854" t="s">
        <v>341</v>
      </c>
      <c r="C1854">
        <v>18</v>
      </c>
      <c r="D1854">
        <v>18.05</v>
      </c>
      <c r="E1854" s="178">
        <v>0.05</v>
      </c>
      <c r="F1854" s="176">
        <v>0.28000000000000003</v>
      </c>
      <c r="G1854" t="s">
        <v>5386</v>
      </c>
      <c r="H1854">
        <v>9</v>
      </c>
      <c r="I1854">
        <v>34</v>
      </c>
      <c r="J1854">
        <v>7.19</v>
      </c>
      <c r="K1854">
        <v>18.05</v>
      </c>
      <c r="L1854">
        <v>17.75</v>
      </c>
      <c r="M1854" s="175">
        <v>0.01</v>
      </c>
      <c r="N1854" t="s">
        <v>1974</v>
      </c>
    </row>
    <row r="1855" spans="1:14">
      <c r="A1855">
        <v>6579</v>
      </c>
      <c r="B1855" t="s">
        <v>348</v>
      </c>
      <c r="C1855">
        <v>147.5</v>
      </c>
      <c r="D1855">
        <v>146.5</v>
      </c>
      <c r="E1855" s="178">
        <v>-0.5</v>
      </c>
      <c r="F1855" s="176">
        <v>-0.34</v>
      </c>
      <c r="G1855" t="s">
        <v>6749</v>
      </c>
      <c r="H1855">
        <v>332</v>
      </c>
      <c r="I1855">
        <v>343</v>
      </c>
      <c r="J1855">
        <v>16.95</v>
      </c>
      <c r="K1855">
        <v>147.5</v>
      </c>
      <c r="L1855">
        <v>144</v>
      </c>
      <c r="M1855" s="175">
        <v>0.2</v>
      </c>
      <c r="N1855" t="s">
        <v>3086</v>
      </c>
    </row>
    <row r="1856" spans="1:14">
      <c r="A1856">
        <v>6581</v>
      </c>
      <c r="B1856" t="s">
        <v>384</v>
      </c>
      <c r="C1856">
        <v>108.5</v>
      </c>
      <c r="D1856">
        <v>108.5</v>
      </c>
      <c r="E1856" s="178">
        <v>-1</v>
      </c>
      <c r="F1856" s="176">
        <v>-0.91</v>
      </c>
      <c r="G1856" t="s">
        <v>5348</v>
      </c>
      <c r="H1856">
        <v>43</v>
      </c>
      <c r="I1856">
        <v>22</v>
      </c>
      <c r="J1856">
        <v>11.13</v>
      </c>
      <c r="K1856">
        <v>110.5</v>
      </c>
      <c r="L1856">
        <v>108</v>
      </c>
      <c r="M1856" s="175">
        <v>0.04</v>
      </c>
      <c r="N1856" t="s">
        <v>1975</v>
      </c>
    </row>
    <row r="1857" spans="1:14">
      <c r="A1857">
        <v>6582</v>
      </c>
      <c r="B1857" t="s">
        <v>382</v>
      </c>
      <c r="C1857">
        <v>33.1</v>
      </c>
      <c r="D1857">
        <v>32.5</v>
      </c>
      <c r="E1857" s="178">
        <v>-0.1</v>
      </c>
      <c r="F1857" s="176">
        <v>-0.31</v>
      </c>
      <c r="G1857" t="s">
        <v>6066</v>
      </c>
      <c r="H1857">
        <v>48</v>
      </c>
      <c r="I1857">
        <v>42</v>
      </c>
      <c r="J1857">
        <v>10.62</v>
      </c>
      <c r="K1857">
        <v>33.1</v>
      </c>
      <c r="L1857">
        <v>32.299999999999997</v>
      </c>
      <c r="M1857" s="175">
        <v>0.05</v>
      </c>
      <c r="N1857" t="s">
        <v>1976</v>
      </c>
    </row>
    <row r="1858" spans="1:14">
      <c r="A1858">
        <v>6584</v>
      </c>
      <c r="B1858" t="s">
        <v>2606</v>
      </c>
      <c r="C1858">
        <v>682</v>
      </c>
      <c r="D1858">
        <v>629</v>
      </c>
      <c r="E1858" s="178">
        <v>-53</v>
      </c>
      <c r="F1858" s="176">
        <v>-7.77</v>
      </c>
      <c r="G1858" t="s">
        <v>6750</v>
      </c>
      <c r="H1858">
        <v>4131</v>
      </c>
      <c r="I1858">
        <v>1334</v>
      </c>
      <c r="J1858">
        <v>7.14</v>
      </c>
      <c r="K1858">
        <v>694</v>
      </c>
      <c r="L1858">
        <v>614</v>
      </c>
      <c r="M1858" s="175">
        <v>5.8</v>
      </c>
      <c r="N1858" t="s">
        <v>2607</v>
      </c>
    </row>
    <row r="1859" spans="1:14">
      <c r="A1859">
        <v>6585</v>
      </c>
      <c r="B1859" t="s">
        <v>2115</v>
      </c>
      <c r="C1859">
        <v>113.5</v>
      </c>
      <c r="D1859">
        <v>112.5</v>
      </c>
      <c r="E1859" s="178">
        <v>-2</v>
      </c>
      <c r="F1859" s="176">
        <v>-1.75</v>
      </c>
      <c r="G1859" t="s">
        <v>6751</v>
      </c>
      <c r="H1859">
        <v>82</v>
      </c>
      <c r="I1859">
        <v>134</v>
      </c>
      <c r="J1859">
        <v>7.24</v>
      </c>
      <c r="K1859">
        <v>114.5</v>
      </c>
      <c r="L1859">
        <v>112.5</v>
      </c>
      <c r="M1859" s="175">
        <v>0.11</v>
      </c>
      <c r="N1859" t="s">
        <v>2116</v>
      </c>
    </row>
    <row r="1860" spans="1:14">
      <c r="A1860">
        <v>6588</v>
      </c>
      <c r="B1860" t="s">
        <v>1495</v>
      </c>
      <c r="C1860">
        <v>110</v>
      </c>
      <c r="D1860">
        <v>110.5</v>
      </c>
      <c r="E1860" s="178">
        <v>-1.5</v>
      </c>
      <c r="F1860" s="176">
        <v>-1.34</v>
      </c>
      <c r="G1860" t="s">
        <v>5544</v>
      </c>
      <c r="H1860">
        <v>2214</v>
      </c>
      <c r="I1860">
        <v>3577</v>
      </c>
      <c r="J1860">
        <v>3.47</v>
      </c>
      <c r="K1860">
        <v>114</v>
      </c>
      <c r="L1860">
        <v>105</v>
      </c>
      <c r="M1860" s="175">
        <v>6.38</v>
      </c>
      <c r="N1860" t="s">
        <v>2016</v>
      </c>
    </row>
    <row r="1861" spans="1:14">
      <c r="A1861">
        <v>6589</v>
      </c>
      <c r="B1861" t="s">
        <v>383</v>
      </c>
      <c r="C1861">
        <v>49.35</v>
      </c>
      <c r="D1861">
        <v>48.15</v>
      </c>
      <c r="E1861" s="178">
        <v>-1.7</v>
      </c>
      <c r="F1861" s="176">
        <v>-3.41</v>
      </c>
      <c r="G1861" t="s">
        <v>6752</v>
      </c>
      <c r="H1861">
        <v>807</v>
      </c>
      <c r="I1861">
        <v>435</v>
      </c>
      <c r="J1861">
        <v>30.34</v>
      </c>
      <c r="K1861">
        <v>49.85</v>
      </c>
      <c r="L1861">
        <v>48</v>
      </c>
      <c r="M1861" s="175">
        <v>0.32</v>
      </c>
      <c r="N1861" t="s">
        <v>1977</v>
      </c>
    </row>
    <row r="1862" spans="1:14">
      <c r="A1862">
        <v>6590</v>
      </c>
      <c r="B1862" t="s">
        <v>352</v>
      </c>
      <c r="C1862">
        <v>64.5</v>
      </c>
      <c r="D1862">
        <v>64</v>
      </c>
      <c r="E1862" s="178">
        <v>0</v>
      </c>
      <c r="F1862" s="176">
        <v>0</v>
      </c>
      <c r="G1862" t="s">
        <v>5328</v>
      </c>
      <c r="H1862">
        <v>6</v>
      </c>
      <c r="I1862">
        <v>10</v>
      </c>
      <c r="J1862">
        <v>2.5</v>
      </c>
      <c r="K1862">
        <v>64.5</v>
      </c>
      <c r="L1862">
        <v>64</v>
      </c>
      <c r="M1862" s="175">
        <v>0.02</v>
      </c>
      <c r="N1862" t="s">
        <v>1978</v>
      </c>
    </row>
    <row r="1863" spans="1:14">
      <c r="A1863">
        <v>6591</v>
      </c>
      <c r="B1863" t="s">
        <v>185</v>
      </c>
      <c r="C1863">
        <v>42.6</v>
      </c>
      <c r="D1863">
        <v>42.7</v>
      </c>
      <c r="E1863" s="178">
        <v>-0.05</v>
      </c>
      <c r="F1863" s="176">
        <v>-0.12</v>
      </c>
      <c r="G1863" t="s">
        <v>5458</v>
      </c>
      <c r="H1863">
        <v>85</v>
      </c>
      <c r="I1863">
        <v>83</v>
      </c>
      <c r="J1863">
        <v>4.1100000000000003</v>
      </c>
      <c r="K1863">
        <v>42.9</v>
      </c>
      <c r="L1863">
        <v>42.2</v>
      </c>
      <c r="M1863" s="175">
        <v>0.21</v>
      </c>
      <c r="N1863" t="s">
        <v>1979</v>
      </c>
    </row>
    <row r="1864" spans="1:14">
      <c r="A1864">
        <v>6592</v>
      </c>
      <c r="B1864" t="s">
        <v>1496</v>
      </c>
      <c r="C1864">
        <v>60.8</v>
      </c>
      <c r="D1864">
        <v>60.2</v>
      </c>
      <c r="E1864" s="178">
        <v>-0.3</v>
      </c>
      <c r="F1864" s="176">
        <v>-0.5</v>
      </c>
      <c r="G1864" t="s">
        <v>6753</v>
      </c>
      <c r="H1864">
        <v>712</v>
      </c>
      <c r="I1864">
        <v>398</v>
      </c>
      <c r="J1864">
        <v>64.180000000000007</v>
      </c>
      <c r="K1864">
        <v>60.8</v>
      </c>
      <c r="L1864">
        <v>59.8</v>
      </c>
      <c r="M1864" s="175">
        <v>0.11</v>
      </c>
      <c r="N1864" t="s">
        <v>1980</v>
      </c>
    </row>
    <row r="1865" spans="1:14">
      <c r="A1865">
        <v>6593</v>
      </c>
      <c r="B1865" t="s">
        <v>1497</v>
      </c>
      <c r="C1865">
        <v>32.35</v>
      </c>
      <c r="D1865">
        <v>32.85</v>
      </c>
      <c r="E1865" s="178">
        <v>0.55000000000000004</v>
      </c>
      <c r="F1865" s="176">
        <v>1.7</v>
      </c>
      <c r="G1865" t="s">
        <v>6754</v>
      </c>
      <c r="H1865">
        <v>24</v>
      </c>
      <c r="I1865">
        <v>21</v>
      </c>
      <c r="J1865">
        <v>3.19</v>
      </c>
      <c r="K1865">
        <v>32.85</v>
      </c>
      <c r="L1865">
        <v>32.35</v>
      </c>
      <c r="M1865" s="175">
        <v>0.08</v>
      </c>
      <c r="N1865" t="s">
        <v>1981</v>
      </c>
    </row>
    <row r="1866" spans="1:14">
      <c r="A1866">
        <v>6596</v>
      </c>
      <c r="B1866" t="s">
        <v>361</v>
      </c>
      <c r="C1866">
        <v>96.4</v>
      </c>
      <c r="D1866">
        <v>96.3</v>
      </c>
      <c r="E1866" s="178">
        <v>-0.1</v>
      </c>
      <c r="F1866" s="176">
        <v>-0.1</v>
      </c>
      <c r="G1866" t="s">
        <v>5595</v>
      </c>
      <c r="H1866">
        <v>85</v>
      </c>
      <c r="I1866">
        <v>95</v>
      </c>
      <c r="J1866">
        <v>3.8</v>
      </c>
      <c r="K1866">
        <v>97.1</v>
      </c>
      <c r="L1866">
        <v>96.3</v>
      </c>
      <c r="M1866" s="175">
        <v>0.22</v>
      </c>
      <c r="N1866" t="s">
        <v>1982</v>
      </c>
    </row>
    <row r="1867" spans="1:14">
      <c r="A1867">
        <v>6597</v>
      </c>
      <c r="B1867" t="s">
        <v>4507</v>
      </c>
      <c r="C1867">
        <v>72</v>
      </c>
      <c r="D1867">
        <v>75.900000000000006</v>
      </c>
      <c r="E1867" s="178">
        <v>2.2999999999999998</v>
      </c>
      <c r="F1867" s="176">
        <v>3.13</v>
      </c>
      <c r="G1867" t="s">
        <v>5491</v>
      </c>
      <c r="H1867">
        <v>26</v>
      </c>
      <c r="I1867">
        <v>3</v>
      </c>
      <c r="J1867">
        <v>3</v>
      </c>
      <c r="K1867">
        <v>76</v>
      </c>
      <c r="L1867">
        <v>72</v>
      </c>
      <c r="M1867" s="175">
        <v>0.09</v>
      </c>
      <c r="N1867" t="s">
        <v>4508</v>
      </c>
    </row>
    <row r="1868" spans="1:14">
      <c r="A1868">
        <v>6598</v>
      </c>
      <c r="B1868" t="s">
        <v>1498</v>
      </c>
      <c r="C1868">
        <v>28.35</v>
      </c>
      <c r="D1868">
        <v>28.55</v>
      </c>
      <c r="E1868" s="178">
        <v>-0.2</v>
      </c>
      <c r="F1868" s="176">
        <v>-0.7</v>
      </c>
      <c r="G1868" t="s">
        <v>6755</v>
      </c>
      <c r="H1868">
        <v>167</v>
      </c>
      <c r="I1868">
        <v>179</v>
      </c>
      <c r="J1868">
        <v>10.28</v>
      </c>
      <c r="K1868">
        <v>28.75</v>
      </c>
      <c r="L1868">
        <v>28</v>
      </c>
      <c r="M1868" s="175">
        <v>0.16</v>
      </c>
      <c r="N1868" t="s">
        <v>4225</v>
      </c>
    </row>
    <row r="1869" spans="1:14">
      <c r="A1869">
        <v>6603</v>
      </c>
      <c r="B1869" t="s">
        <v>310</v>
      </c>
      <c r="C1869">
        <v>25.9</v>
      </c>
      <c r="D1869">
        <v>25.4</v>
      </c>
      <c r="E1869" s="178">
        <v>-0.9</v>
      </c>
      <c r="F1869" s="176">
        <v>-3.42</v>
      </c>
      <c r="G1869" t="s">
        <v>6756</v>
      </c>
      <c r="H1869">
        <v>1029</v>
      </c>
      <c r="I1869">
        <v>1220</v>
      </c>
      <c r="J1869">
        <v>16.739999999999998</v>
      </c>
      <c r="K1869">
        <v>25.95</v>
      </c>
      <c r="L1869">
        <v>25.2</v>
      </c>
      <c r="M1869" s="175">
        <v>0.61</v>
      </c>
      <c r="N1869" t="s">
        <v>3731</v>
      </c>
    </row>
    <row r="1870" spans="1:14">
      <c r="A1870">
        <v>6605</v>
      </c>
      <c r="B1870" t="s">
        <v>1499</v>
      </c>
      <c r="C1870">
        <v>138.5</v>
      </c>
      <c r="D1870">
        <v>138.5</v>
      </c>
      <c r="E1870" s="178">
        <v>-0.5</v>
      </c>
      <c r="F1870" s="176">
        <v>-0.36</v>
      </c>
      <c r="G1870" t="s">
        <v>6757</v>
      </c>
      <c r="H1870">
        <v>214</v>
      </c>
      <c r="I1870">
        <v>299</v>
      </c>
      <c r="J1870">
        <v>16.579999999999998</v>
      </c>
      <c r="K1870">
        <v>139.5</v>
      </c>
      <c r="L1870">
        <v>137.5</v>
      </c>
      <c r="M1870" s="175">
        <v>0.13</v>
      </c>
      <c r="N1870" t="s">
        <v>4458</v>
      </c>
    </row>
    <row r="1871" spans="1:14">
      <c r="A1871">
        <v>6606</v>
      </c>
      <c r="B1871" t="s">
        <v>2608</v>
      </c>
      <c r="C1871">
        <v>26.1</v>
      </c>
      <c r="D1871">
        <v>25.7</v>
      </c>
      <c r="E1871" s="178">
        <v>-0.4</v>
      </c>
      <c r="F1871" s="176">
        <v>-1.53</v>
      </c>
      <c r="G1871" t="s">
        <v>5442</v>
      </c>
      <c r="H1871">
        <v>83</v>
      </c>
      <c r="I1871">
        <v>67</v>
      </c>
      <c r="J1871">
        <v>11.03</v>
      </c>
      <c r="K1871">
        <v>26.1</v>
      </c>
      <c r="L1871">
        <v>25.35</v>
      </c>
      <c r="M1871" s="175">
        <v>0.08</v>
      </c>
      <c r="N1871" t="s">
        <v>3732</v>
      </c>
    </row>
    <row r="1872" spans="1:14">
      <c r="A1872">
        <v>6609</v>
      </c>
      <c r="B1872" t="s">
        <v>311</v>
      </c>
      <c r="C1872">
        <v>39.15</v>
      </c>
      <c r="D1872">
        <v>39.6</v>
      </c>
      <c r="E1872" s="178">
        <v>-0.25</v>
      </c>
      <c r="F1872" s="176">
        <v>-0.63</v>
      </c>
      <c r="G1872" t="s">
        <v>5495</v>
      </c>
      <c r="H1872">
        <v>79</v>
      </c>
      <c r="I1872">
        <v>91</v>
      </c>
      <c r="J1872">
        <v>7.25</v>
      </c>
      <c r="K1872">
        <v>39.950000000000003</v>
      </c>
      <c r="L1872">
        <v>39.15</v>
      </c>
      <c r="M1872" s="175">
        <v>0.11</v>
      </c>
      <c r="N1872" t="s">
        <v>1983</v>
      </c>
    </row>
    <row r="1873" spans="1:14">
      <c r="A1873">
        <v>6612</v>
      </c>
      <c r="B1873" t="s">
        <v>324</v>
      </c>
      <c r="C1873">
        <v>72.8</v>
      </c>
      <c r="D1873">
        <v>71.5</v>
      </c>
      <c r="E1873" s="178">
        <v>0.7</v>
      </c>
      <c r="F1873" s="176">
        <v>0.99</v>
      </c>
      <c r="G1873" t="s">
        <v>6612</v>
      </c>
      <c r="H1873">
        <v>29</v>
      </c>
      <c r="I1873">
        <v>44</v>
      </c>
      <c r="J1873">
        <v>5.23</v>
      </c>
      <c r="K1873">
        <v>72.8</v>
      </c>
      <c r="L1873">
        <v>71.2</v>
      </c>
      <c r="M1873" s="175">
        <v>0.06</v>
      </c>
      <c r="N1873" t="s">
        <v>1984</v>
      </c>
    </row>
    <row r="1874" spans="1:14">
      <c r="A1874">
        <v>6613</v>
      </c>
      <c r="B1874" t="s">
        <v>2150</v>
      </c>
      <c r="C1874">
        <v>280.5</v>
      </c>
      <c r="D1874">
        <v>278.5</v>
      </c>
      <c r="E1874" s="178">
        <v>3</v>
      </c>
      <c r="F1874" s="176">
        <v>1.0900000000000001</v>
      </c>
      <c r="G1874" t="s">
        <v>5649</v>
      </c>
      <c r="H1874">
        <v>2533</v>
      </c>
      <c r="I1874">
        <v>485</v>
      </c>
      <c r="J1874">
        <v>3.89</v>
      </c>
      <c r="K1874">
        <v>289.5</v>
      </c>
      <c r="L1874">
        <v>271.5</v>
      </c>
      <c r="M1874" s="175">
        <v>3.26</v>
      </c>
      <c r="N1874" t="s">
        <v>5014</v>
      </c>
    </row>
    <row r="1875" spans="1:14">
      <c r="A1875">
        <v>6614</v>
      </c>
      <c r="B1875" t="s">
        <v>4730</v>
      </c>
      <c r="C1875">
        <v>35.799999999999997</v>
      </c>
      <c r="D1875">
        <v>35.9</v>
      </c>
      <c r="E1875" s="178">
        <v>0</v>
      </c>
      <c r="F1875" s="176">
        <v>0</v>
      </c>
      <c r="G1875" t="s">
        <v>6758</v>
      </c>
      <c r="H1875">
        <v>20</v>
      </c>
      <c r="I1875">
        <v>25</v>
      </c>
      <c r="J1875">
        <v>8.07</v>
      </c>
      <c r="K1875">
        <v>35.950000000000003</v>
      </c>
      <c r="L1875">
        <v>35.6</v>
      </c>
      <c r="M1875" s="175">
        <v>0.02</v>
      </c>
      <c r="N1875" t="s">
        <v>4731</v>
      </c>
    </row>
    <row r="1876" spans="1:14">
      <c r="A1876">
        <v>6615</v>
      </c>
      <c r="B1876" t="s">
        <v>369</v>
      </c>
      <c r="C1876">
        <v>34.5</v>
      </c>
      <c r="D1876">
        <v>34.450000000000003</v>
      </c>
      <c r="E1876" s="178">
        <v>-0.05</v>
      </c>
      <c r="F1876" s="176">
        <v>-0.14000000000000001</v>
      </c>
      <c r="G1876" t="s">
        <v>6759</v>
      </c>
      <c r="H1876">
        <v>4</v>
      </c>
      <c r="I1876">
        <v>11</v>
      </c>
      <c r="J1876">
        <v>2.16</v>
      </c>
      <c r="K1876">
        <v>34.5</v>
      </c>
      <c r="L1876">
        <v>34.450000000000003</v>
      </c>
      <c r="M1876" s="175">
        <v>0.02</v>
      </c>
      <c r="N1876" t="s">
        <v>2092</v>
      </c>
    </row>
    <row r="1877" spans="1:14">
      <c r="A1877">
        <v>6616</v>
      </c>
      <c r="B1877" t="s">
        <v>371</v>
      </c>
      <c r="C1877">
        <v>8.0500000000000007</v>
      </c>
      <c r="D1877">
        <v>8.14</v>
      </c>
      <c r="E1877" s="178">
        <v>0</v>
      </c>
      <c r="F1877" s="176">
        <v>0</v>
      </c>
      <c r="G1877" t="s">
        <v>6760</v>
      </c>
      <c r="H1877">
        <v>54</v>
      </c>
      <c r="I1877">
        <v>18</v>
      </c>
      <c r="J1877">
        <v>3.54</v>
      </c>
      <c r="K1877">
        <v>8.15</v>
      </c>
      <c r="L1877">
        <v>7.85</v>
      </c>
      <c r="M1877" s="175">
        <v>0.15</v>
      </c>
      <c r="N1877" t="s">
        <v>1985</v>
      </c>
    </row>
    <row r="1878" spans="1:14">
      <c r="A1878">
        <v>6617</v>
      </c>
      <c r="B1878" t="s">
        <v>3927</v>
      </c>
      <c r="C1878">
        <v>123</v>
      </c>
      <c r="D1878">
        <v>120.5</v>
      </c>
      <c r="E1878" s="178">
        <v>-2</v>
      </c>
      <c r="F1878" s="176">
        <v>-1.63</v>
      </c>
      <c r="G1878" t="s">
        <v>6761</v>
      </c>
      <c r="H1878">
        <v>737</v>
      </c>
      <c r="I1878">
        <v>1757</v>
      </c>
      <c r="J1878">
        <v>12.75</v>
      </c>
      <c r="K1878">
        <v>123</v>
      </c>
      <c r="L1878">
        <v>118.5</v>
      </c>
      <c r="M1878" s="175">
        <v>0.57999999999999996</v>
      </c>
      <c r="N1878" t="s">
        <v>3928</v>
      </c>
    </row>
    <row r="1879" spans="1:14">
      <c r="A1879">
        <v>6620</v>
      </c>
      <c r="B1879" t="s">
        <v>4773</v>
      </c>
      <c r="C1879">
        <v>92.9</v>
      </c>
      <c r="D1879">
        <v>92.9</v>
      </c>
      <c r="E1879" s="178">
        <v>8.4</v>
      </c>
      <c r="F1879" s="176">
        <v>9.94</v>
      </c>
      <c r="G1879" t="s">
        <v>6762</v>
      </c>
      <c r="H1879">
        <v>650</v>
      </c>
      <c r="I1879">
        <v>425</v>
      </c>
      <c r="J1879">
        <v>16.600000000000001</v>
      </c>
      <c r="K1879">
        <v>92.9</v>
      </c>
      <c r="L1879">
        <v>92.9</v>
      </c>
      <c r="M1879" s="175">
        <v>0.38</v>
      </c>
      <c r="N1879" t="s">
        <v>4774</v>
      </c>
    </row>
    <row r="1880" spans="1:14">
      <c r="A1880">
        <v>6624</v>
      </c>
      <c r="B1880" t="s">
        <v>1500</v>
      </c>
      <c r="C1880" t="s">
        <v>1667</v>
      </c>
      <c r="D1880" t="s">
        <v>1667</v>
      </c>
      <c r="E1880" s="178" t="s">
        <v>1667</v>
      </c>
      <c r="F1880" s="176" t="s">
        <v>1667</v>
      </c>
      <c r="G1880" t="s">
        <v>1667</v>
      </c>
      <c r="H1880">
        <v>0</v>
      </c>
      <c r="I1880">
        <v>2</v>
      </c>
      <c r="J1880">
        <v>2.2599999999999998</v>
      </c>
      <c r="K1880" t="s">
        <v>1667</v>
      </c>
      <c r="L1880" t="s">
        <v>1667</v>
      </c>
      <c r="M1880" s="175">
        <v>0</v>
      </c>
      <c r="N1880" t="s">
        <v>1986</v>
      </c>
    </row>
    <row r="1881" spans="1:14">
      <c r="A1881">
        <v>6625</v>
      </c>
      <c r="B1881" t="s">
        <v>318</v>
      </c>
      <c r="C1881">
        <v>76.5</v>
      </c>
      <c r="D1881">
        <v>76.599999999999994</v>
      </c>
      <c r="E1881" s="178">
        <v>-0.4</v>
      </c>
      <c r="F1881" s="176">
        <v>-0.52</v>
      </c>
      <c r="G1881" t="s">
        <v>6755</v>
      </c>
      <c r="H1881">
        <v>62</v>
      </c>
      <c r="I1881">
        <v>86</v>
      </c>
      <c r="J1881">
        <v>5.8</v>
      </c>
      <c r="K1881">
        <v>76.900000000000006</v>
      </c>
      <c r="L1881">
        <v>76.3</v>
      </c>
      <c r="M1881" s="175">
        <v>0.11</v>
      </c>
      <c r="N1881" t="s">
        <v>1987</v>
      </c>
    </row>
    <row r="1882" spans="1:14">
      <c r="A1882">
        <v>6629</v>
      </c>
      <c r="B1882" t="s">
        <v>1501</v>
      </c>
      <c r="C1882">
        <v>107</v>
      </c>
      <c r="D1882">
        <v>108.5</v>
      </c>
      <c r="E1882" s="178">
        <v>0</v>
      </c>
      <c r="F1882" s="176">
        <v>0</v>
      </c>
      <c r="G1882" t="s">
        <v>6763</v>
      </c>
      <c r="H1882">
        <v>5</v>
      </c>
      <c r="I1882">
        <v>22</v>
      </c>
      <c r="J1882">
        <v>3.84</v>
      </c>
      <c r="K1882">
        <v>108.5</v>
      </c>
      <c r="L1882">
        <v>107</v>
      </c>
      <c r="M1882" s="175">
        <v>0.01</v>
      </c>
      <c r="N1882" t="s">
        <v>1988</v>
      </c>
    </row>
    <row r="1883" spans="1:14">
      <c r="A1883">
        <v>6637</v>
      </c>
      <c r="B1883" t="s">
        <v>3929</v>
      </c>
      <c r="C1883">
        <v>57.2</v>
      </c>
      <c r="D1883">
        <v>56.1</v>
      </c>
      <c r="E1883" s="178">
        <v>-1.1000000000000001</v>
      </c>
      <c r="F1883" s="176">
        <v>-1.92</v>
      </c>
      <c r="G1883" t="s">
        <v>5474</v>
      </c>
      <c r="H1883">
        <v>50</v>
      </c>
      <c r="I1883">
        <v>86</v>
      </c>
      <c r="J1883">
        <v>2.68</v>
      </c>
      <c r="K1883">
        <v>57.2</v>
      </c>
      <c r="L1883">
        <v>56</v>
      </c>
      <c r="M1883" s="175">
        <v>0.19</v>
      </c>
      <c r="N1883" t="s">
        <v>4429</v>
      </c>
    </row>
    <row r="1884" spans="1:14">
      <c r="A1884">
        <v>6640</v>
      </c>
      <c r="B1884" t="s">
        <v>1502</v>
      </c>
      <c r="C1884">
        <v>1030</v>
      </c>
      <c r="D1884">
        <v>1140</v>
      </c>
      <c r="E1884" s="178">
        <v>80</v>
      </c>
      <c r="F1884" s="176">
        <v>7.55</v>
      </c>
      <c r="G1884" t="s">
        <v>6764</v>
      </c>
      <c r="H1884">
        <v>617</v>
      </c>
      <c r="I1884">
        <v>279</v>
      </c>
      <c r="J1884">
        <v>2.89</v>
      </c>
      <c r="K1884">
        <v>1165</v>
      </c>
      <c r="L1884">
        <v>1030</v>
      </c>
      <c r="M1884" s="175">
        <v>2.13</v>
      </c>
      <c r="N1884" t="s">
        <v>5015</v>
      </c>
    </row>
    <row r="1885" spans="1:14">
      <c r="A1885">
        <v>6641</v>
      </c>
      <c r="B1885" t="s">
        <v>1503</v>
      </c>
      <c r="C1885">
        <v>17.7</v>
      </c>
      <c r="D1885">
        <v>17.399999999999999</v>
      </c>
      <c r="E1885" s="178">
        <v>-0.3</v>
      </c>
      <c r="F1885" s="176">
        <v>-1.69</v>
      </c>
      <c r="G1885" t="s">
        <v>6765</v>
      </c>
      <c r="H1885">
        <v>19</v>
      </c>
      <c r="I1885">
        <v>17</v>
      </c>
      <c r="J1885">
        <v>3.65</v>
      </c>
      <c r="K1885">
        <v>17.7</v>
      </c>
      <c r="L1885">
        <v>17.3</v>
      </c>
      <c r="M1885" s="175">
        <v>0.05</v>
      </c>
      <c r="N1885" t="s">
        <v>1989</v>
      </c>
    </row>
    <row r="1886" spans="1:14">
      <c r="A1886">
        <v>6642</v>
      </c>
      <c r="B1886" t="s">
        <v>1504</v>
      </c>
      <c r="C1886">
        <v>83.3</v>
      </c>
      <c r="D1886">
        <v>80.599999999999994</v>
      </c>
      <c r="E1886" s="178">
        <v>-2.1</v>
      </c>
      <c r="F1886" s="176">
        <v>-2.54</v>
      </c>
      <c r="G1886" t="s">
        <v>6766</v>
      </c>
      <c r="H1886">
        <v>159</v>
      </c>
      <c r="I1886">
        <v>198</v>
      </c>
      <c r="J1886">
        <v>3.74</v>
      </c>
      <c r="K1886">
        <v>83.3</v>
      </c>
      <c r="L1886">
        <v>80.099999999999994</v>
      </c>
      <c r="M1886" s="175">
        <v>0.43</v>
      </c>
      <c r="N1886" t="s">
        <v>3292</v>
      </c>
    </row>
    <row r="1887" spans="1:14">
      <c r="A1887">
        <v>6643</v>
      </c>
      <c r="B1887" t="s">
        <v>350</v>
      </c>
      <c r="C1887">
        <v>428</v>
      </c>
      <c r="D1887">
        <v>411.5</v>
      </c>
      <c r="E1887" s="178">
        <v>-25.5</v>
      </c>
      <c r="F1887" s="176">
        <v>-5.84</v>
      </c>
      <c r="G1887" t="s">
        <v>6767</v>
      </c>
      <c r="H1887">
        <v>1217</v>
      </c>
      <c r="I1887">
        <v>258</v>
      </c>
      <c r="J1887">
        <v>4.26</v>
      </c>
      <c r="K1887">
        <v>432</v>
      </c>
      <c r="L1887">
        <v>411.5</v>
      </c>
      <c r="M1887" s="175">
        <v>2.89</v>
      </c>
      <c r="N1887" t="s">
        <v>1990</v>
      </c>
    </row>
    <row r="1888" spans="1:14">
      <c r="A1888">
        <v>6649</v>
      </c>
      <c r="B1888" t="s">
        <v>1505</v>
      </c>
      <c r="C1888">
        <v>34.4</v>
      </c>
      <c r="D1888">
        <v>34.9</v>
      </c>
      <c r="E1888" s="178">
        <v>-0.2</v>
      </c>
      <c r="F1888" s="176">
        <v>-0.56999999999999995</v>
      </c>
      <c r="G1888" t="s">
        <v>6768</v>
      </c>
      <c r="H1888">
        <v>20</v>
      </c>
      <c r="I1888">
        <v>17</v>
      </c>
      <c r="J1888">
        <v>4.2</v>
      </c>
      <c r="K1888">
        <v>35.049999999999997</v>
      </c>
      <c r="L1888">
        <v>34.4</v>
      </c>
      <c r="M1888" s="175">
        <v>0.05</v>
      </c>
      <c r="N1888" t="s">
        <v>1991</v>
      </c>
    </row>
    <row r="1889" spans="1:14">
      <c r="A1889">
        <v>6651</v>
      </c>
      <c r="B1889" t="s">
        <v>1992</v>
      </c>
      <c r="C1889">
        <v>148</v>
      </c>
      <c r="D1889">
        <v>148.5</v>
      </c>
      <c r="E1889" s="178">
        <v>-2</v>
      </c>
      <c r="F1889" s="176">
        <v>-1.33</v>
      </c>
      <c r="G1889" t="s">
        <v>6769</v>
      </c>
      <c r="H1889">
        <v>133</v>
      </c>
      <c r="I1889">
        <v>312</v>
      </c>
      <c r="J1889">
        <v>3.46</v>
      </c>
      <c r="K1889">
        <v>150.5</v>
      </c>
      <c r="L1889">
        <v>147</v>
      </c>
      <c r="M1889" s="175">
        <v>0.38</v>
      </c>
      <c r="N1889" t="s">
        <v>1993</v>
      </c>
    </row>
    <row r="1890" spans="1:14">
      <c r="A1890">
        <v>6654</v>
      </c>
      <c r="B1890" t="s">
        <v>330</v>
      </c>
      <c r="C1890">
        <v>177</v>
      </c>
      <c r="D1890">
        <v>194</v>
      </c>
      <c r="E1890" s="178">
        <v>17.5</v>
      </c>
      <c r="F1890" s="176">
        <v>9.92</v>
      </c>
      <c r="G1890" t="s">
        <v>6770</v>
      </c>
      <c r="H1890">
        <v>107</v>
      </c>
      <c r="I1890">
        <v>16</v>
      </c>
      <c r="J1890">
        <v>3.73</v>
      </c>
      <c r="K1890">
        <v>194</v>
      </c>
      <c r="L1890">
        <v>177</v>
      </c>
      <c r="M1890" s="175">
        <v>0.26</v>
      </c>
      <c r="N1890" t="s">
        <v>3079</v>
      </c>
    </row>
    <row r="1891" spans="1:14">
      <c r="A1891">
        <v>6655</v>
      </c>
      <c r="B1891" t="s">
        <v>365</v>
      </c>
      <c r="C1891">
        <v>114.5</v>
      </c>
      <c r="D1891">
        <v>116</v>
      </c>
      <c r="E1891" s="178">
        <v>0</v>
      </c>
      <c r="F1891" s="176">
        <v>0</v>
      </c>
      <c r="G1891" t="s">
        <v>5547</v>
      </c>
      <c r="H1891">
        <v>3</v>
      </c>
      <c r="I1891">
        <v>3</v>
      </c>
      <c r="J1891">
        <v>8.06</v>
      </c>
      <c r="K1891">
        <v>117</v>
      </c>
      <c r="L1891">
        <v>114.5</v>
      </c>
      <c r="M1891" s="175">
        <v>0</v>
      </c>
      <c r="N1891" t="s">
        <v>4749</v>
      </c>
    </row>
    <row r="1892" spans="1:14">
      <c r="A1892">
        <v>6657</v>
      </c>
      <c r="B1892" t="s">
        <v>2609</v>
      </c>
      <c r="C1892">
        <v>30.3</v>
      </c>
      <c r="D1892">
        <v>29.9</v>
      </c>
      <c r="E1892" s="178">
        <v>-0.4</v>
      </c>
      <c r="F1892" s="176">
        <v>-1.32</v>
      </c>
      <c r="G1892" t="s">
        <v>5402</v>
      </c>
      <c r="H1892">
        <v>81</v>
      </c>
      <c r="I1892">
        <v>66</v>
      </c>
      <c r="J1892">
        <v>8.8800000000000008</v>
      </c>
      <c r="K1892">
        <v>30.45</v>
      </c>
      <c r="L1892">
        <v>29.9</v>
      </c>
      <c r="M1892" s="175">
        <v>0.09</v>
      </c>
      <c r="N1892" t="s">
        <v>2610</v>
      </c>
    </row>
    <row r="1893" spans="1:14">
      <c r="A1893">
        <v>6658</v>
      </c>
      <c r="B1893" t="s">
        <v>3100</v>
      </c>
      <c r="C1893">
        <v>166.5</v>
      </c>
      <c r="D1893">
        <v>171.5</v>
      </c>
      <c r="E1893" s="178">
        <v>5</v>
      </c>
      <c r="F1893" s="176">
        <v>3</v>
      </c>
      <c r="G1893" t="s">
        <v>6771</v>
      </c>
      <c r="H1893">
        <v>409</v>
      </c>
      <c r="I1893">
        <v>261</v>
      </c>
      <c r="J1893">
        <v>3.84</v>
      </c>
      <c r="K1893">
        <v>173.5</v>
      </c>
      <c r="L1893">
        <v>166</v>
      </c>
      <c r="M1893" s="175">
        <v>1.1200000000000001</v>
      </c>
      <c r="N1893" t="s">
        <v>3101</v>
      </c>
    </row>
    <row r="1894" spans="1:14">
      <c r="A1894">
        <v>6661</v>
      </c>
      <c r="B1894" t="s">
        <v>1994</v>
      </c>
      <c r="C1894">
        <v>16.899999999999999</v>
      </c>
      <c r="D1894">
        <v>17.100000000000001</v>
      </c>
      <c r="E1894" s="178">
        <v>0.7</v>
      </c>
      <c r="F1894" s="176">
        <v>4.2699999999999996</v>
      </c>
      <c r="G1894" t="s">
        <v>6772</v>
      </c>
      <c r="H1894">
        <v>4</v>
      </c>
      <c r="I1894">
        <v>4</v>
      </c>
      <c r="J1894">
        <v>2.33</v>
      </c>
      <c r="K1894">
        <v>17.100000000000001</v>
      </c>
      <c r="L1894">
        <v>16.399999999999999</v>
      </c>
      <c r="M1894" s="175">
        <v>0.02</v>
      </c>
      <c r="N1894" t="s">
        <v>3293</v>
      </c>
    </row>
    <row r="1895" spans="1:14">
      <c r="A1895">
        <v>6662</v>
      </c>
      <c r="B1895" t="s">
        <v>1506</v>
      </c>
      <c r="C1895">
        <v>29.05</v>
      </c>
      <c r="D1895">
        <v>29.6</v>
      </c>
      <c r="E1895" s="178">
        <v>-0.15</v>
      </c>
      <c r="F1895" s="176">
        <v>-0.5</v>
      </c>
      <c r="G1895" t="s">
        <v>6773</v>
      </c>
      <c r="H1895">
        <v>5</v>
      </c>
      <c r="I1895">
        <v>1</v>
      </c>
      <c r="J1895">
        <v>2.56</v>
      </c>
      <c r="K1895">
        <v>29.6</v>
      </c>
      <c r="L1895">
        <v>29</v>
      </c>
      <c r="M1895" s="175">
        <v>0.02</v>
      </c>
      <c r="N1895" t="s">
        <v>1995</v>
      </c>
    </row>
    <row r="1896" spans="1:14">
      <c r="A1896">
        <v>6664</v>
      </c>
      <c r="B1896" t="s">
        <v>354</v>
      </c>
      <c r="C1896">
        <v>357</v>
      </c>
      <c r="D1896">
        <v>347.5</v>
      </c>
      <c r="E1896" s="178">
        <v>-12</v>
      </c>
      <c r="F1896" s="176">
        <v>-3.34</v>
      </c>
      <c r="G1896" t="s">
        <v>6658</v>
      </c>
      <c r="H1896">
        <v>428</v>
      </c>
      <c r="I1896">
        <v>729</v>
      </c>
      <c r="J1896">
        <v>6.12</v>
      </c>
      <c r="K1896">
        <v>357</v>
      </c>
      <c r="L1896">
        <v>342.5</v>
      </c>
      <c r="M1896" s="175">
        <v>0.7</v>
      </c>
      <c r="N1896" t="s">
        <v>4016</v>
      </c>
    </row>
    <row r="1897" spans="1:14">
      <c r="A1897">
        <v>6666</v>
      </c>
      <c r="B1897" t="s">
        <v>340</v>
      </c>
      <c r="C1897">
        <v>44.45</v>
      </c>
      <c r="D1897">
        <v>44.4</v>
      </c>
      <c r="E1897" s="178">
        <v>0.3</v>
      </c>
      <c r="F1897" s="176">
        <v>0.68</v>
      </c>
      <c r="G1897" t="s">
        <v>6774</v>
      </c>
      <c r="H1897">
        <v>17</v>
      </c>
      <c r="I1897">
        <v>26</v>
      </c>
      <c r="J1897">
        <v>4.74</v>
      </c>
      <c r="K1897">
        <v>44.45</v>
      </c>
      <c r="L1897">
        <v>44</v>
      </c>
      <c r="M1897" s="175">
        <v>0.04</v>
      </c>
      <c r="N1897" t="s">
        <v>1996</v>
      </c>
    </row>
    <row r="1898" spans="1:14">
      <c r="A1898">
        <v>6667</v>
      </c>
      <c r="B1898" t="s">
        <v>367</v>
      </c>
      <c r="C1898">
        <v>226.5</v>
      </c>
      <c r="D1898">
        <v>217.5</v>
      </c>
      <c r="E1898" s="178">
        <v>-3.5</v>
      </c>
      <c r="F1898" s="176">
        <v>-1.58</v>
      </c>
      <c r="G1898" t="s">
        <v>6775</v>
      </c>
      <c r="H1898">
        <v>198</v>
      </c>
      <c r="I1898">
        <v>100</v>
      </c>
      <c r="J1898">
        <v>5.35</v>
      </c>
      <c r="K1898">
        <v>226.5</v>
      </c>
      <c r="L1898">
        <v>216</v>
      </c>
      <c r="M1898" s="175">
        <v>0.37</v>
      </c>
      <c r="N1898" t="s">
        <v>1997</v>
      </c>
    </row>
    <row r="1899" spans="1:14">
      <c r="A1899">
        <v>6668</v>
      </c>
      <c r="B1899" t="s">
        <v>327</v>
      </c>
      <c r="C1899">
        <v>43.75</v>
      </c>
      <c r="D1899">
        <v>44</v>
      </c>
      <c r="E1899" s="178">
        <v>-0.6</v>
      </c>
      <c r="F1899" s="176">
        <v>-1.35</v>
      </c>
      <c r="G1899" t="s">
        <v>5269</v>
      </c>
      <c r="H1899">
        <v>3750</v>
      </c>
      <c r="I1899">
        <v>3457</v>
      </c>
      <c r="J1899">
        <v>10.71</v>
      </c>
      <c r="K1899">
        <v>45.8</v>
      </c>
      <c r="L1899">
        <v>42.7</v>
      </c>
      <c r="M1899" s="175">
        <v>4.7</v>
      </c>
      <c r="N1899" t="s">
        <v>4226</v>
      </c>
    </row>
    <row r="1900" spans="1:14">
      <c r="A1900">
        <v>6669</v>
      </c>
      <c r="B1900" t="s">
        <v>376</v>
      </c>
      <c r="C1900">
        <v>7100</v>
      </c>
      <c r="D1900">
        <v>7095</v>
      </c>
      <c r="E1900" s="178">
        <v>-105</v>
      </c>
      <c r="F1900" s="176">
        <v>-1.46</v>
      </c>
      <c r="G1900" t="s">
        <v>5423</v>
      </c>
      <c r="H1900">
        <v>1692</v>
      </c>
      <c r="I1900">
        <v>1492</v>
      </c>
      <c r="J1900">
        <v>18.75</v>
      </c>
      <c r="K1900">
        <v>7360</v>
      </c>
      <c r="L1900">
        <v>7035</v>
      </c>
      <c r="M1900" s="175">
        <v>0.91</v>
      </c>
      <c r="N1900" t="s">
        <v>1998</v>
      </c>
    </row>
    <row r="1901" spans="1:14">
      <c r="A1901">
        <v>6670</v>
      </c>
      <c r="B1901" t="s">
        <v>356</v>
      </c>
      <c r="C1901">
        <v>274.5</v>
      </c>
      <c r="D1901">
        <v>287.5</v>
      </c>
      <c r="E1901" s="178">
        <v>15</v>
      </c>
      <c r="F1901" s="176">
        <v>5.5</v>
      </c>
      <c r="G1901" t="s">
        <v>6776</v>
      </c>
      <c r="H1901">
        <v>582</v>
      </c>
      <c r="I1901">
        <v>238</v>
      </c>
      <c r="J1901">
        <v>13.94</v>
      </c>
      <c r="K1901">
        <v>288</v>
      </c>
      <c r="L1901">
        <v>272.5</v>
      </c>
      <c r="M1901" s="175">
        <v>0.42</v>
      </c>
      <c r="N1901" t="s">
        <v>1999</v>
      </c>
    </row>
    <row r="1902" spans="1:14">
      <c r="A1902">
        <v>6671</v>
      </c>
      <c r="B1902" t="s">
        <v>372</v>
      </c>
      <c r="C1902">
        <v>23.05</v>
      </c>
      <c r="D1902">
        <v>23</v>
      </c>
      <c r="E1902" s="178">
        <v>0</v>
      </c>
      <c r="F1902" s="176">
        <v>0</v>
      </c>
      <c r="G1902" t="s">
        <v>6777</v>
      </c>
      <c r="H1902">
        <v>5</v>
      </c>
      <c r="I1902">
        <v>45</v>
      </c>
      <c r="J1902">
        <v>6.08</v>
      </c>
      <c r="K1902">
        <v>23.05</v>
      </c>
      <c r="L1902">
        <v>23</v>
      </c>
      <c r="M1902" s="175">
        <v>0.01</v>
      </c>
      <c r="N1902" t="s">
        <v>2000</v>
      </c>
    </row>
    <row r="1903" spans="1:14">
      <c r="A1903">
        <v>6672</v>
      </c>
      <c r="B1903" t="s">
        <v>362</v>
      </c>
      <c r="C1903">
        <v>285</v>
      </c>
      <c r="D1903">
        <v>275</v>
      </c>
      <c r="E1903" s="178">
        <v>-14.5</v>
      </c>
      <c r="F1903" s="176">
        <v>-5.01</v>
      </c>
      <c r="G1903" t="s">
        <v>6778</v>
      </c>
      <c r="H1903">
        <v>3439</v>
      </c>
      <c r="I1903">
        <v>3245</v>
      </c>
      <c r="J1903">
        <v>8.2200000000000006</v>
      </c>
      <c r="K1903">
        <v>291.5</v>
      </c>
      <c r="L1903">
        <v>273</v>
      </c>
      <c r="M1903" s="175">
        <v>4.21</v>
      </c>
      <c r="N1903" t="s">
        <v>2001</v>
      </c>
    </row>
    <row r="1904" spans="1:14">
      <c r="A1904">
        <v>6674</v>
      </c>
      <c r="B1904" t="s">
        <v>349</v>
      </c>
      <c r="C1904">
        <v>16.05</v>
      </c>
      <c r="D1904">
        <v>15.8</v>
      </c>
      <c r="E1904" s="178">
        <v>-0.2</v>
      </c>
      <c r="F1904" s="176">
        <v>-1.25</v>
      </c>
      <c r="G1904" t="s">
        <v>6779</v>
      </c>
      <c r="H1904">
        <v>29</v>
      </c>
      <c r="I1904">
        <v>83</v>
      </c>
      <c r="J1904">
        <v>6.82</v>
      </c>
      <c r="K1904">
        <v>16.05</v>
      </c>
      <c r="L1904">
        <v>15.65</v>
      </c>
      <c r="M1904" s="175">
        <v>0.04</v>
      </c>
      <c r="N1904" t="s">
        <v>2002</v>
      </c>
    </row>
    <row r="1905" spans="1:14">
      <c r="A1905">
        <v>6679</v>
      </c>
      <c r="B1905" t="s">
        <v>363</v>
      </c>
      <c r="C1905">
        <v>206</v>
      </c>
      <c r="D1905">
        <v>200.5</v>
      </c>
      <c r="E1905" s="178">
        <v>-4.5</v>
      </c>
      <c r="F1905" s="176">
        <v>-2.2000000000000002</v>
      </c>
      <c r="G1905" t="s">
        <v>6780</v>
      </c>
      <c r="H1905">
        <v>200</v>
      </c>
      <c r="I1905">
        <v>182</v>
      </c>
      <c r="J1905">
        <v>5.5</v>
      </c>
      <c r="K1905">
        <v>207.5</v>
      </c>
      <c r="L1905">
        <v>200</v>
      </c>
      <c r="M1905" s="175">
        <v>0.36</v>
      </c>
      <c r="N1905" t="s">
        <v>2003</v>
      </c>
    </row>
    <row r="1906" spans="1:14">
      <c r="A1906">
        <v>6680</v>
      </c>
      <c r="B1906" t="s">
        <v>1507</v>
      </c>
      <c r="C1906">
        <v>51.9</v>
      </c>
      <c r="D1906">
        <v>52</v>
      </c>
      <c r="E1906" s="178">
        <v>2</v>
      </c>
      <c r="F1906" s="176">
        <v>4</v>
      </c>
      <c r="G1906" t="s">
        <v>5521</v>
      </c>
      <c r="H1906">
        <v>5</v>
      </c>
      <c r="I1906">
        <v>3</v>
      </c>
      <c r="J1906">
        <v>2.5099999999999998</v>
      </c>
      <c r="K1906">
        <v>52</v>
      </c>
      <c r="L1906">
        <v>51.9</v>
      </c>
      <c r="M1906" s="175">
        <v>0.02</v>
      </c>
      <c r="N1906" t="s">
        <v>2059</v>
      </c>
    </row>
    <row r="1907" spans="1:14">
      <c r="A1907">
        <v>6683</v>
      </c>
      <c r="B1907" t="s">
        <v>72</v>
      </c>
      <c r="C1907">
        <v>1180</v>
      </c>
      <c r="D1907">
        <v>1210</v>
      </c>
      <c r="E1907" s="178">
        <v>10</v>
      </c>
      <c r="F1907" s="176">
        <v>0.83</v>
      </c>
      <c r="G1907" t="s">
        <v>6159</v>
      </c>
      <c r="H1907">
        <v>538</v>
      </c>
      <c r="I1907">
        <v>612</v>
      </c>
      <c r="J1907">
        <v>2.76</v>
      </c>
      <c r="K1907">
        <v>1225</v>
      </c>
      <c r="L1907">
        <v>1140</v>
      </c>
      <c r="M1907" s="175">
        <v>1.95</v>
      </c>
      <c r="N1907" t="s">
        <v>4108</v>
      </c>
    </row>
    <row r="1908" spans="1:14">
      <c r="A1908">
        <v>6684</v>
      </c>
      <c r="B1908" t="s">
        <v>2004</v>
      </c>
      <c r="C1908">
        <v>46.6</v>
      </c>
      <c r="D1908">
        <v>46.55</v>
      </c>
      <c r="E1908" s="178">
        <v>-0.75</v>
      </c>
      <c r="F1908" s="176">
        <v>-1.59</v>
      </c>
      <c r="G1908" t="s">
        <v>5413</v>
      </c>
      <c r="H1908">
        <v>39</v>
      </c>
      <c r="I1908">
        <v>65</v>
      </c>
      <c r="J1908">
        <v>4.46</v>
      </c>
      <c r="K1908">
        <v>46.6</v>
      </c>
      <c r="L1908">
        <v>46.3</v>
      </c>
      <c r="M1908" s="175">
        <v>0.09</v>
      </c>
      <c r="N1908" t="s">
        <v>2005</v>
      </c>
    </row>
    <row r="1909" spans="1:14">
      <c r="A1909">
        <v>6689</v>
      </c>
      <c r="B1909" t="s">
        <v>2160</v>
      </c>
      <c r="C1909">
        <v>62.3</v>
      </c>
      <c r="D1909">
        <v>61.8</v>
      </c>
      <c r="E1909" s="178">
        <v>-0.5</v>
      </c>
      <c r="F1909" s="176">
        <v>-0.8</v>
      </c>
      <c r="G1909" t="s">
        <v>6781</v>
      </c>
      <c r="H1909">
        <v>96</v>
      </c>
      <c r="I1909">
        <v>90</v>
      </c>
      <c r="J1909">
        <v>6.8</v>
      </c>
      <c r="K1909">
        <v>62.9</v>
      </c>
      <c r="L1909">
        <v>61.7</v>
      </c>
      <c r="M1909" s="175">
        <v>0.14000000000000001</v>
      </c>
      <c r="N1909" t="s">
        <v>4227</v>
      </c>
    </row>
    <row r="1910" spans="1:14">
      <c r="A1910">
        <v>6690</v>
      </c>
      <c r="B1910" t="s">
        <v>1508</v>
      </c>
      <c r="C1910">
        <v>164.5</v>
      </c>
      <c r="D1910">
        <v>164.5</v>
      </c>
      <c r="E1910" s="178">
        <v>-0.5</v>
      </c>
      <c r="F1910" s="176">
        <v>-0.3</v>
      </c>
      <c r="G1910" t="s">
        <v>5994</v>
      </c>
      <c r="H1910">
        <v>16</v>
      </c>
      <c r="I1910">
        <v>35</v>
      </c>
      <c r="J1910">
        <v>3</v>
      </c>
      <c r="K1910">
        <v>165</v>
      </c>
      <c r="L1910">
        <v>164</v>
      </c>
      <c r="M1910" s="175">
        <v>0.05</v>
      </c>
      <c r="N1910" t="s">
        <v>2006</v>
      </c>
    </row>
    <row r="1911" spans="1:14">
      <c r="A1911">
        <v>6691</v>
      </c>
      <c r="B1911" t="s">
        <v>2063</v>
      </c>
      <c r="C1911">
        <v>618</v>
      </c>
      <c r="D1911">
        <v>615</v>
      </c>
      <c r="E1911" s="178">
        <v>-3</v>
      </c>
      <c r="F1911" s="176">
        <v>-0.49</v>
      </c>
      <c r="G1911" t="s">
        <v>5725</v>
      </c>
      <c r="H1911">
        <v>475</v>
      </c>
      <c r="I1911">
        <v>677</v>
      </c>
      <c r="J1911">
        <v>13.35</v>
      </c>
      <c r="K1911">
        <v>619</v>
      </c>
      <c r="L1911">
        <v>605</v>
      </c>
      <c r="M1911" s="175">
        <v>0.36</v>
      </c>
      <c r="N1911" t="s">
        <v>2253</v>
      </c>
    </row>
    <row r="1912" spans="1:14">
      <c r="A1912">
        <v>6692</v>
      </c>
      <c r="B1912" t="s">
        <v>3359</v>
      </c>
      <c r="C1912">
        <v>23.8</v>
      </c>
      <c r="D1912">
        <v>24.3</v>
      </c>
      <c r="E1912" s="178">
        <v>0</v>
      </c>
      <c r="F1912" s="176">
        <v>0</v>
      </c>
      <c r="G1912" t="s">
        <v>6782</v>
      </c>
      <c r="H1912">
        <v>7</v>
      </c>
      <c r="I1912">
        <v>13</v>
      </c>
      <c r="J1912">
        <v>5.88</v>
      </c>
      <c r="K1912">
        <v>24.3</v>
      </c>
      <c r="L1912">
        <v>23.7</v>
      </c>
      <c r="M1912" s="175">
        <v>0.01</v>
      </c>
      <c r="N1912" t="s">
        <v>3360</v>
      </c>
    </row>
    <row r="1913" spans="1:14">
      <c r="A1913">
        <v>6693</v>
      </c>
      <c r="B1913" t="s">
        <v>2076</v>
      </c>
      <c r="C1913">
        <v>175.5</v>
      </c>
      <c r="D1913">
        <v>176.5</v>
      </c>
      <c r="E1913" s="178">
        <v>-2</v>
      </c>
      <c r="F1913" s="176">
        <v>-1.1200000000000001</v>
      </c>
      <c r="G1913" t="s">
        <v>5586</v>
      </c>
      <c r="H1913">
        <v>938</v>
      </c>
      <c r="I1913">
        <v>829</v>
      </c>
      <c r="J1913">
        <v>4.57</v>
      </c>
      <c r="K1913">
        <v>179</v>
      </c>
      <c r="L1913">
        <v>170.5</v>
      </c>
      <c r="M1913" s="175">
        <v>2.0499999999999998</v>
      </c>
      <c r="N1913" t="s">
        <v>2077</v>
      </c>
    </row>
    <row r="1914" spans="1:14">
      <c r="A1914">
        <v>6695</v>
      </c>
      <c r="B1914" t="s">
        <v>2611</v>
      </c>
      <c r="C1914">
        <v>48.8</v>
      </c>
      <c r="D1914">
        <v>48.6</v>
      </c>
      <c r="E1914" s="178">
        <v>-0.6</v>
      </c>
      <c r="F1914" s="176">
        <v>-1.22</v>
      </c>
      <c r="G1914" t="s">
        <v>6783</v>
      </c>
      <c r="H1914">
        <v>382</v>
      </c>
      <c r="I1914">
        <v>349</v>
      </c>
      <c r="J1914">
        <v>10.7</v>
      </c>
      <c r="K1914">
        <v>49.25</v>
      </c>
      <c r="L1914">
        <v>48</v>
      </c>
      <c r="M1914" s="175">
        <v>0.44</v>
      </c>
      <c r="N1914" t="s">
        <v>2612</v>
      </c>
    </row>
    <row r="1915" spans="1:14">
      <c r="A1915">
        <v>6697</v>
      </c>
      <c r="B1915" t="s">
        <v>148</v>
      </c>
      <c r="C1915">
        <v>40.549999999999997</v>
      </c>
      <c r="D1915">
        <v>40.4</v>
      </c>
      <c r="E1915" s="178">
        <v>-0.2</v>
      </c>
      <c r="F1915" s="176">
        <v>-0.49</v>
      </c>
      <c r="G1915" t="s">
        <v>5361</v>
      </c>
      <c r="H1915">
        <v>20</v>
      </c>
      <c r="I1915">
        <v>17</v>
      </c>
      <c r="J1915">
        <v>2.73</v>
      </c>
      <c r="K1915">
        <v>41</v>
      </c>
      <c r="L1915">
        <v>40.35</v>
      </c>
      <c r="M1915" s="175">
        <v>7.0000000000000007E-2</v>
      </c>
      <c r="N1915" t="s">
        <v>2613</v>
      </c>
    </row>
    <row r="1916" spans="1:14">
      <c r="A1916">
        <v>6698</v>
      </c>
      <c r="B1916" t="s">
        <v>2614</v>
      </c>
      <c r="C1916">
        <v>32.1</v>
      </c>
      <c r="D1916">
        <v>32.049999999999997</v>
      </c>
      <c r="E1916" s="178">
        <v>-0.3</v>
      </c>
      <c r="F1916" s="176">
        <v>-0.93</v>
      </c>
      <c r="G1916" t="s">
        <v>5854</v>
      </c>
      <c r="H1916">
        <v>120</v>
      </c>
      <c r="I1916">
        <v>116</v>
      </c>
      <c r="J1916">
        <v>7.14</v>
      </c>
      <c r="K1916">
        <v>32.299999999999997</v>
      </c>
      <c r="L1916">
        <v>31.5</v>
      </c>
      <c r="M1916" s="175">
        <v>0.17</v>
      </c>
      <c r="N1916" t="s">
        <v>4386</v>
      </c>
    </row>
    <row r="1917" spans="1:14">
      <c r="A1917">
        <v>6703</v>
      </c>
      <c r="B1917" t="s">
        <v>2615</v>
      </c>
      <c r="C1917">
        <v>103</v>
      </c>
      <c r="D1917">
        <v>103</v>
      </c>
      <c r="E1917" s="178">
        <v>0</v>
      </c>
      <c r="F1917" s="176">
        <v>0</v>
      </c>
      <c r="G1917" t="s">
        <v>5192</v>
      </c>
      <c r="H1917">
        <v>17</v>
      </c>
      <c r="I1917">
        <v>28</v>
      </c>
      <c r="J1917">
        <v>3.66</v>
      </c>
      <c r="K1917">
        <v>103</v>
      </c>
      <c r="L1917">
        <v>102.5</v>
      </c>
      <c r="M1917" s="175">
        <v>0.05</v>
      </c>
      <c r="N1917" t="s">
        <v>2616</v>
      </c>
    </row>
    <row r="1918" spans="1:14">
      <c r="A1918">
        <v>6706</v>
      </c>
      <c r="B1918" t="s">
        <v>145</v>
      </c>
      <c r="C1918">
        <v>121</v>
      </c>
      <c r="D1918">
        <v>123</v>
      </c>
      <c r="E1918" s="178">
        <v>-1</v>
      </c>
      <c r="F1918" s="176">
        <v>-0.81</v>
      </c>
      <c r="G1918" t="s">
        <v>5197</v>
      </c>
      <c r="H1918">
        <v>948</v>
      </c>
      <c r="I1918">
        <v>1782</v>
      </c>
      <c r="J1918">
        <v>7.85</v>
      </c>
      <c r="K1918">
        <v>124.5</v>
      </c>
      <c r="L1918">
        <v>119</v>
      </c>
      <c r="M1918" s="175">
        <v>1.21</v>
      </c>
      <c r="N1918" t="s">
        <v>4228</v>
      </c>
    </row>
    <row r="1919" spans="1:14">
      <c r="A1919">
        <v>6708</v>
      </c>
      <c r="B1919" t="s">
        <v>2617</v>
      </c>
      <c r="C1919">
        <v>38.1</v>
      </c>
      <c r="D1919">
        <v>37.6</v>
      </c>
      <c r="E1919" s="178">
        <v>0.5</v>
      </c>
      <c r="F1919" s="176">
        <v>1.35</v>
      </c>
      <c r="G1919" t="s">
        <v>6784</v>
      </c>
      <c r="H1919">
        <v>23</v>
      </c>
      <c r="I1919">
        <v>23</v>
      </c>
      <c r="J1919">
        <v>2.9</v>
      </c>
      <c r="K1919">
        <v>38.1</v>
      </c>
      <c r="L1919">
        <v>36.549999999999997</v>
      </c>
      <c r="M1919" s="175">
        <v>0.08</v>
      </c>
      <c r="N1919" t="s">
        <v>2618</v>
      </c>
    </row>
    <row r="1920" spans="1:14">
      <c r="A1920">
        <v>6712</v>
      </c>
      <c r="B1920" t="s">
        <v>233</v>
      </c>
      <c r="C1920">
        <v>162</v>
      </c>
      <c r="D1920">
        <v>157</v>
      </c>
      <c r="E1920" s="178">
        <v>-4</v>
      </c>
      <c r="F1920" s="176">
        <v>-2.48</v>
      </c>
      <c r="G1920" t="s">
        <v>6785</v>
      </c>
      <c r="H1920">
        <v>334</v>
      </c>
      <c r="I1920">
        <v>629</v>
      </c>
      <c r="J1920">
        <v>10.050000000000001</v>
      </c>
      <c r="K1920">
        <v>162</v>
      </c>
      <c r="L1920">
        <v>157</v>
      </c>
      <c r="M1920" s="175">
        <v>0.33</v>
      </c>
      <c r="N1920" t="s">
        <v>2619</v>
      </c>
    </row>
    <row r="1921" spans="1:14">
      <c r="A1921">
        <v>6715</v>
      </c>
      <c r="B1921" t="s">
        <v>2620</v>
      </c>
      <c r="C1921">
        <v>353</v>
      </c>
      <c r="D1921">
        <v>318.5</v>
      </c>
      <c r="E1921" s="178">
        <v>-35</v>
      </c>
      <c r="F1921" s="176">
        <v>-9.9</v>
      </c>
      <c r="G1921" t="s">
        <v>5316</v>
      </c>
      <c r="H1921">
        <v>759</v>
      </c>
      <c r="I1921">
        <v>1079</v>
      </c>
      <c r="J1921">
        <v>7.43</v>
      </c>
      <c r="K1921">
        <v>353</v>
      </c>
      <c r="L1921">
        <v>318.5</v>
      </c>
      <c r="M1921" s="175">
        <v>1.02</v>
      </c>
      <c r="N1921" t="s">
        <v>2621</v>
      </c>
    </row>
    <row r="1922" spans="1:14">
      <c r="A1922">
        <v>6716</v>
      </c>
      <c r="B1922" t="s">
        <v>2622</v>
      </c>
      <c r="C1922">
        <v>127.5</v>
      </c>
      <c r="D1922">
        <v>124</v>
      </c>
      <c r="E1922" s="178">
        <v>-4</v>
      </c>
      <c r="F1922" s="176">
        <v>-3.13</v>
      </c>
      <c r="G1922" t="s">
        <v>6786</v>
      </c>
      <c r="H1922">
        <v>457</v>
      </c>
      <c r="I1922">
        <v>740</v>
      </c>
      <c r="J1922">
        <v>3.02</v>
      </c>
      <c r="K1922">
        <v>127.5</v>
      </c>
      <c r="L1922">
        <v>120</v>
      </c>
      <c r="M1922" s="175">
        <v>1.51</v>
      </c>
      <c r="N1922" t="s">
        <v>2623</v>
      </c>
    </row>
    <row r="1923" spans="1:14">
      <c r="A1923">
        <v>6719</v>
      </c>
      <c r="B1923" t="s">
        <v>2624</v>
      </c>
      <c r="C1923">
        <v>191</v>
      </c>
      <c r="D1923">
        <v>188</v>
      </c>
      <c r="E1923" s="178">
        <v>-6.5</v>
      </c>
      <c r="F1923" s="176">
        <v>-3.34</v>
      </c>
      <c r="G1923" t="s">
        <v>5202</v>
      </c>
      <c r="H1923">
        <v>738</v>
      </c>
      <c r="I1923">
        <v>583</v>
      </c>
      <c r="J1923">
        <v>10.55</v>
      </c>
      <c r="K1923">
        <v>192.5</v>
      </c>
      <c r="L1923">
        <v>187</v>
      </c>
      <c r="M1923" s="175">
        <v>0.87</v>
      </c>
      <c r="N1923" t="s">
        <v>2625</v>
      </c>
    </row>
    <row r="1924" spans="1:14">
      <c r="A1924">
        <v>6720</v>
      </c>
      <c r="B1924" t="s">
        <v>4135</v>
      </c>
      <c r="C1924">
        <v>133.5</v>
      </c>
      <c r="D1924">
        <v>132.5</v>
      </c>
      <c r="E1924" s="178">
        <v>-1</v>
      </c>
      <c r="F1924" s="176">
        <v>-0.75</v>
      </c>
      <c r="G1924" t="s">
        <v>5184</v>
      </c>
      <c r="H1924">
        <v>8</v>
      </c>
      <c r="I1924">
        <v>19</v>
      </c>
      <c r="J1924">
        <v>3.02</v>
      </c>
      <c r="K1924">
        <v>133.5</v>
      </c>
      <c r="L1924">
        <v>132</v>
      </c>
      <c r="M1924" s="175">
        <v>0.03</v>
      </c>
      <c r="N1924" t="s">
        <v>4136</v>
      </c>
    </row>
    <row r="1925" spans="1:14">
      <c r="A1925">
        <v>6721</v>
      </c>
      <c r="B1925" t="s">
        <v>2626</v>
      </c>
      <c r="C1925">
        <v>52.4</v>
      </c>
      <c r="D1925">
        <v>52</v>
      </c>
      <c r="E1925" s="178">
        <v>-0.4</v>
      </c>
      <c r="F1925" s="176">
        <v>-0.76</v>
      </c>
      <c r="G1925" t="s">
        <v>5521</v>
      </c>
      <c r="H1925">
        <v>5</v>
      </c>
      <c r="I1925">
        <v>6</v>
      </c>
      <c r="J1925">
        <v>2.4500000000000002</v>
      </c>
      <c r="K1925">
        <v>52.4</v>
      </c>
      <c r="L1925">
        <v>52</v>
      </c>
      <c r="M1925" s="175">
        <v>0.02</v>
      </c>
      <c r="N1925" t="s">
        <v>2627</v>
      </c>
    </row>
    <row r="1926" spans="1:14">
      <c r="A1926">
        <v>6722</v>
      </c>
      <c r="B1926" t="s">
        <v>4831</v>
      </c>
      <c r="C1926">
        <v>32.700000000000003</v>
      </c>
      <c r="D1926">
        <v>32.700000000000003</v>
      </c>
      <c r="E1926" s="178">
        <v>0</v>
      </c>
      <c r="F1926" s="176">
        <v>0</v>
      </c>
      <c r="G1926" t="s">
        <v>6787</v>
      </c>
      <c r="H1926">
        <v>1</v>
      </c>
      <c r="I1926">
        <v>28</v>
      </c>
      <c r="J1926">
        <v>8.84</v>
      </c>
      <c r="K1926">
        <v>32.700000000000003</v>
      </c>
      <c r="L1926">
        <v>32.700000000000003</v>
      </c>
      <c r="M1926" s="175">
        <v>0</v>
      </c>
      <c r="N1926" t="s">
        <v>4832</v>
      </c>
    </row>
    <row r="1927" spans="1:14">
      <c r="A1927">
        <v>6725</v>
      </c>
      <c r="B1927" t="s">
        <v>4791</v>
      </c>
      <c r="C1927">
        <v>226.5</v>
      </c>
      <c r="D1927">
        <v>222</v>
      </c>
      <c r="E1927" s="178">
        <v>-9</v>
      </c>
      <c r="F1927" s="176">
        <v>-3.9</v>
      </c>
      <c r="G1927" t="s">
        <v>6788</v>
      </c>
      <c r="H1927">
        <v>84</v>
      </c>
      <c r="I1927">
        <v>80</v>
      </c>
      <c r="J1927">
        <v>3.71</v>
      </c>
      <c r="K1927">
        <v>229.5</v>
      </c>
      <c r="L1927">
        <v>220</v>
      </c>
      <c r="M1927" s="175">
        <v>0.23</v>
      </c>
      <c r="N1927" t="s">
        <v>4792</v>
      </c>
    </row>
    <row r="1928" spans="1:14">
      <c r="A1928">
        <v>6727</v>
      </c>
      <c r="B1928" t="s">
        <v>2628</v>
      </c>
      <c r="C1928">
        <v>531</v>
      </c>
      <c r="D1928">
        <v>524</v>
      </c>
      <c r="E1928" s="178">
        <v>-13</v>
      </c>
      <c r="F1928" s="176">
        <v>-2.42</v>
      </c>
      <c r="G1928" t="s">
        <v>5225</v>
      </c>
      <c r="H1928">
        <v>2233</v>
      </c>
      <c r="I1928">
        <v>1952</v>
      </c>
      <c r="J1928">
        <v>2.69</v>
      </c>
      <c r="K1928">
        <v>563</v>
      </c>
      <c r="L1928">
        <v>520</v>
      </c>
      <c r="M1928" s="175">
        <v>8.31</v>
      </c>
      <c r="N1928" t="s">
        <v>3190</v>
      </c>
    </row>
    <row r="1929" spans="1:14">
      <c r="A1929">
        <v>6728</v>
      </c>
      <c r="B1929" t="s">
        <v>215</v>
      </c>
      <c r="C1929">
        <v>108.5</v>
      </c>
      <c r="D1929">
        <v>109</v>
      </c>
      <c r="E1929" s="178">
        <v>0.5</v>
      </c>
      <c r="F1929" s="176">
        <v>0.46</v>
      </c>
      <c r="G1929" t="s">
        <v>5362</v>
      </c>
      <c r="H1929">
        <v>11</v>
      </c>
      <c r="I1929">
        <v>8</v>
      </c>
      <c r="J1929">
        <v>3.01</v>
      </c>
      <c r="K1929">
        <v>109</v>
      </c>
      <c r="L1929">
        <v>108</v>
      </c>
      <c r="M1929" s="175">
        <v>0.04</v>
      </c>
      <c r="N1929" t="s">
        <v>2629</v>
      </c>
    </row>
    <row r="1930" spans="1:14">
      <c r="A1930">
        <v>6730</v>
      </c>
      <c r="B1930" t="s">
        <v>4754</v>
      </c>
      <c r="C1930">
        <v>33</v>
      </c>
      <c r="D1930">
        <v>33</v>
      </c>
      <c r="E1930" s="178">
        <v>0.05</v>
      </c>
      <c r="F1930" s="176">
        <v>0.15</v>
      </c>
      <c r="G1930" t="s">
        <v>5519</v>
      </c>
      <c r="H1930">
        <v>5</v>
      </c>
      <c r="I1930">
        <v>8</v>
      </c>
      <c r="J1930">
        <v>3.63</v>
      </c>
      <c r="K1930">
        <v>33</v>
      </c>
      <c r="L1930">
        <v>33</v>
      </c>
      <c r="M1930" s="175">
        <v>0.01</v>
      </c>
      <c r="N1930" t="s">
        <v>4755</v>
      </c>
    </row>
    <row r="1931" spans="1:14">
      <c r="A1931">
        <v>6732</v>
      </c>
      <c r="B1931" t="s">
        <v>2630</v>
      </c>
      <c r="C1931">
        <v>152.5</v>
      </c>
      <c r="D1931">
        <v>151.5</v>
      </c>
      <c r="E1931" s="178">
        <v>-2.5</v>
      </c>
      <c r="F1931" s="176">
        <v>-1.62</v>
      </c>
      <c r="G1931" t="s">
        <v>6789</v>
      </c>
      <c r="H1931">
        <v>112</v>
      </c>
      <c r="I1931">
        <v>116</v>
      </c>
      <c r="J1931">
        <v>4.8899999999999997</v>
      </c>
      <c r="K1931">
        <v>154.5</v>
      </c>
      <c r="L1931">
        <v>151</v>
      </c>
      <c r="M1931" s="175">
        <v>0.23</v>
      </c>
      <c r="N1931" t="s">
        <v>2631</v>
      </c>
    </row>
    <row r="1932" spans="1:14">
      <c r="A1932">
        <v>6733</v>
      </c>
      <c r="B1932" t="s">
        <v>2632</v>
      </c>
      <c r="C1932">
        <v>27.5</v>
      </c>
      <c r="D1932">
        <v>26.8</v>
      </c>
      <c r="E1932" s="178">
        <v>-0.1</v>
      </c>
      <c r="F1932" s="176">
        <v>-0.37</v>
      </c>
      <c r="G1932" t="s">
        <v>5298</v>
      </c>
      <c r="H1932">
        <v>108</v>
      </c>
      <c r="I1932">
        <v>88</v>
      </c>
      <c r="J1932">
        <v>13.43</v>
      </c>
      <c r="K1932">
        <v>27.8</v>
      </c>
      <c r="L1932">
        <v>26.2</v>
      </c>
      <c r="M1932" s="175">
        <v>0.08</v>
      </c>
      <c r="N1932" t="s">
        <v>2633</v>
      </c>
    </row>
    <row r="1933" spans="1:14">
      <c r="A1933">
        <v>6735</v>
      </c>
      <c r="B1933" t="s">
        <v>2634</v>
      </c>
      <c r="C1933">
        <v>63.9</v>
      </c>
      <c r="D1933">
        <v>63.8</v>
      </c>
      <c r="E1933" s="178">
        <v>-0.1</v>
      </c>
      <c r="F1933" s="176">
        <v>-0.16</v>
      </c>
      <c r="G1933" t="s">
        <v>5358</v>
      </c>
      <c r="H1933">
        <v>107</v>
      </c>
      <c r="I1933">
        <v>84</v>
      </c>
      <c r="J1933">
        <v>4.62</v>
      </c>
      <c r="K1933">
        <v>63.9</v>
      </c>
      <c r="L1933">
        <v>61.9</v>
      </c>
      <c r="M1933" s="175">
        <v>0.23</v>
      </c>
      <c r="N1933" t="s">
        <v>3087</v>
      </c>
    </row>
    <row r="1934" spans="1:14">
      <c r="A1934">
        <v>6739</v>
      </c>
      <c r="B1934" t="s">
        <v>4010</v>
      </c>
      <c r="C1934">
        <v>1120</v>
      </c>
      <c r="D1934">
        <v>1180</v>
      </c>
      <c r="E1934" s="178">
        <v>40</v>
      </c>
      <c r="F1934" s="176">
        <v>3.51</v>
      </c>
      <c r="G1934" t="s">
        <v>6790</v>
      </c>
      <c r="H1934">
        <v>267</v>
      </c>
      <c r="I1934">
        <v>222</v>
      </c>
      <c r="J1934">
        <v>2.34</v>
      </c>
      <c r="K1934">
        <v>1200</v>
      </c>
      <c r="L1934">
        <v>1110</v>
      </c>
      <c r="M1934" s="175">
        <v>1.1399999999999999</v>
      </c>
      <c r="N1934" t="s">
        <v>4509</v>
      </c>
    </row>
    <row r="1935" spans="1:14">
      <c r="A1935">
        <v>6741</v>
      </c>
      <c r="B1935" t="s">
        <v>2635</v>
      </c>
      <c r="C1935">
        <v>58.8</v>
      </c>
      <c r="D1935">
        <v>60.8</v>
      </c>
      <c r="E1935" s="178">
        <v>1.6</v>
      </c>
      <c r="F1935" s="176">
        <v>2.7</v>
      </c>
      <c r="G1935" t="s">
        <v>6791</v>
      </c>
      <c r="H1935">
        <v>220</v>
      </c>
      <c r="I1935">
        <v>396</v>
      </c>
      <c r="J1935">
        <v>6.03</v>
      </c>
      <c r="K1935">
        <v>61</v>
      </c>
      <c r="L1935">
        <v>58.8</v>
      </c>
      <c r="M1935" s="175">
        <v>0.18</v>
      </c>
      <c r="N1935" t="s">
        <v>2636</v>
      </c>
    </row>
    <row r="1936" spans="1:14">
      <c r="A1936">
        <v>6742</v>
      </c>
      <c r="B1936" t="s">
        <v>3122</v>
      </c>
      <c r="C1936">
        <v>44.2</v>
      </c>
      <c r="D1936">
        <v>43.9</v>
      </c>
      <c r="E1936" s="178">
        <v>-0.65</v>
      </c>
      <c r="F1936" s="176">
        <v>-1.46</v>
      </c>
      <c r="G1936" t="s">
        <v>6792</v>
      </c>
      <c r="H1936">
        <v>263</v>
      </c>
      <c r="I1936">
        <v>528</v>
      </c>
      <c r="J1936">
        <v>7.13</v>
      </c>
      <c r="K1936">
        <v>44.35</v>
      </c>
      <c r="L1936">
        <v>43.05</v>
      </c>
      <c r="M1936" s="175">
        <v>0.37</v>
      </c>
      <c r="N1936" t="s">
        <v>4543</v>
      </c>
    </row>
    <row r="1937" spans="1:14">
      <c r="A1937">
        <v>6743</v>
      </c>
      <c r="B1937" t="s">
        <v>2637</v>
      </c>
      <c r="C1937">
        <v>27.85</v>
      </c>
      <c r="D1937">
        <v>27.6</v>
      </c>
      <c r="E1937" s="178">
        <v>-0.25</v>
      </c>
      <c r="F1937" s="176">
        <v>-0.9</v>
      </c>
      <c r="G1937" t="s">
        <v>6793</v>
      </c>
      <c r="H1937">
        <v>260</v>
      </c>
      <c r="I1937">
        <v>254</v>
      </c>
      <c r="J1937">
        <v>15</v>
      </c>
      <c r="K1937">
        <v>27.9</v>
      </c>
      <c r="L1937">
        <v>27.1</v>
      </c>
      <c r="M1937" s="175">
        <v>0.17</v>
      </c>
      <c r="N1937" t="s">
        <v>4541</v>
      </c>
    </row>
    <row r="1938" spans="1:14">
      <c r="A1938">
        <v>6751</v>
      </c>
      <c r="B1938" t="s">
        <v>216</v>
      </c>
      <c r="C1938">
        <v>42.75</v>
      </c>
      <c r="D1938">
        <v>42.75</v>
      </c>
      <c r="E1938" s="178">
        <v>-0.1</v>
      </c>
      <c r="F1938" s="176">
        <v>-0.23</v>
      </c>
      <c r="G1938" t="s">
        <v>6388</v>
      </c>
      <c r="H1938">
        <v>5</v>
      </c>
      <c r="I1938">
        <v>5</v>
      </c>
      <c r="J1938">
        <v>2.2200000000000002</v>
      </c>
      <c r="K1938">
        <v>42.75</v>
      </c>
      <c r="L1938">
        <v>42.75</v>
      </c>
      <c r="M1938" s="175">
        <v>0.02</v>
      </c>
      <c r="N1938" t="s">
        <v>3294</v>
      </c>
    </row>
    <row r="1939" spans="1:14">
      <c r="A1939">
        <v>6752</v>
      </c>
      <c r="B1939" t="s">
        <v>2638</v>
      </c>
      <c r="C1939">
        <v>93.1</v>
      </c>
      <c r="D1939">
        <v>97</v>
      </c>
      <c r="E1939" s="178">
        <v>0.4</v>
      </c>
      <c r="F1939" s="176">
        <v>0.41</v>
      </c>
      <c r="G1939" t="s">
        <v>6253</v>
      </c>
      <c r="H1939">
        <v>7</v>
      </c>
      <c r="I1939">
        <v>9</v>
      </c>
      <c r="J1939">
        <v>3.83</v>
      </c>
      <c r="K1939">
        <v>97</v>
      </c>
      <c r="L1939">
        <v>93.1</v>
      </c>
      <c r="M1939" s="175">
        <v>0.02</v>
      </c>
      <c r="N1939" t="s">
        <v>2639</v>
      </c>
    </row>
    <row r="1940" spans="1:14">
      <c r="A1940">
        <v>6753</v>
      </c>
      <c r="B1940" t="s">
        <v>2640</v>
      </c>
      <c r="C1940">
        <v>137.5</v>
      </c>
      <c r="D1940">
        <v>140.5</v>
      </c>
      <c r="E1940" s="178">
        <v>2</v>
      </c>
      <c r="F1940" s="176">
        <v>1.44</v>
      </c>
      <c r="G1940" t="s">
        <v>5227</v>
      </c>
      <c r="H1940">
        <v>926</v>
      </c>
      <c r="I1940">
        <v>2306</v>
      </c>
      <c r="J1940">
        <v>11.73</v>
      </c>
      <c r="K1940">
        <v>142.5</v>
      </c>
      <c r="L1940">
        <v>137.5</v>
      </c>
      <c r="M1940" s="175">
        <v>0.79</v>
      </c>
      <c r="N1940" t="s">
        <v>2641</v>
      </c>
    </row>
    <row r="1941" spans="1:14">
      <c r="A1941">
        <v>6754</v>
      </c>
      <c r="B1941" t="s">
        <v>2642</v>
      </c>
      <c r="C1941">
        <v>42.8</v>
      </c>
      <c r="D1941">
        <v>42.1</v>
      </c>
      <c r="E1941" s="178">
        <v>0.3</v>
      </c>
      <c r="F1941" s="176">
        <v>0.72</v>
      </c>
      <c r="G1941" t="s">
        <v>5321</v>
      </c>
      <c r="H1941">
        <v>9</v>
      </c>
      <c r="I1941">
        <v>8</v>
      </c>
      <c r="J1941">
        <v>6.6</v>
      </c>
      <c r="K1941">
        <v>42.8</v>
      </c>
      <c r="L1941">
        <v>41.65</v>
      </c>
      <c r="M1941" s="175">
        <v>0.01</v>
      </c>
      <c r="N1941" t="s">
        <v>2643</v>
      </c>
    </row>
    <row r="1942" spans="1:14">
      <c r="A1942">
        <v>6756</v>
      </c>
      <c r="B1942" t="s">
        <v>213</v>
      </c>
      <c r="C1942">
        <v>99.3</v>
      </c>
      <c r="D1942">
        <v>100.5</v>
      </c>
      <c r="E1942" s="178">
        <v>0.5</v>
      </c>
      <c r="F1942" s="176">
        <v>0.5</v>
      </c>
      <c r="G1942" t="s">
        <v>6794</v>
      </c>
      <c r="H1942">
        <v>81</v>
      </c>
      <c r="I1942">
        <v>116</v>
      </c>
      <c r="J1942">
        <v>7</v>
      </c>
      <c r="K1942">
        <v>100.5</v>
      </c>
      <c r="L1942">
        <v>98.1</v>
      </c>
      <c r="M1942" s="175">
        <v>0.12</v>
      </c>
      <c r="N1942" t="s">
        <v>2644</v>
      </c>
    </row>
    <row r="1943" spans="1:14">
      <c r="A1943">
        <v>6757</v>
      </c>
      <c r="B1943" t="s">
        <v>4132</v>
      </c>
      <c r="C1943">
        <v>55.1</v>
      </c>
      <c r="D1943">
        <v>56.1</v>
      </c>
      <c r="E1943" s="178">
        <v>1</v>
      </c>
      <c r="F1943" s="176">
        <v>1.81</v>
      </c>
      <c r="G1943" t="s">
        <v>6795</v>
      </c>
      <c r="H1943">
        <v>1418</v>
      </c>
      <c r="I1943">
        <v>893</v>
      </c>
      <c r="J1943">
        <v>45.95</v>
      </c>
      <c r="K1943">
        <v>56.1</v>
      </c>
      <c r="L1943">
        <v>54.7</v>
      </c>
      <c r="M1943" s="175">
        <v>0.31</v>
      </c>
      <c r="N1943" t="s">
        <v>4133</v>
      </c>
    </row>
    <row r="1944" spans="1:14">
      <c r="A1944">
        <v>6761</v>
      </c>
      <c r="B1944" t="s">
        <v>2645</v>
      </c>
      <c r="C1944">
        <v>188</v>
      </c>
      <c r="D1944">
        <v>189</v>
      </c>
      <c r="E1944" s="178">
        <v>0.5</v>
      </c>
      <c r="F1944" s="176">
        <v>0.27</v>
      </c>
      <c r="G1944" t="s">
        <v>6796</v>
      </c>
      <c r="H1944">
        <v>284</v>
      </c>
      <c r="I1944">
        <v>468</v>
      </c>
      <c r="J1944">
        <v>3.5</v>
      </c>
      <c r="K1944">
        <v>190.5</v>
      </c>
      <c r="L1944">
        <v>186</v>
      </c>
      <c r="M1944" s="175">
        <v>0.81</v>
      </c>
      <c r="N1944" t="s">
        <v>2646</v>
      </c>
    </row>
    <row r="1945" spans="1:14">
      <c r="A1945">
        <v>6762</v>
      </c>
      <c r="B1945" t="s">
        <v>2647</v>
      </c>
      <c r="C1945" t="s">
        <v>1667</v>
      </c>
      <c r="D1945" t="s">
        <v>1667</v>
      </c>
      <c r="E1945" s="178" t="s">
        <v>1667</v>
      </c>
      <c r="F1945" s="176" t="s">
        <v>1667</v>
      </c>
      <c r="G1945" t="s">
        <v>1667</v>
      </c>
      <c r="H1945">
        <v>0</v>
      </c>
      <c r="I1945">
        <v>1</v>
      </c>
      <c r="J1945">
        <v>3.69</v>
      </c>
      <c r="K1945" t="s">
        <v>1667</v>
      </c>
      <c r="L1945" t="s">
        <v>1667</v>
      </c>
      <c r="M1945" s="175">
        <v>0</v>
      </c>
      <c r="N1945" t="s">
        <v>4229</v>
      </c>
    </row>
    <row r="1946" spans="1:14">
      <c r="A1946">
        <v>6763</v>
      </c>
      <c r="B1946" t="s">
        <v>4019</v>
      </c>
      <c r="C1946">
        <v>41.85</v>
      </c>
      <c r="D1946">
        <v>41.55</v>
      </c>
      <c r="E1946" s="178">
        <v>-0.3</v>
      </c>
      <c r="F1946" s="176">
        <v>-0.72</v>
      </c>
      <c r="G1946" t="s">
        <v>5455</v>
      </c>
      <c r="H1946">
        <v>127</v>
      </c>
      <c r="I1946">
        <v>135</v>
      </c>
      <c r="J1946">
        <v>1.84</v>
      </c>
      <c r="K1946">
        <v>42</v>
      </c>
      <c r="L1946">
        <v>41.5</v>
      </c>
      <c r="M1946" s="175">
        <v>7.0000000000000007E-2</v>
      </c>
      <c r="N1946" t="s">
        <v>4020</v>
      </c>
    </row>
    <row r="1947" spans="1:14">
      <c r="A1947">
        <v>6767</v>
      </c>
      <c r="B1947" t="s">
        <v>232</v>
      </c>
      <c r="C1947">
        <v>25.5</v>
      </c>
      <c r="D1947">
        <v>25.5</v>
      </c>
      <c r="E1947" s="178">
        <v>1.2</v>
      </c>
      <c r="F1947" s="176">
        <v>4.9400000000000004</v>
      </c>
      <c r="G1947" t="s">
        <v>6797</v>
      </c>
      <c r="H1947">
        <v>1</v>
      </c>
      <c r="I1947">
        <v>2</v>
      </c>
      <c r="J1947">
        <v>3.92</v>
      </c>
      <c r="K1947">
        <v>25.5</v>
      </c>
      <c r="L1947">
        <v>25.5</v>
      </c>
      <c r="M1947" s="175">
        <v>0</v>
      </c>
      <c r="N1947" t="s">
        <v>2648</v>
      </c>
    </row>
    <row r="1948" spans="1:14">
      <c r="A1948">
        <v>6768</v>
      </c>
      <c r="B1948" t="s">
        <v>2649</v>
      </c>
      <c r="C1948">
        <v>63.9</v>
      </c>
      <c r="D1948">
        <v>65</v>
      </c>
      <c r="E1948" s="178">
        <v>0.8</v>
      </c>
      <c r="F1948" s="176">
        <v>1.25</v>
      </c>
      <c r="G1948" t="s">
        <v>6798</v>
      </c>
      <c r="H1948">
        <v>1473</v>
      </c>
      <c r="I1948">
        <v>294</v>
      </c>
      <c r="J1948">
        <v>20.010000000000002</v>
      </c>
      <c r="K1948">
        <v>65</v>
      </c>
      <c r="L1948">
        <v>63.5</v>
      </c>
      <c r="M1948" s="175">
        <v>0.74</v>
      </c>
      <c r="N1948" t="s">
        <v>4544</v>
      </c>
    </row>
    <row r="1949" spans="1:14">
      <c r="A1949">
        <v>6770</v>
      </c>
      <c r="B1949" t="s">
        <v>2650</v>
      </c>
      <c r="C1949">
        <v>69</v>
      </c>
      <c r="D1949">
        <v>73</v>
      </c>
      <c r="E1949" s="178">
        <v>3</v>
      </c>
      <c r="F1949" s="176">
        <v>4.29</v>
      </c>
      <c r="G1949" t="s">
        <v>6799</v>
      </c>
      <c r="H1949">
        <v>206539</v>
      </c>
      <c r="I1949">
        <v>135153</v>
      </c>
      <c r="J1949">
        <v>468.95</v>
      </c>
      <c r="K1949">
        <v>73.2</v>
      </c>
      <c r="L1949">
        <v>68</v>
      </c>
      <c r="M1949" s="175">
        <v>4.43</v>
      </c>
      <c r="N1949" t="s">
        <v>1628</v>
      </c>
    </row>
    <row r="1950" spans="1:14">
      <c r="A1950">
        <v>6776</v>
      </c>
      <c r="B1950" t="s">
        <v>2651</v>
      </c>
      <c r="C1950">
        <v>53</v>
      </c>
      <c r="D1950">
        <v>53</v>
      </c>
      <c r="E1950" s="178">
        <v>-0.2</v>
      </c>
      <c r="F1950" s="176">
        <v>-0.38</v>
      </c>
      <c r="G1950" t="s">
        <v>6666</v>
      </c>
      <c r="H1950">
        <v>76</v>
      </c>
      <c r="I1950">
        <v>63</v>
      </c>
      <c r="J1950">
        <v>9.16</v>
      </c>
      <c r="K1950">
        <v>53</v>
      </c>
      <c r="L1950">
        <v>52.6</v>
      </c>
      <c r="M1950" s="175">
        <v>0.08</v>
      </c>
      <c r="N1950" t="s">
        <v>5213</v>
      </c>
    </row>
    <row r="1951" spans="1:14">
      <c r="A1951">
        <v>6781</v>
      </c>
      <c r="B1951" t="s">
        <v>2652</v>
      </c>
      <c r="C1951">
        <v>1120</v>
      </c>
      <c r="D1951">
        <v>1125</v>
      </c>
      <c r="E1951" s="178">
        <v>-5</v>
      </c>
      <c r="F1951" s="176">
        <v>-0.44</v>
      </c>
      <c r="G1951" t="s">
        <v>6800</v>
      </c>
      <c r="H1951">
        <v>566</v>
      </c>
      <c r="I1951">
        <v>761</v>
      </c>
      <c r="J1951">
        <v>8.5399999999999991</v>
      </c>
      <c r="K1951">
        <v>1135</v>
      </c>
      <c r="L1951">
        <v>1110</v>
      </c>
      <c r="M1951" s="175">
        <v>0.66</v>
      </c>
      <c r="N1951" t="s">
        <v>2653</v>
      </c>
    </row>
    <row r="1952" spans="1:14">
      <c r="A1952">
        <v>6782</v>
      </c>
      <c r="B1952" t="s">
        <v>2654</v>
      </c>
      <c r="C1952">
        <v>241.5</v>
      </c>
      <c r="D1952">
        <v>254.5</v>
      </c>
      <c r="E1952" s="178">
        <v>13</v>
      </c>
      <c r="F1952" s="176">
        <v>5.38</v>
      </c>
      <c r="G1952" t="s">
        <v>6801</v>
      </c>
      <c r="H1952">
        <v>1588</v>
      </c>
      <c r="I1952">
        <v>1290</v>
      </c>
      <c r="J1952">
        <v>6.3</v>
      </c>
      <c r="K1952">
        <v>254.5</v>
      </c>
      <c r="L1952">
        <v>239</v>
      </c>
      <c r="M1952" s="175">
        <v>2.52</v>
      </c>
      <c r="N1952" t="s">
        <v>4430</v>
      </c>
    </row>
    <row r="1953" spans="1:14">
      <c r="A1953">
        <v>6785</v>
      </c>
      <c r="B1953" t="s">
        <v>3361</v>
      </c>
      <c r="C1953">
        <v>94.1</v>
      </c>
      <c r="D1953">
        <v>94.7</v>
      </c>
      <c r="E1953" s="178">
        <v>-0.6</v>
      </c>
      <c r="F1953" s="176">
        <v>-0.63</v>
      </c>
      <c r="G1953" t="s">
        <v>5417</v>
      </c>
      <c r="H1953">
        <v>63</v>
      </c>
      <c r="I1953">
        <v>44</v>
      </c>
      <c r="J1953">
        <v>6.68</v>
      </c>
      <c r="K1953">
        <v>95.3</v>
      </c>
      <c r="L1953">
        <v>93</v>
      </c>
      <c r="M1953" s="175">
        <v>0.09</v>
      </c>
      <c r="N1953" t="s">
        <v>3362</v>
      </c>
    </row>
    <row r="1954" spans="1:14">
      <c r="A1954">
        <v>6788</v>
      </c>
      <c r="B1954" t="s">
        <v>2655</v>
      </c>
      <c r="C1954">
        <v>364.5</v>
      </c>
      <c r="D1954">
        <v>361</v>
      </c>
      <c r="E1954" s="178">
        <v>-7.5</v>
      </c>
      <c r="F1954" s="176">
        <v>-2.04</v>
      </c>
      <c r="G1954" t="s">
        <v>5110</v>
      </c>
      <c r="H1954">
        <v>286</v>
      </c>
      <c r="I1954">
        <v>213</v>
      </c>
      <c r="J1954">
        <v>3.87</v>
      </c>
      <c r="K1954">
        <v>364.5</v>
      </c>
      <c r="L1954">
        <v>353</v>
      </c>
      <c r="M1954" s="175">
        <v>0.74</v>
      </c>
      <c r="N1954" t="s">
        <v>2656</v>
      </c>
    </row>
    <row r="1955" spans="1:14">
      <c r="A1955">
        <v>6789</v>
      </c>
      <c r="B1955" t="s">
        <v>2657</v>
      </c>
      <c r="C1955">
        <v>455</v>
      </c>
      <c r="D1955">
        <v>467.5</v>
      </c>
      <c r="E1955" s="178">
        <v>6.5</v>
      </c>
      <c r="F1955" s="176">
        <v>1.41</v>
      </c>
      <c r="G1955" t="s">
        <v>6802</v>
      </c>
      <c r="H1955">
        <v>1412</v>
      </c>
      <c r="I1955">
        <v>1735</v>
      </c>
      <c r="J1955">
        <v>31.83</v>
      </c>
      <c r="K1955">
        <v>467.5</v>
      </c>
      <c r="L1955">
        <v>449</v>
      </c>
      <c r="M1955" s="175">
        <v>0.44</v>
      </c>
      <c r="N1955" t="s">
        <v>2658</v>
      </c>
    </row>
    <row r="1956" spans="1:14">
      <c r="A1956">
        <v>6790</v>
      </c>
      <c r="B1956" t="s">
        <v>2659</v>
      </c>
      <c r="C1956">
        <v>38.049999999999997</v>
      </c>
      <c r="D1956">
        <v>37.950000000000003</v>
      </c>
      <c r="E1956" s="178">
        <v>-0.1</v>
      </c>
      <c r="F1956" s="176">
        <v>-0.26</v>
      </c>
      <c r="G1956" t="s">
        <v>6007</v>
      </c>
      <c r="H1956">
        <v>150</v>
      </c>
      <c r="I1956">
        <v>99</v>
      </c>
      <c r="J1956">
        <v>26.71</v>
      </c>
      <c r="K1956">
        <v>38.049999999999997</v>
      </c>
      <c r="L1956">
        <v>37.85</v>
      </c>
      <c r="M1956" s="175">
        <v>0.06</v>
      </c>
      <c r="N1956" t="s">
        <v>2660</v>
      </c>
    </row>
    <row r="1957" spans="1:14">
      <c r="A1957">
        <v>6791</v>
      </c>
      <c r="B1957" t="s">
        <v>2661</v>
      </c>
      <c r="C1957">
        <v>100</v>
      </c>
      <c r="D1957">
        <v>100</v>
      </c>
      <c r="E1957" s="178">
        <v>-1</v>
      </c>
      <c r="F1957" s="176">
        <v>-0.99</v>
      </c>
      <c r="G1957" t="s">
        <v>5223</v>
      </c>
      <c r="H1957">
        <v>11</v>
      </c>
      <c r="I1957">
        <v>10</v>
      </c>
      <c r="J1957">
        <v>2.08</v>
      </c>
      <c r="K1957">
        <v>100</v>
      </c>
      <c r="L1957">
        <v>99.8</v>
      </c>
      <c r="M1957" s="175">
        <v>0.05</v>
      </c>
      <c r="N1957" t="s">
        <v>2662</v>
      </c>
    </row>
    <row r="1958" spans="1:14">
      <c r="A1958">
        <v>6792</v>
      </c>
      <c r="B1958" t="s">
        <v>2663</v>
      </c>
      <c r="C1958">
        <v>59.3</v>
      </c>
      <c r="D1958">
        <v>60</v>
      </c>
      <c r="E1958" s="178">
        <v>0.5</v>
      </c>
      <c r="F1958" s="176">
        <v>0.84</v>
      </c>
      <c r="G1958" t="s">
        <v>5587</v>
      </c>
      <c r="H1958">
        <v>14</v>
      </c>
      <c r="I1958">
        <v>23</v>
      </c>
      <c r="J1958">
        <v>4.79</v>
      </c>
      <c r="K1958">
        <v>60</v>
      </c>
      <c r="L1958">
        <v>59</v>
      </c>
      <c r="M1958" s="175">
        <v>0.03</v>
      </c>
      <c r="N1958" t="s">
        <v>2664</v>
      </c>
    </row>
    <row r="1959" spans="1:14">
      <c r="A1959">
        <v>6794</v>
      </c>
      <c r="B1959" t="s">
        <v>4680</v>
      </c>
      <c r="C1959">
        <v>78.2</v>
      </c>
      <c r="D1959">
        <v>77.900000000000006</v>
      </c>
      <c r="E1959" s="178">
        <v>-0.3</v>
      </c>
      <c r="F1959" s="176">
        <v>-0.38</v>
      </c>
      <c r="G1959" t="s">
        <v>5341</v>
      </c>
      <c r="H1959">
        <v>33</v>
      </c>
      <c r="I1959">
        <v>48</v>
      </c>
      <c r="J1959">
        <v>6.37</v>
      </c>
      <c r="K1959">
        <v>78.2</v>
      </c>
      <c r="L1959">
        <v>76</v>
      </c>
      <c r="M1959" s="175">
        <v>7.0000000000000007E-2</v>
      </c>
      <c r="N1959" t="s">
        <v>4681</v>
      </c>
    </row>
    <row r="1960" spans="1:14">
      <c r="A1960">
        <v>6796</v>
      </c>
      <c r="B1960" t="s">
        <v>2665</v>
      </c>
      <c r="C1960">
        <v>60.7</v>
      </c>
      <c r="D1960">
        <v>60.6</v>
      </c>
      <c r="E1960" s="178">
        <v>-1</v>
      </c>
      <c r="F1960" s="176">
        <v>-1.62</v>
      </c>
      <c r="G1960" t="s">
        <v>5830</v>
      </c>
      <c r="H1960">
        <v>74</v>
      </c>
      <c r="I1960">
        <v>76</v>
      </c>
      <c r="J1960">
        <v>4.0199999999999996</v>
      </c>
      <c r="K1960">
        <v>61.2</v>
      </c>
      <c r="L1960">
        <v>60.2</v>
      </c>
      <c r="M1960" s="175">
        <v>0.18</v>
      </c>
      <c r="N1960" t="s">
        <v>2666</v>
      </c>
    </row>
    <row r="1961" spans="1:14">
      <c r="A1961">
        <v>6799</v>
      </c>
      <c r="B1961" t="s">
        <v>2667</v>
      </c>
      <c r="C1961">
        <v>80.8</v>
      </c>
      <c r="D1961">
        <v>81</v>
      </c>
      <c r="E1961" s="178">
        <v>0.5</v>
      </c>
      <c r="F1961" s="176">
        <v>0.62</v>
      </c>
      <c r="G1961" t="s">
        <v>6803</v>
      </c>
      <c r="H1961">
        <v>133</v>
      </c>
      <c r="I1961">
        <v>178</v>
      </c>
      <c r="J1961">
        <v>4.37</v>
      </c>
      <c r="K1961">
        <v>81.400000000000006</v>
      </c>
      <c r="L1961">
        <v>79.7</v>
      </c>
      <c r="M1961" s="175">
        <v>0.3</v>
      </c>
      <c r="N1961" t="s">
        <v>2668</v>
      </c>
    </row>
    <row r="1962" spans="1:14">
      <c r="A1962">
        <v>6803</v>
      </c>
      <c r="B1962" t="s">
        <v>2669</v>
      </c>
      <c r="C1962">
        <v>269</v>
      </c>
      <c r="D1962">
        <v>270.5</v>
      </c>
      <c r="E1962" s="178">
        <v>-0.5</v>
      </c>
      <c r="F1962" s="176">
        <v>-0.18</v>
      </c>
      <c r="G1962" t="s">
        <v>6804</v>
      </c>
      <c r="H1962">
        <v>39</v>
      </c>
      <c r="I1962">
        <v>39</v>
      </c>
      <c r="J1962">
        <v>7.28</v>
      </c>
      <c r="K1962">
        <v>271</v>
      </c>
      <c r="L1962">
        <v>269</v>
      </c>
      <c r="M1962" s="175">
        <v>0.05</v>
      </c>
      <c r="N1962" t="s">
        <v>4230</v>
      </c>
    </row>
    <row r="1963" spans="1:14">
      <c r="A1963">
        <v>6804</v>
      </c>
      <c r="B1963" t="s">
        <v>2670</v>
      </c>
      <c r="C1963">
        <v>18.7</v>
      </c>
      <c r="D1963">
        <v>18.45</v>
      </c>
      <c r="E1963" s="178">
        <v>-0.15</v>
      </c>
      <c r="F1963" s="176">
        <v>-0.81</v>
      </c>
      <c r="G1963" t="s">
        <v>6805</v>
      </c>
      <c r="H1963">
        <v>41</v>
      </c>
      <c r="I1963">
        <v>66</v>
      </c>
      <c r="J1963">
        <v>4.75</v>
      </c>
      <c r="K1963">
        <v>18.7</v>
      </c>
      <c r="L1963">
        <v>18.399999999999999</v>
      </c>
      <c r="M1963" s="175">
        <v>0.09</v>
      </c>
      <c r="N1963" t="s">
        <v>2671</v>
      </c>
    </row>
    <row r="1964" spans="1:14">
      <c r="A1964">
        <v>6805</v>
      </c>
      <c r="B1964" t="s">
        <v>3107</v>
      </c>
      <c r="C1964">
        <v>2360</v>
      </c>
      <c r="D1964">
        <v>2305</v>
      </c>
      <c r="E1964" s="178">
        <v>-40</v>
      </c>
      <c r="F1964" s="176">
        <v>-1.71</v>
      </c>
      <c r="G1964" t="s">
        <v>6806</v>
      </c>
      <c r="H1964">
        <v>2796</v>
      </c>
      <c r="I1964">
        <v>2663</v>
      </c>
      <c r="J1964">
        <v>6.86</v>
      </c>
      <c r="K1964">
        <v>2375</v>
      </c>
      <c r="L1964">
        <v>2230</v>
      </c>
      <c r="M1964" s="175">
        <v>4.08</v>
      </c>
      <c r="N1964" t="s">
        <v>5016</v>
      </c>
    </row>
    <row r="1965" spans="1:14">
      <c r="A1965">
        <v>6807</v>
      </c>
      <c r="B1965" t="s">
        <v>2672</v>
      </c>
      <c r="C1965">
        <v>33</v>
      </c>
      <c r="D1965">
        <v>32.799999999999997</v>
      </c>
      <c r="E1965" s="178">
        <v>-0.7</v>
      </c>
      <c r="F1965" s="176">
        <v>-2.09</v>
      </c>
      <c r="G1965" t="s">
        <v>5345</v>
      </c>
      <c r="H1965">
        <v>7</v>
      </c>
      <c r="I1965">
        <v>13</v>
      </c>
      <c r="J1965">
        <v>5.4</v>
      </c>
      <c r="K1965">
        <v>33</v>
      </c>
      <c r="L1965">
        <v>32.25</v>
      </c>
      <c r="M1965" s="175">
        <v>0.01</v>
      </c>
      <c r="N1965" t="s">
        <v>2673</v>
      </c>
    </row>
    <row r="1966" spans="1:14">
      <c r="A1966">
        <v>6811</v>
      </c>
      <c r="B1966" t="s">
        <v>2674</v>
      </c>
      <c r="C1966">
        <v>224</v>
      </c>
      <c r="D1966">
        <v>223.5</v>
      </c>
      <c r="E1966" s="178">
        <v>-2</v>
      </c>
      <c r="F1966" s="176">
        <v>-0.89</v>
      </c>
      <c r="G1966" t="s">
        <v>6614</v>
      </c>
      <c r="H1966">
        <v>71</v>
      </c>
      <c r="I1966">
        <v>45</v>
      </c>
      <c r="J1966">
        <v>4.1399999999999997</v>
      </c>
      <c r="K1966">
        <v>226</v>
      </c>
      <c r="L1966">
        <v>222.5</v>
      </c>
      <c r="M1966" s="175">
        <v>0.17</v>
      </c>
      <c r="N1966" t="s">
        <v>3144</v>
      </c>
    </row>
    <row r="1967" spans="1:14">
      <c r="A1967">
        <v>6821</v>
      </c>
      <c r="B1967" t="s">
        <v>2675</v>
      </c>
      <c r="C1967">
        <v>42</v>
      </c>
      <c r="D1967">
        <v>41.55</v>
      </c>
      <c r="E1967" s="178">
        <v>-0.4</v>
      </c>
      <c r="F1967" s="176">
        <v>-0.95</v>
      </c>
      <c r="G1967" t="s">
        <v>5741</v>
      </c>
      <c r="H1967">
        <v>69</v>
      </c>
      <c r="I1967">
        <v>140</v>
      </c>
      <c r="J1967">
        <v>3.63</v>
      </c>
      <c r="K1967">
        <v>42.85</v>
      </c>
      <c r="L1967">
        <v>41.3</v>
      </c>
      <c r="M1967" s="175">
        <v>0.19</v>
      </c>
      <c r="N1967" t="s">
        <v>4387</v>
      </c>
    </row>
    <row r="1968" spans="1:14">
      <c r="A1968">
        <v>6823</v>
      </c>
      <c r="B1968" t="s">
        <v>2676</v>
      </c>
      <c r="C1968">
        <v>61</v>
      </c>
      <c r="D1968">
        <v>62.2</v>
      </c>
      <c r="E1968" s="178">
        <v>0.6</v>
      </c>
      <c r="F1968" s="176">
        <v>0.97</v>
      </c>
      <c r="G1968" t="s">
        <v>6052</v>
      </c>
      <c r="H1968">
        <v>160</v>
      </c>
      <c r="I1968">
        <v>133</v>
      </c>
      <c r="J1968">
        <v>3.32</v>
      </c>
      <c r="K1968">
        <v>63.1</v>
      </c>
      <c r="L1968">
        <v>60</v>
      </c>
      <c r="M1968" s="175">
        <v>0.52</v>
      </c>
      <c r="N1968" t="s">
        <v>3963</v>
      </c>
    </row>
    <row r="1969" spans="1:14">
      <c r="A1969">
        <v>6829</v>
      </c>
      <c r="B1969" t="s">
        <v>2677</v>
      </c>
      <c r="C1969">
        <v>235.5</v>
      </c>
      <c r="D1969">
        <v>245</v>
      </c>
      <c r="E1969" s="178">
        <v>7</v>
      </c>
      <c r="F1969" s="176">
        <v>2.94</v>
      </c>
      <c r="G1969" t="s">
        <v>6807</v>
      </c>
      <c r="H1969">
        <v>1365</v>
      </c>
      <c r="I1969">
        <v>1262</v>
      </c>
      <c r="J1969">
        <v>5.92</v>
      </c>
      <c r="K1969">
        <v>256.5</v>
      </c>
      <c r="L1969">
        <v>234.5</v>
      </c>
      <c r="M1969" s="175">
        <v>2.31</v>
      </c>
      <c r="N1969" t="s">
        <v>4510</v>
      </c>
    </row>
    <row r="1970" spans="1:14">
      <c r="A1970">
        <v>6830</v>
      </c>
      <c r="B1970" t="s">
        <v>2678</v>
      </c>
      <c r="C1970">
        <v>522</v>
      </c>
      <c r="D1970">
        <v>520</v>
      </c>
      <c r="E1970" s="178">
        <v>-5</v>
      </c>
      <c r="F1970" s="176">
        <v>-0.95</v>
      </c>
      <c r="G1970" t="s">
        <v>6808</v>
      </c>
      <c r="H1970">
        <v>1555</v>
      </c>
      <c r="I1970">
        <v>3657</v>
      </c>
      <c r="J1970">
        <v>5.47</v>
      </c>
      <c r="K1970">
        <v>523</v>
      </c>
      <c r="L1970">
        <v>501</v>
      </c>
      <c r="M1970" s="175">
        <v>2.91</v>
      </c>
      <c r="N1970" t="s">
        <v>4511</v>
      </c>
    </row>
    <row r="1971" spans="1:14">
      <c r="A1971">
        <v>6831</v>
      </c>
      <c r="B1971" t="s">
        <v>4732</v>
      </c>
      <c r="C1971">
        <v>616</v>
      </c>
      <c r="D1971">
        <v>618</v>
      </c>
      <c r="E1971" s="178">
        <v>-2</v>
      </c>
      <c r="F1971" s="176">
        <v>-0.32</v>
      </c>
      <c r="G1971" t="s">
        <v>6809</v>
      </c>
      <c r="H1971">
        <v>1172</v>
      </c>
      <c r="I1971">
        <v>1238</v>
      </c>
      <c r="J1971">
        <v>6.75</v>
      </c>
      <c r="K1971">
        <v>638</v>
      </c>
      <c r="L1971">
        <v>610</v>
      </c>
      <c r="M1971" s="175">
        <v>1.74</v>
      </c>
      <c r="N1971" t="s">
        <v>4733</v>
      </c>
    </row>
    <row r="1972" spans="1:14">
      <c r="A1972">
        <v>6834</v>
      </c>
      <c r="B1972" t="s">
        <v>2679</v>
      </c>
      <c r="C1972">
        <v>92.4</v>
      </c>
      <c r="D1972">
        <v>89.9</v>
      </c>
      <c r="E1972" s="178">
        <v>-4.3</v>
      </c>
      <c r="F1972" s="176">
        <v>-4.5599999999999996</v>
      </c>
      <c r="G1972" t="s">
        <v>5991</v>
      </c>
      <c r="H1972">
        <v>2090</v>
      </c>
      <c r="I1972">
        <v>2521</v>
      </c>
      <c r="J1972">
        <v>8.85</v>
      </c>
      <c r="K1972">
        <v>96.4</v>
      </c>
      <c r="L1972">
        <v>88.5</v>
      </c>
      <c r="M1972" s="175">
        <v>2.36</v>
      </c>
      <c r="N1972" t="s">
        <v>2680</v>
      </c>
    </row>
    <row r="1973" spans="1:14">
      <c r="A1973">
        <v>6835</v>
      </c>
      <c r="B1973" t="s">
        <v>2681</v>
      </c>
      <c r="C1973">
        <v>30.55</v>
      </c>
      <c r="D1973">
        <v>31</v>
      </c>
      <c r="E1973" s="178">
        <v>-0.2</v>
      </c>
      <c r="F1973" s="176">
        <v>-0.64</v>
      </c>
      <c r="G1973" t="s">
        <v>6810</v>
      </c>
      <c r="H1973">
        <v>17</v>
      </c>
      <c r="I1973">
        <v>16</v>
      </c>
      <c r="J1973">
        <v>6.62</v>
      </c>
      <c r="K1973">
        <v>31</v>
      </c>
      <c r="L1973">
        <v>30.5</v>
      </c>
      <c r="M1973" s="175">
        <v>0.03</v>
      </c>
      <c r="N1973" t="s">
        <v>2682</v>
      </c>
    </row>
    <row r="1974" spans="1:14">
      <c r="A1974">
        <v>6838</v>
      </c>
      <c r="B1974" t="s">
        <v>3988</v>
      </c>
      <c r="C1974">
        <v>23.25</v>
      </c>
      <c r="D1974">
        <v>23</v>
      </c>
      <c r="E1974" s="178">
        <v>-0.2</v>
      </c>
      <c r="F1974" s="176">
        <v>-0.86</v>
      </c>
      <c r="G1974" t="s">
        <v>6514</v>
      </c>
      <c r="H1974">
        <v>55</v>
      </c>
      <c r="I1974">
        <v>54</v>
      </c>
      <c r="J1974">
        <v>15.1</v>
      </c>
      <c r="K1974">
        <v>23.45</v>
      </c>
      <c r="L1974">
        <v>22.95</v>
      </c>
      <c r="M1974" s="175">
        <v>0.04</v>
      </c>
      <c r="N1974" t="s">
        <v>3989</v>
      </c>
    </row>
    <row r="1975" spans="1:14">
      <c r="A1975">
        <v>6840</v>
      </c>
      <c r="B1975" t="s">
        <v>2683</v>
      </c>
      <c r="C1975">
        <v>97.7</v>
      </c>
      <c r="D1975">
        <v>94</v>
      </c>
      <c r="E1975" s="178">
        <v>-4.4000000000000004</v>
      </c>
      <c r="F1975" s="176">
        <v>-4.47</v>
      </c>
      <c r="G1975" t="s">
        <v>6811</v>
      </c>
      <c r="H1975">
        <v>402</v>
      </c>
      <c r="I1975">
        <v>720</v>
      </c>
      <c r="J1975">
        <v>3.08</v>
      </c>
      <c r="K1975">
        <v>97.7</v>
      </c>
      <c r="L1975">
        <v>92.2</v>
      </c>
      <c r="M1975" s="175">
        <v>1.31</v>
      </c>
      <c r="N1975" t="s">
        <v>3295</v>
      </c>
    </row>
    <row r="1976" spans="1:14">
      <c r="A1976">
        <v>6841</v>
      </c>
      <c r="B1976" t="s">
        <v>2684</v>
      </c>
      <c r="C1976">
        <v>53.9</v>
      </c>
      <c r="D1976">
        <v>53.4</v>
      </c>
      <c r="E1976" s="178">
        <v>-0.9</v>
      </c>
      <c r="F1976" s="176">
        <v>-1.66</v>
      </c>
      <c r="G1976" t="s">
        <v>6610</v>
      </c>
      <c r="H1976">
        <v>133</v>
      </c>
      <c r="I1976">
        <v>232</v>
      </c>
      <c r="J1976">
        <v>9.52</v>
      </c>
      <c r="K1976">
        <v>54.1</v>
      </c>
      <c r="L1976">
        <v>53.3</v>
      </c>
      <c r="M1976" s="175">
        <v>0.14000000000000001</v>
      </c>
      <c r="N1976" t="s">
        <v>2685</v>
      </c>
    </row>
    <row r="1977" spans="1:14">
      <c r="A1977">
        <v>6843</v>
      </c>
      <c r="B1977" t="s">
        <v>2686</v>
      </c>
      <c r="C1977">
        <v>39.25</v>
      </c>
      <c r="D1977">
        <v>39.049999999999997</v>
      </c>
      <c r="E1977" s="178">
        <v>-1.25</v>
      </c>
      <c r="F1977" s="176">
        <v>-3.1</v>
      </c>
      <c r="G1977" t="s">
        <v>6075</v>
      </c>
      <c r="H1977">
        <v>7</v>
      </c>
      <c r="I1977">
        <v>2</v>
      </c>
      <c r="J1977">
        <v>3.33</v>
      </c>
      <c r="K1977">
        <v>39.25</v>
      </c>
      <c r="L1977">
        <v>38.549999999999997</v>
      </c>
      <c r="M1977" s="175">
        <v>0.02</v>
      </c>
      <c r="N1977" t="s">
        <v>2687</v>
      </c>
    </row>
    <row r="1978" spans="1:14">
      <c r="A1978">
        <v>6844</v>
      </c>
      <c r="B1978" t="s">
        <v>3368</v>
      </c>
      <c r="C1978">
        <v>59.8</v>
      </c>
      <c r="D1978">
        <v>60.3</v>
      </c>
      <c r="E1978" s="178">
        <v>0</v>
      </c>
      <c r="F1978" s="176">
        <v>0</v>
      </c>
      <c r="G1978" t="s">
        <v>5218</v>
      </c>
      <c r="H1978">
        <v>25</v>
      </c>
      <c r="I1978">
        <v>22</v>
      </c>
      <c r="J1978">
        <v>3.74</v>
      </c>
      <c r="K1978">
        <v>60.3</v>
      </c>
      <c r="L1978">
        <v>59.6</v>
      </c>
      <c r="M1978" s="175">
        <v>7.0000000000000007E-2</v>
      </c>
      <c r="N1978" t="s">
        <v>4134</v>
      </c>
    </row>
    <row r="1979" spans="1:14">
      <c r="A1979">
        <v>6846</v>
      </c>
      <c r="B1979" t="s">
        <v>2688</v>
      </c>
      <c r="C1979">
        <v>59.1</v>
      </c>
      <c r="D1979">
        <v>57.7</v>
      </c>
      <c r="E1979" s="178">
        <v>0.1</v>
      </c>
      <c r="F1979" s="176">
        <v>0.17</v>
      </c>
      <c r="G1979" t="s">
        <v>5968</v>
      </c>
      <c r="H1979">
        <v>9</v>
      </c>
      <c r="I1979">
        <v>7</v>
      </c>
      <c r="J1979">
        <v>2.71</v>
      </c>
      <c r="K1979">
        <v>59.1</v>
      </c>
      <c r="L1979">
        <v>57</v>
      </c>
      <c r="M1979" s="175">
        <v>0.03</v>
      </c>
      <c r="N1979" t="s">
        <v>2689</v>
      </c>
    </row>
    <row r="1980" spans="1:14">
      <c r="A1980">
        <v>6855</v>
      </c>
      <c r="B1980" t="s">
        <v>2690</v>
      </c>
      <c r="C1980">
        <v>115.5</v>
      </c>
      <c r="D1980">
        <v>116</v>
      </c>
      <c r="E1980" s="178">
        <v>0</v>
      </c>
      <c r="F1980" s="176">
        <v>0</v>
      </c>
      <c r="G1980" t="s">
        <v>6812</v>
      </c>
      <c r="H1980">
        <v>8</v>
      </c>
      <c r="I1980">
        <v>6</v>
      </c>
      <c r="J1980">
        <v>2.3199999999999998</v>
      </c>
      <c r="K1980">
        <v>116</v>
      </c>
      <c r="L1980">
        <v>115.5</v>
      </c>
      <c r="M1980" s="175">
        <v>0.03</v>
      </c>
      <c r="N1980" t="s">
        <v>2691</v>
      </c>
    </row>
    <row r="1981" spans="1:14">
      <c r="A1981">
        <v>6856</v>
      </c>
      <c r="B1981" t="s">
        <v>3088</v>
      </c>
      <c r="C1981" t="s">
        <v>1667</v>
      </c>
      <c r="D1981" t="s">
        <v>1667</v>
      </c>
      <c r="E1981" s="178" t="s">
        <v>1667</v>
      </c>
      <c r="F1981" s="176" t="s">
        <v>1667</v>
      </c>
      <c r="G1981" t="s">
        <v>1667</v>
      </c>
      <c r="H1981">
        <v>0</v>
      </c>
      <c r="I1981">
        <v>1</v>
      </c>
      <c r="J1981">
        <v>2.82</v>
      </c>
      <c r="K1981" t="s">
        <v>1667</v>
      </c>
      <c r="L1981" t="s">
        <v>1667</v>
      </c>
      <c r="M1981" s="175">
        <v>0</v>
      </c>
      <c r="N1981" t="s">
        <v>3089</v>
      </c>
    </row>
    <row r="1982" spans="1:14">
      <c r="A1982">
        <v>6859</v>
      </c>
      <c r="B1982" t="s">
        <v>2692</v>
      </c>
      <c r="C1982">
        <v>106</v>
      </c>
      <c r="D1982">
        <v>111</v>
      </c>
      <c r="E1982" s="178">
        <v>3</v>
      </c>
      <c r="F1982" s="176">
        <v>2.78</v>
      </c>
      <c r="G1982" t="s">
        <v>6745</v>
      </c>
      <c r="H1982">
        <v>94</v>
      </c>
      <c r="I1982">
        <v>35</v>
      </c>
      <c r="J1982">
        <v>4.16</v>
      </c>
      <c r="K1982">
        <v>111.5</v>
      </c>
      <c r="L1982">
        <v>106</v>
      </c>
      <c r="M1982" s="175">
        <v>0.23</v>
      </c>
      <c r="N1982" t="s">
        <v>2693</v>
      </c>
    </row>
    <row r="1983" spans="1:14">
      <c r="A1983">
        <v>6861</v>
      </c>
      <c r="B1983" t="s">
        <v>2694</v>
      </c>
      <c r="C1983">
        <v>190.5</v>
      </c>
      <c r="D1983">
        <v>188</v>
      </c>
      <c r="E1983" s="178">
        <v>-5.5</v>
      </c>
      <c r="F1983" s="176">
        <v>-2.84</v>
      </c>
      <c r="G1983" t="s">
        <v>6813</v>
      </c>
      <c r="H1983">
        <v>237</v>
      </c>
      <c r="I1983">
        <v>324</v>
      </c>
      <c r="J1983">
        <v>4.16</v>
      </c>
      <c r="K1983">
        <v>191.5</v>
      </c>
      <c r="L1983">
        <v>183</v>
      </c>
      <c r="M1983" s="175">
        <v>0.56999999999999995</v>
      </c>
      <c r="N1983" t="s">
        <v>4231</v>
      </c>
    </row>
    <row r="1984" spans="1:14">
      <c r="A1984">
        <v>6862</v>
      </c>
      <c r="B1984" t="s">
        <v>4078</v>
      </c>
      <c r="C1984">
        <v>145.5</v>
      </c>
      <c r="D1984">
        <v>139.5</v>
      </c>
      <c r="E1984" s="178">
        <v>-4</v>
      </c>
      <c r="F1984" s="176">
        <v>-2.79</v>
      </c>
      <c r="G1984" t="s">
        <v>6814</v>
      </c>
      <c r="H1984">
        <v>180</v>
      </c>
      <c r="I1984">
        <v>178</v>
      </c>
      <c r="J1984">
        <v>5</v>
      </c>
      <c r="K1984">
        <v>145.5</v>
      </c>
      <c r="L1984">
        <v>137</v>
      </c>
      <c r="M1984" s="175">
        <v>0.36</v>
      </c>
      <c r="N1984" t="s">
        <v>4079</v>
      </c>
    </row>
    <row r="1985" spans="1:14">
      <c r="A1985">
        <v>6863</v>
      </c>
      <c r="B1985" t="s">
        <v>2695</v>
      </c>
      <c r="C1985">
        <v>109</v>
      </c>
      <c r="D1985">
        <v>109</v>
      </c>
      <c r="E1985" s="178">
        <v>-0.5</v>
      </c>
      <c r="F1985" s="176">
        <v>-0.46</v>
      </c>
      <c r="G1985" t="s">
        <v>6815</v>
      </c>
      <c r="H1985">
        <v>59</v>
      </c>
      <c r="I1985">
        <v>81</v>
      </c>
      <c r="J1985">
        <v>7.49</v>
      </c>
      <c r="K1985">
        <v>109</v>
      </c>
      <c r="L1985">
        <v>107</v>
      </c>
      <c r="M1985" s="175">
        <v>0.08</v>
      </c>
      <c r="N1985" t="s">
        <v>4232</v>
      </c>
    </row>
    <row r="1986" spans="1:14">
      <c r="A1986">
        <v>6865</v>
      </c>
      <c r="B1986" t="s">
        <v>2696</v>
      </c>
      <c r="C1986">
        <v>25</v>
      </c>
      <c r="D1986">
        <v>26.7</v>
      </c>
      <c r="E1986" s="178">
        <v>0.7</v>
      </c>
      <c r="F1986" s="176">
        <v>2.69</v>
      </c>
      <c r="G1986" t="s">
        <v>6816</v>
      </c>
      <c r="H1986">
        <v>5</v>
      </c>
      <c r="I1986">
        <v>9</v>
      </c>
      <c r="J1986">
        <v>1.58</v>
      </c>
      <c r="K1986">
        <v>26.7</v>
      </c>
      <c r="L1986">
        <v>25</v>
      </c>
      <c r="M1986" s="175">
        <v>0.03</v>
      </c>
      <c r="N1986" t="s">
        <v>2697</v>
      </c>
    </row>
    <row r="1987" spans="1:14">
      <c r="A1987">
        <v>6869</v>
      </c>
      <c r="B1987" t="s">
        <v>3931</v>
      </c>
      <c r="C1987">
        <v>67.7</v>
      </c>
      <c r="D1987">
        <v>66.599999999999994</v>
      </c>
      <c r="E1987" s="178">
        <v>-1.4</v>
      </c>
      <c r="F1987" s="176">
        <v>-2.06</v>
      </c>
      <c r="G1987" t="s">
        <v>6817</v>
      </c>
      <c r="H1987">
        <v>232</v>
      </c>
      <c r="I1987">
        <v>290</v>
      </c>
      <c r="J1987">
        <v>13.78</v>
      </c>
      <c r="K1987">
        <v>67.7</v>
      </c>
      <c r="L1987">
        <v>66.5</v>
      </c>
      <c r="M1987" s="175">
        <v>0.17</v>
      </c>
      <c r="N1987" t="s">
        <v>3932</v>
      </c>
    </row>
    <row r="1988" spans="1:14">
      <c r="A1988">
        <v>6870</v>
      </c>
      <c r="B1988" t="s">
        <v>3073</v>
      </c>
      <c r="C1988">
        <v>251.5</v>
      </c>
      <c r="D1988">
        <v>252</v>
      </c>
      <c r="E1988" s="178">
        <v>-3.5</v>
      </c>
      <c r="F1988" s="176">
        <v>-1.37</v>
      </c>
      <c r="G1988" t="s">
        <v>6818</v>
      </c>
      <c r="H1988">
        <v>20</v>
      </c>
      <c r="I1988">
        <v>34</v>
      </c>
      <c r="J1988">
        <v>2.85</v>
      </c>
      <c r="K1988">
        <v>256.5</v>
      </c>
      <c r="L1988">
        <v>250.5</v>
      </c>
      <c r="M1988" s="175">
        <v>7.0000000000000007E-2</v>
      </c>
      <c r="N1988" t="s">
        <v>3074</v>
      </c>
    </row>
    <row r="1989" spans="1:14">
      <c r="A1989">
        <v>6872</v>
      </c>
      <c r="B1989" t="s">
        <v>4345</v>
      </c>
      <c r="C1989">
        <v>14.05</v>
      </c>
      <c r="D1989">
        <v>14.15</v>
      </c>
      <c r="E1989" s="178">
        <v>-0.2</v>
      </c>
      <c r="F1989" s="176">
        <v>-1.39</v>
      </c>
      <c r="G1989" t="s">
        <v>6819</v>
      </c>
      <c r="H1989">
        <v>37</v>
      </c>
      <c r="I1989">
        <v>59</v>
      </c>
      <c r="J1989">
        <v>7.08</v>
      </c>
      <c r="K1989">
        <v>14.15</v>
      </c>
      <c r="L1989">
        <v>14</v>
      </c>
      <c r="M1989" s="175">
        <v>0.05</v>
      </c>
      <c r="N1989" t="s">
        <v>5017</v>
      </c>
    </row>
    <row r="1990" spans="1:14">
      <c r="A1990">
        <v>6873</v>
      </c>
      <c r="B1990" t="s">
        <v>4050</v>
      </c>
      <c r="C1990">
        <v>70.3</v>
      </c>
      <c r="D1990">
        <v>69</v>
      </c>
      <c r="E1990" s="178">
        <v>-1.3</v>
      </c>
      <c r="F1990" s="176">
        <v>-1.85</v>
      </c>
      <c r="G1990" t="s">
        <v>6820</v>
      </c>
      <c r="H1990">
        <v>586</v>
      </c>
      <c r="I1990">
        <v>440</v>
      </c>
      <c r="J1990">
        <v>14.26</v>
      </c>
      <c r="K1990">
        <v>70.3</v>
      </c>
      <c r="L1990">
        <v>68.2</v>
      </c>
      <c r="M1990" s="175">
        <v>0.41</v>
      </c>
      <c r="N1990" t="s">
        <v>4051</v>
      </c>
    </row>
    <row r="1991" spans="1:14">
      <c r="A1991">
        <v>6874</v>
      </c>
      <c r="B1991" t="s">
        <v>2698</v>
      </c>
      <c r="C1991">
        <v>83.3</v>
      </c>
      <c r="D1991">
        <v>82.9</v>
      </c>
      <c r="E1991" s="178">
        <v>0.1</v>
      </c>
      <c r="F1991" s="176">
        <v>0.12</v>
      </c>
      <c r="G1991" t="s">
        <v>5541</v>
      </c>
      <c r="H1991">
        <v>22</v>
      </c>
      <c r="I1991">
        <v>27</v>
      </c>
      <c r="J1991">
        <v>2.2000000000000002</v>
      </c>
      <c r="K1991">
        <v>83.3</v>
      </c>
      <c r="L1991">
        <v>82.2</v>
      </c>
      <c r="M1991" s="175">
        <v>0.1</v>
      </c>
      <c r="N1991" t="s">
        <v>2699</v>
      </c>
    </row>
    <row r="1992" spans="1:14">
      <c r="A1992">
        <v>6875</v>
      </c>
      <c r="B1992" t="s">
        <v>3416</v>
      </c>
      <c r="C1992">
        <v>32.5</v>
      </c>
      <c r="D1992">
        <v>33</v>
      </c>
      <c r="E1992" s="178">
        <v>0</v>
      </c>
      <c r="F1992" s="176">
        <v>0</v>
      </c>
      <c r="G1992" t="s">
        <v>5367</v>
      </c>
      <c r="H1992">
        <v>52</v>
      </c>
      <c r="I1992">
        <v>34</v>
      </c>
      <c r="J1992">
        <v>6.46</v>
      </c>
      <c r="K1992">
        <v>33</v>
      </c>
      <c r="L1992">
        <v>32.049999999999997</v>
      </c>
      <c r="M1992" s="175">
        <v>0.04</v>
      </c>
      <c r="N1992" t="s">
        <v>3417</v>
      </c>
    </row>
    <row r="1993" spans="1:14">
      <c r="A1993">
        <v>6877</v>
      </c>
      <c r="B1993" t="s">
        <v>2700</v>
      </c>
      <c r="C1993">
        <v>116.5</v>
      </c>
      <c r="D1993">
        <v>113.5</v>
      </c>
      <c r="E1993" s="178">
        <v>-3</v>
      </c>
      <c r="F1993" s="176">
        <v>-2.58</v>
      </c>
      <c r="G1993" t="s">
        <v>5703</v>
      </c>
      <c r="H1993">
        <v>46</v>
      </c>
      <c r="I1993">
        <v>35</v>
      </c>
      <c r="J1993">
        <v>4.72</v>
      </c>
      <c r="K1993">
        <v>116.5</v>
      </c>
      <c r="L1993">
        <v>112.5</v>
      </c>
      <c r="M1993" s="175">
        <v>0.1</v>
      </c>
      <c r="N1993" t="s">
        <v>2701</v>
      </c>
    </row>
    <row r="1994" spans="1:14">
      <c r="A1994">
        <v>6881</v>
      </c>
      <c r="B1994" t="s">
        <v>3733</v>
      </c>
      <c r="C1994">
        <v>220</v>
      </c>
      <c r="D1994">
        <v>216</v>
      </c>
      <c r="E1994" s="178">
        <v>-1</v>
      </c>
      <c r="F1994" s="176">
        <v>-0.46</v>
      </c>
      <c r="G1994" t="s">
        <v>6821</v>
      </c>
      <c r="H1994">
        <v>4</v>
      </c>
      <c r="I1994">
        <v>1</v>
      </c>
      <c r="J1994">
        <v>1.5</v>
      </c>
      <c r="K1994">
        <v>220</v>
      </c>
      <c r="L1994">
        <v>216</v>
      </c>
      <c r="M1994" s="175">
        <v>0.03</v>
      </c>
      <c r="N1994" t="s">
        <v>3734</v>
      </c>
    </row>
    <row r="1995" spans="1:14">
      <c r="A1995">
        <v>6884</v>
      </c>
      <c r="B1995" t="s">
        <v>4762</v>
      </c>
      <c r="C1995">
        <v>30.2</v>
      </c>
      <c r="D1995">
        <v>30.2</v>
      </c>
      <c r="E1995" s="178">
        <v>0</v>
      </c>
      <c r="F1995" s="176">
        <v>0</v>
      </c>
      <c r="G1995" t="s">
        <v>6822</v>
      </c>
      <c r="H1995">
        <v>5</v>
      </c>
      <c r="I1995">
        <v>4</v>
      </c>
      <c r="J1995">
        <v>1.84</v>
      </c>
      <c r="K1995">
        <v>30.2</v>
      </c>
      <c r="L1995">
        <v>30.2</v>
      </c>
      <c r="M1995" s="175">
        <v>0.03</v>
      </c>
      <c r="N1995" t="s">
        <v>4763</v>
      </c>
    </row>
    <row r="1996" spans="1:14">
      <c r="A1996">
        <v>6885</v>
      </c>
      <c r="B1996" t="s">
        <v>4155</v>
      </c>
      <c r="C1996">
        <v>22.65</v>
      </c>
      <c r="D1996">
        <v>23.1</v>
      </c>
      <c r="E1996" s="178">
        <v>0.45</v>
      </c>
      <c r="F1996" s="176">
        <v>1.99</v>
      </c>
      <c r="G1996" t="s">
        <v>5786</v>
      </c>
      <c r="H1996">
        <v>345</v>
      </c>
      <c r="I1996">
        <v>722</v>
      </c>
      <c r="J1996">
        <v>13.31</v>
      </c>
      <c r="K1996">
        <v>23.35</v>
      </c>
      <c r="L1996">
        <v>22.35</v>
      </c>
      <c r="M1996" s="175">
        <v>0.26</v>
      </c>
      <c r="N1996" t="s">
        <v>4156</v>
      </c>
    </row>
    <row r="1997" spans="1:14">
      <c r="A1997">
        <v>6887</v>
      </c>
      <c r="B1997" t="s">
        <v>4350</v>
      </c>
      <c r="C1997">
        <v>37.200000000000003</v>
      </c>
      <c r="D1997">
        <v>36.549999999999997</v>
      </c>
      <c r="E1997" s="178">
        <v>-1.65</v>
      </c>
      <c r="F1997" s="176">
        <v>-4.32</v>
      </c>
      <c r="G1997" t="s">
        <v>5273</v>
      </c>
      <c r="H1997">
        <v>38</v>
      </c>
      <c r="I1997">
        <v>62</v>
      </c>
      <c r="J1997">
        <v>7.42</v>
      </c>
      <c r="K1997">
        <v>37.25</v>
      </c>
      <c r="L1997">
        <v>36.200000000000003</v>
      </c>
      <c r="M1997" s="175">
        <v>0.05</v>
      </c>
      <c r="N1997" t="s">
        <v>4351</v>
      </c>
    </row>
    <row r="1998" spans="1:14">
      <c r="A1998">
        <v>6890</v>
      </c>
      <c r="B1998" t="s">
        <v>3920</v>
      </c>
      <c r="C1998">
        <v>168</v>
      </c>
      <c r="D1998">
        <v>167</v>
      </c>
      <c r="E1998" s="178">
        <v>-2</v>
      </c>
      <c r="F1998" s="176">
        <v>-1.18</v>
      </c>
      <c r="G1998" t="s">
        <v>5591</v>
      </c>
      <c r="H1998">
        <v>124</v>
      </c>
      <c r="I1998">
        <v>418</v>
      </c>
      <c r="J1998">
        <v>25.03</v>
      </c>
      <c r="K1998">
        <v>168.5</v>
      </c>
      <c r="L1998">
        <v>165.5</v>
      </c>
      <c r="M1998" s="175">
        <v>0.05</v>
      </c>
      <c r="N1998" t="s">
        <v>3921</v>
      </c>
    </row>
    <row r="1999" spans="1:14">
      <c r="A1999">
        <v>6894</v>
      </c>
      <c r="B1999" t="s">
        <v>3123</v>
      </c>
      <c r="C1999">
        <v>357</v>
      </c>
      <c r="D1999">
        <v>354</v>
      </c>
      <c r="E1999" s="178">
        <v>3.5</v>
      </c>
      <c r="F1999" s="176">
        <v>1</v>
      </c>
      <c r="G1999" t="s">
        <v>6823</v>
      </c>
      <c r="H1999">
        <v>194</v>
      </c>
      <c r="I1999">
        <v>46</v>
      </c>
      <c r="J1999">
        <v>2.38</v>
      </c>
      <c r="K1999">
        <v>374</v>
      </c>
      <c r="L1999">
        <v>353</v>
      </c>
      <c r="M1999" s="175">
        <v>0.82</v>
      </c>
      <c r="N1999" t="s">
        <v>3124</v>
      </c>
    </row>
    <row r="2000" spans="1:14">
      <c r="A2000">
        <v>6895</v>
      </c>
      <c r="B2000" t="s">
        <v>3056</v>
      </c>
      <c r="C2000">
        <v>151.5</v>
      </c>
      <c r="D2000">
        <v>163.5</v>
      </c>
      <c r="E2000" s="178">
        <v>14.5</v>
      </c>
      <c r="F2000" s="176">
        <v>9.73</v>
      </c>
      <c r="G2000" t="s">
        <v>6824</v>
      </c>
      <c r="H2000">
        <v>332</v>
      </c>
      <c r="I2000">
        <v>70</v>
      </c>
      <c r="J2000">
        <v>3.41</v>
      </c>
      <c r="K2000">
        <v>163.5</v>
      </c>
      <c r="L2000">
        <v>151.5</v>
      </c>
      <c r="M2000" s="175">
        <v>0.97</v>
      </c>
      <c r="N2000" t="s">
        <v>4233</v>
      </c>
    </row>
    <row r="2001" spans="1:14">
      <c r="A2001">
        <v>6899</v>
      </c>
      <c r="B2001" t="s">
        <v>3427</v>
      </c>
      <c r="C2001">
        <v>50</v>
      </c>
      <c r="D2001">
        <v>50</v>
      </c>
      <c r="E2001" s="178">
        <v>-0.5</v>
      </c>
      <c r="F2001" s="176">
        <v>-0.99</v>
      </c>
      <c r="G2001" t="s">
        <v>5625</v>
      </c>
      <c r="H2001">
        <v>15</v>
      </c>
      <c r="I2001">
        <v>12</v>
      </c>
      <c r="J2001">
        <v>4.24</v>
      </c>
      <c r="K2001">
        <v>50.7</v>
      </c>
      <c r="L2001">
        <v>50</v>
      </c>
      <c r="M2001" s="175">
        <v>0.04</v>
      </c>
      <c r="N2001" t="s">
        <v>3428</v>
      </c>
    </row>
    <row r="2002" spans="1:14">
      <c r="A2002">
        <v>6901</v>
      </c>
      <c r="B2002" t="s">
        <v>3075</v>
      </c>
      <c r="C2002">
        <v>16.149999999999999</v>
      </c>
      <c r="D2002">
        <v>15.85</v>
      </c>
      <c r="E2002" s="178">
        <v>-0.3</v>
      </c>
      <c r="F2002" s="176">
        <v>-1.86</v>
      </c>
      <c r="G2002" t="s">
        <v>6825</v>
      </c>
      <c r="H2002">
        <v>1798</v>
      </c>
      <c r="I2002">
        <v>1507</v>
      </c>
      <c r="J2002">
        <v>85.37</v>
      </c>
      <c r="K2002">
        <v>16.2</v>
      </c>
      <c r="L2002">
        <v>15.75</v>
      </c>
      <c r="M2002" s="175">
        <v>0.21</v>
      </c>
      <c r="N2002" t="s">
        <v>3076</v>
      </c>
    </row>
    <row r="2003" spans="1:14">
      <c r="A2003">
        <v>6902</v>
      </c>
      <c r="B2003" t="s">
        <v>4512</v>
      </c>
      <c r="C2003">
        <v>127</v>
      </c>
      <c r="D2003">
        <v>127.5</v>
      </c>
      <c r="E2003" s="178">
        <v>-2</v>
      </c>
      <c r="F2003" s="176">
        <v>-1.54</v>
      </c>
      <c r="G2003" t="s">
        <v>5487</v>
      </c>
      <c r="H2003">
        <v>69</v>
      </c>
      <c r="I2003">
        <v>59</v>
      </c>
      <c r="J2003">
        <v>3.56</v>
      </c>
      <c r="K2003">
        <v>129</v>
      </c>
      <c r="L2003">
        <v>125.5</v>
      </c>
      <c r="M2003" s="175">
        <v>0.19</v>
      </c>
      <c r="N2003" t="s">
        <v>4513</v>
      </c>
    </row>
    <row r="2004" spans="1:14">
      <c r="A2004">
        <v>6903</v>
      </c>
      <c r="B2004" t="s">
        <v>3922</v>
      </c>
      <c r="C2004">
        <v>315.5</v>
      </c>
      <c r="D2004">
        <v>313</v>
      </c>
      <c r="E2004" s="178">
        <v>-4</v>
      </c>
      <c r="F2004" s="176">
        <v>-1.26</v>
      </c>
      <c r="G2004" t="s">
        <v>6826</v>
      </c>
      <c r="H2004">
        <v>169</v>
      </c>
      <c r="I2004">
        <v>249</v>
      </c>
      <c r="J2004">
        <v>6.67</v>
      </c>
      <c r="K2004">
        <v>315.5</v>
      </c>
      <c r="L2004">
        <v>309</v>
      </c>
      <c r="M2004" s="175">
        <v>0.25</v>
      </c>
      <c r="N2004" t="s">
        <v>3923</v>
      </c>
    </row>
    <row r="2005" spans="1:14">
      <c r="A2005">
        <v>6904</v>
      </c>
      <c r="B2005" t="s">
        <v>3125</v>
      </c>
      <c r="C2005" t="s">
        <v>1667</v>
      </c>
      <c r="D2005" t="s">
        <v>1667</v>
      </c>
      <c r="E2005" s="178" t="s">
        <v>1667</v>
      </c>
      <c r="F2005" s="176" t="s">
        <v>1667</v>
      </c>
      <c r="G2005" t="s">
        <v>1667</v>
      </c>
      <c r="H2005">
        <v>0</v>
      </c>
      <c r="I2005">
        <v>0</v>
      </c>
      <c r="J2005">
        <v>1.85</v>
      </c>
      <c r="K2005" t="s">
        <v>1667</v>
      </c>
      <c r="L2005" t="s">
        <v>1667</v>
      </c>
      <c r="M2005" s="175">
        <v>0</v>
      </c>
      <c r="N2005" t="s">
        <v>3296</v>
      </c>
    </row>
    <row r="2006" spans="1:14">
      <c r="A2006">
        <v>6906</v>
      </c>
      <c r="B2006" t="s">
        <v>3348</v>
      </c>
      <c r="C2006">
        <v>81</v>
      </c>
      <c r="D2006">
        <v>78</v>
      </c>
      <c r="E2006" s="178">
        <v>-3.2</v>
      </c>
      <c r="F2006" s="176">
        <v>-3.94</v>
      </c>
      <c r="G2006" t="s">
        <v>6827</v>
      </c>
      <c r="H2006">
        <v>133</v>
      </c>
      <c r="I2006">
        <v>57</v>
      </c>
      <c r="J2006">
        <v>3.35</v>
      </c>
      <c r="K2006">
        <v>81.900000000000006</v>
      </c>
      <c r="L2006">
        <v>77.099999999999994</v>
      </c>
      <c r="M2006" s="175">
        <v>0.4</v>
      </c>
      <c r="N2006" t="s">
        <v>3349</v>
      </c>
    </row>
    <row r="2007" spans="1:14">
      <c r="A2007">
        <v>6907</v>
      </c>
      <c r="B2007" t="s">
        <v>4865</v>
      </c>
      <c r="C2007">
        <v>181.5</v>
      </c>
      <c r="D2007">
        <v>184</v>
      </c>
      <c r="E2007" s="178">
        <v>-2</v>
      </c>
      <c r="F2007" s="176">
        <v>-1.08</v>
      </c>
      <c r="G2007" t="s">
        <v>5582</v>
      </c>
      <c r="H2007">
        <v>871</v>
      </c>
      <c r="I2007">
        <v>1333</v>
      </c>
      <c r="J2007">
        <v>6.26</v>
      </c>
      <c r="K2007">
        <v>188</v>
      </c>
      <c r="L2007">
        <v>180</v>
      </c>
      <c r="M2007" s="175">
        <v>1.39</v>
      </c>
      <c r="N2007" t="s">
        <v>4866</v>
      </c>
    </row>
    <row r="2008" spans="1:14">
      <c r="A2008">
        <v>6909</v>
      </c>
      <c r="B2008" t="s">
        <v>4514</v>
      </c>
      <c r="C2008">
        <v>40.6</v>
      </c>
      <c r="D2008">
        <v>40.799999999999997</v>
      </c>
      <c r="E2008" s="178">
        <v>-0.65</v>
      </c>
      <c r="F2008" s="176">
        <v>-1.57</v>
      </c>
      <c r="G2008" t="s">
        <v>6828</v>
      </c>
      <c r="H2008">
        <v>173</v>
      </c>
      <c r="I2008">
        <v>174</v>
      </c>
      <c r="J2008">
        <v>6.75</v>
      </c>
      <c r="K2008">
        <v>42.3</v>
      </c>
      <c r="L2008">
        <v>40.15</v>
      </c>
      <c r="M2008" s="175">
        <v>0.26</v>
      </c>
      <c r="N2008" t="s">
        <v>4515</v>
      </c>
    </row>
    <row r="2009" spans="1:14">
      <c r="A2009">
        <v>6910</v>
      </c>
      <c r="B2009" t="s">
        <v>4760</v>
      </c>
      <c r="C2009">
        <v>24.55</v>
      </c>
      <c r="D2009">
        <v>24.6</v>
      </c>
      <c r="E2009" s="178">
        <v>0.2</v>
      </c>
      <c r="F2009" s="176">
        <v>0.82</v>
      </c>
      <c r="G2009" t="s">
        <v>5691</v>
      </c>
      <c r="H2009">
        <v>8</v>
      </c>
      <c r="I2009">
        <v>13</v>
      </c>
      <c r="J2009">
        <v>3.05</v>
      </c>
      <c r="K2009">
        <v>24.6</v>
      </c>
      <c r="L2009">
        <v>24.45</v>
      </c>
      <c r="M2009" s="175">
        <v>0.03</v>
      </c>
      <c r="N2009" t="s">
        <v>4761</v>
      </c>
    </row>
    <row r="2010" spans="1:14">
      <c r="A2010">
        <v>6913</v>
      </c>
      <c r="B2010" t="s">
        <v>4064</v>
      </c>
      <c r="C2010">
        <v>159</v>
      </c>
      <c r="D2010">
        <v>166</v>
      </c>
      <c r="E2010" s="178">
        <v>7</v>
      </c>
      <c r="F2010" s="176">
        <v>4.4000000000000004</v>
      </c>
      <c r="G2010" t="s">
        <v>6829</v>
      </c>
      <c r="H2010">
        <v>2366</v>
      </c>
      <c r="I2010">
        <v>770</v>
      </c>
      <c r="J2010">
        <v>4.38</v>
      </c>
      <c r="K2010">
        <v>169</v>
      </c>
      <c r="L2010">
        <v>156.5</v>
      </c>
      <c r="M2010" s="175">
        <v>5.4</v>
      </c>
      <c r="N2010" t="s">
        <v>4065</v>
      </c>
    </row>
    <row r="2011" spans="1:14">
      <c r="A2011">
        <v>6914</v>
      </c>
      <c r="B2011" t="s">
        <v>3454</v>
      </c>
      <c r="C2011">
        <v>124</v>
      </c>
      <c r="D2011">
        <v>122</v>
      </c>
      <c r="E2011" s="178">
        <v>-1.5</v>
      </c>
      <c r="F2011" s="176">
        <v>-1.21</v>
      </c>
      <c r="G2011" t="s">
        <v>6608</v>
      </c>
      <c r="H2011">
        <v>58</v>
      </c>
      <c r="I2011">
        <v>241</v>
      </c>
      <c r="J2011">
        <v>7.95</v>
      </c>
      <c r="K2011">
        <v>124</v>
      </c>
      <c r="L2011">
        <v>122</v>
      </c>
      <c r="M2011" s="175">
        <v>7.0000000000000007E-2</v>
      </c>
      <c r="N2011" t="s">
        <v>3455</v>
      </c>
    </row>
    <row r="2012" spans="1:14">
      <c r="A2012">
        <v>6916</v>
      </c>
      <c r="B2012" t="s">
        <v>3126</v>
      </c>
      <c r="C2012">
        <v>18.2</v>
      </c>
      <c r="D2012">
        <v>18.3</v>
      </c>
      <c r="E2012" s="178">
        <v>0.1</v>
      </c>
      <c r="F2012" s="176">
        <v>0.55000000000000004</v>
      </c>
      <c r="G2012" t="s">
        <v>5737</v>
      </c>
      <c r="H2012">
        <v>28</v>
      </c>
      <c r="I2012">
        <v>24</v>
      </c>
      <c r="J2012">
        <v>6.75</v>
      </c>
      <c r="K2012">
        <v>18.350000000000001</v>
      </c>
      <c r="L2012">
        <v>18.2</v>
      </c>
      <c r="M2012" s="175">
        <v>0.04</v>
      </c>
      <c r="N2012" t="s">
        <v>3127</v>
      </c>
    </row>
    <row r="2013" spans="1:14">
      <c r="A2013">
        <v>6918</v>
      </c>
      <c r="B2013" t="s">
        <v>4516</v>
      </c>
      <c r="C2013">
        <v>77</v>
      </c>
      <c r="D2013">
        <v>77.2</v>
      </c>
      <c r="E2013" s="178">
        <v>-0.8</v>
      </c>
      <c r="F2013" s="176">
        <v>-1.03</v>
      </c>
      <c r="G2013" t="s">
        <v>6830</v>
      </c>
      <c r="H2013">
        <v>25</v>
      </c>
      <c r="I2013">
        <v>43</v>
      </c>
      <c r="J2013">
        <v>3.46</v>
      </c>
      <c r="K2013">
        <v>77.5</v>
      </c>
      <c r="L2013">
        <v>76.900000000000006</v>
      </c>
      <c r="M2013" s="175">
        <v>7.0000000000000007E-2</v>
      </c>
      <c r="N2013" t="s">
        <v>4517</v>
      </c>
    </row>
    <row r="2014" spans="1:14">
      <c r="A2014">
        <v>6919</v>
      </c>
      <c r="B2014" t="s">
        <v>4557</v>
      </c>
      <c r="C2014">
        <v>99.9</v>
      </c>
      <c r="D2014">
        <v>94.8</v>
      </c>
      <c r="E2014" s="178">
        <v>-4.8</v>
      </c>
      <c r="F2014" s="176">
        <v>-4.82</v>
      </c>
      <c r="G2014" t="s">
        <v>6831</v>
      </c>
      <c r="H2014">
        <v>75905</v>
      </c>
      <c r="I2014">
        <v>6875</v>
      </c>
      <c r="J2014">
        <v>7.79</v>
      </c>
      <c r="K2014">
        <v>103.5</v>
      </c>
      <c r="L2014">
        <v>94.8</v>
      </c>
      <c r="M2014" s="175">
        <v>4.87</v>
      </c>
      <c r="N2014" t="s">
        <v>4558</v>
      </c>
    </row>
    <row r="2015" spans="1:14">
      <c r="A2015">
        <v>6922</v>
      </c>
      <c r="B2015" t="s">
        <v>3108</v>
      </c>
      <c r="C2015">
        <v>207.5</v>
      </c>
      <c r="D2015">
        <v>207</v>
      </c>
      <c r="E2015" s="178">
        <v>-1.5</v>
      </c>
      <c r="F2015" s="176">
        <v>-0.72</v>
      </c>
      <c r="G2015" t="s">
        <v>6832</v>
      </c>
      <c r="H2015">
        <v>168</v>
      </c>
      <c r="I2015">
        <v>265</v>
      </c>
      <c r="J2015">
        <v>2.72</v>
      </c>
      <c r="K2015">
        <v>212.5</v>
      </c>
      <c r="L2015">
        <v>205.5</v>
      </c>
      <c r="M2015" s="175">
        <v>0.62</v>
      </c>
      <c r="N2015" t="s">
        <v>3109</v>
      </c>
    </row>
    <row r="2016" spans="1:14">
      <c r="A2016">
        <v>6923</v>
      </c>
      <c r="B2016" t="s">
        <v>4044</v>
      </c>
      <c r="C2016">
        <v>75.900000000000006</v>
      </c>
      <c r="D2016">
        <v>76.900000000000006</v>
      </c>
      <c r="E2016" s="178">
        <v>0</v>
      </c>
      <c r="F2016" s="176">
        <v>0</v>
      </c>
      <c r="G2016" t="s">
        <v>5512</v>
      </c>
      <c r="H2016">
        <v>56</v>
      </c>
      <c r="I2016">
        <v>33</v>
      </c>
      <c r="J2016">
        <v>9.0399999999999991</v>
      </c>
      <c r="K2016">
        <v>77</v>
      </c>
      <c r="L2016">
        <v>75.3</v>
      </c>
      <c r="M2016" s="175">
        <v>0.06</v>
      </c>
      <c r="N2016" t="s">
        <v>4045</v>
      </c>
    </row>
    <row r="2017" spans="1:14">
      <c r="A2017">
        <v>6925</v>
      </c>
      <c r="B2017" t="s">
        <v>4518</v>
      </c>
      <c r="C2017">
        <v>50.1</v>
      </c>
      <c r="D2017">
        <v>49.6</v>
      </c>
      <c r="E2017" s="178">
        <v>-1.3</v>
      </c>
      <c r="F2017" s="176">
        <v>-2.5499999999999998</v>
      </c>
      <c r="G2017" t="s">
        <v>5274</v>
      </c>
      <c r="H2017">
        <v>25</v>
      </c>
      <c r="I2017">
        <v>11</v>
      </c>
      <c r="J2017">
        <v>2</v>
      </c>
      <c r="K2017">
        <v>50.1</v>
      </c>
      <c r="L2017">
        <v>49.5</v>
      </c>
      <c r="M2017" s="175">
        <v>0.13</v>
      </c>
      <c r="N2017" t="s">
        <v>4519</v>
      </c>
    </row>
    <row r="2018" spans="1:14">
      <c r="A2018">
        <v>6928</v>
      </c>
      <c r="B2018" t="s">
        <v>3600</v>
      </c>
      <c r="C2018">
        <v>47.65</v>
      </c>
      <c r="D2018">
        <v>47.8</v>
      </c>
      <c r="E2018" s="178">
        <v>0.2</v>
      </c>
      <c r="F2018" s="176">
        <v>0.42</v>
      </c>
      <c r="G2018" t="s">
        <v>5411</v>
      </c>
      <c r="H2018">
        <v>48</v>
      </c>
      <c r="I2018">
        <v>73</v>
      </c>
      <c r="J2018">
        <v>8.6</v>
      </c>
      <c r="K2018">
        <v>48</v>
      </c>
      <c r="L2018">
        <v>47.35</v>
      </c>
      <c r="M2018" s="175">
        <v>0.06</v>
      </c>
      <c r="N2018" t="s">
        <v>3601</v>
      </c>
    </row>
    <row r="2019" spans="1:14">
      <c r="A2019">
        <v>6929</v>
      </c>
      <c r="B2019" t="s">
        <v>3419</v>
      </c>
      <c r="C2019">
        <v>21.9</v>
      </c>
      <c r="D2019">
        <v>22.35</v>
      </c>
      <c r="E2019" s="178">
        <v>-0.15</v>
      </c>
      <c r="F2019" s="176">
        <v>-0.67</v>
      </c>
      <c r="G2019" t="s">
        <v>5679</v>
      </c>
      <c r="H2019">
        <v>3</v>
      </c>
      <c r="I2019">
        <v>5</v>
      </c>
      <c r="J2019">
        <v>4.51</v>
      </c>
      <c r="K2019">
        <v>22.4</v>
      </c>
      <c r="L2019">
        <v>21.9</v>
      </c>
      <c r="M2019" s="175">
        <v>0.01</v>
      </c>
      <c r="N2019" t="s">
        <v>3420</v>
      </c>
    </row>
    <row r="2020" spans="1:14">
      <c r="A2020">
        <v>6931</v>
      </c>
      <c r="B2020" t="s">
        <v>4249</v>
      </c>
      <c r="C2020">
        <v>41.3</v>
      </c>
      <c r="D2020">
        <v>41.45</v>
      </c>
      <c r="E2020" s="178">
        <v>0.05</v>
      </c>
      <c r="F2020" s="176">
        <v>0.12</v>
      </c>
      <c r="G2020" t="s">
        <v>6517</v>
      </c>
      <c r="H2020">
        <v>58</v>
      </c>
      <c r="I2020">
        <v>49</v>
      </c>
      <c r="J2020">
        <v>6.62</v>
      </c>
      <c r="K2020">
        <v>41.45</v>
      </c>
      <c r="L2020">
        <v>40.9</v>
      </c>
      <c r="M2020" s="175">
        <v>0.09</v>
      </c>
      <c r="N2020" t="s">
        <v>4250</v>
      </c>
    </row>
    <row r="2021" spans="1:14">
      <c r="A2021">
        <v>6933</v>
      </c>
      <c r="B2021" t="s">
        <v>3110</v>
      </c>
      <c r="C2021">
        <v>284</v>
      </c>
      <c r="D2021">
        <v>286</v>
      </c>
      <c r="E2021" s="178">
        <v>26</v>
      </c>
      <c r="F2021" s="176">
        <v>10</v>
      </c>
      <c r="G2021" t="s">
        <v>5796</v>
      </c>
      <c r="H2021">
        <v>2026</v>
      </c>
      <c r="I2021">
        <v>997</v>
      </c>
      <c r="J2021">
        <v>4.24</v>
      </c>
      <c r="K2021">
        <v>286</v>
      </c>
      <c r="L2021">
        <v>283</v>
      </c>
      <c r="M2021" s="175">
        <v>4.78</v>
      </c>
      <c r="N2021" t="s">
        <v>3111</v>
      </c>
    </row>
    <row r="2022" spans="1:14">
      <c r="A2022">
        <v>6934</v>
      </c>
      <c r="B2022" t="s">
        <v>4888</v>
      </c>
      <c r="C2022">
        <v>72.8</v>
      </c>
      <c r="D2022">
        <v>74.3</v>
      </c>
      <c r="E2022" s="178">
        <v>0.2</v>
      </c>
      <c r="F2022" s="176">
        <v>0.27</v>
      </c>
      <c r="G2022" t="s">
        <v>5287</v>
      </c>
      <c r="H2022">
        <v>39</v>
      </c>
      <c r="I2022">
        <v>14</v>
      </c>
      <c r="J2022">
        <v>3.61</v>
      </c>
      <c r="K2022">
        <v>76</v>
      </c>
      <c r="L2022">
        <v>72.8</v>
      </c>
      <c r="M2022" s="175">
        <v>0.11</v>
      </c>
      <c r="N2022" t="s">
        <v>4889</v>
      </c>
    </row>
    <row r="2023" spans="1:14">
      <c r="A2023">
        <v>6936</v>
      </c>
      <c r="B2023" t="s">
        <v>4520</v>
      </c>
      <c r="C2023">
        <v>32.4</v>
      </c>
      <c r="D2023">
        <v>32.35</v>
      </c>
      <c r="E2023" s="178">
        <v>-0.1</v>
      </c>
      <c r="F2023" s="176">
        <v>-0.31</v>
      </c>
      <c r="G2023" t="s">
        <v>5739</v>
      </c>
      <c r="H2023">
        <v>20</v>
      </c>
      <c r="I2023">
        <v>26</v>
      </c>
      <c r="J2023">
        <v>7.28</v>
      </c>
      <c r="K2023">
        <v>32.4</v>
      </c>
      <c r="L2023">
        <v>32.299999999999997</v>
      </c>
      <c r="M2023" s="175">
        <v>0.03</v>
      </c>
      <c r="N2023" t="s">
        <v>4521</v>
      </c>
    </row>
    <row r="2024" spans="1:14">
      <c r="A2024">
        <v>6937</v>
      </c>
      <c r="B2024" t="s">
        <v>3145</v>
      </c>
      <c r="C2024">
        <v>288.5</v>
      </c>
      <c r="D2024">
        <v>282</v>
      </c>
      <c r="E2024" s="178">
        <v>-10.5</v>
      </c>
      <c r="F2024" s="176">
        <v>-3.59</v>
      </c>
      <c r="G2024" t="s">
        <v>6833</v>
      </c>
      <c r="H2024">
        <v>303</v>
      </c>
      <c r="I2024">
        <v>318</v>
      </c>
      <c r="J2024">
        <v>6.77</v>
      </c>
      <c r="K2024">
        <v>288.5</v>
      </c>
      <c r="L2024">
        <v>275.5</v>
      </c>
      <c r="M2024" s="175">
        <v>0.45</v>
      </c>
      <c r="N2024" t="s">
        <v>3146</v>
      </c>
    </row>
    <row r="2025" spans="1:14">
      <c r="A2025">
        <v>6944</v>
      </c>
      <c r="B2025" t="s">
        <v>4522</v>
      </c>
      <c r="C2025">
        <v>710</v>
      </c>
      <c r="D2025">
        <v>717</v>
      </c>
      <c r="E2025" s="178">
        <v>5</v>
      </c>
      <c r="F2025" s="176">
        <v>0.7</v>
      </c>
      <c r="G2025" t="s">
        <v>6144</v>
      </c>
      <c r="H2025">
        <v>225</v>
      </c>
      <c r="I2025">
        <v>185</v>
      </c>
      <c r="J2025">
        <v>9.9700000000000006</v>
      </c>
      <c r="K2025">
        <v>719</v>
      </c>
      <c r="L2025">
        <v>699</v>
      </c>
      <c r="M2025" s="175">
        <v>0.23</v>
      </c>
      <c r="N2025" t="s">
        <v>4523</v>
      </c>
    </row>
    <row r="2026" spans="1:14">
      <c r="A2026">
        <v>6945</v>
      </c>
      <c r="B2026" t="s">
        <v>5114</v>
      </c>
      <c r="C2026">
        <v>105</v>
      </c>
      <c r="D2026">
        <v>98.3</v>
      </c>
      <c r="E2026" s="178">
        <v>-5.7</v>
      </c>
      <c r="F2026" s="176">
        <v>-5.48</v>
      </c>
      <c r="G2026" t="s">
        <v>5566</v>
      </c>
      <c r="H2026">
        <v>442</v>
      </c>
      <c r="I2026">
        <v>255</v>
      </c>
      <c r="J2026">
        <v>9.75</v>
      </c>
      <c r="K2026">
        <v>105.5</v>
      </c>
      <c r="L2026">
        <v>98</v>
      </c>
      <c r="M2026" s="175">
        <v>0.45</v>
      </c>
      <c r="N2026" t="s">
        <v>5115</v>
      </c>
    </row>
    <row r="2027" spans="1:14">
      <c r="A2027">
        <v>6947</v>
      </c>
      <c r="B2027" t="s">
        <v>5188</v>
      </c>
      <c r="C2027">
        <v>69.599999999999994</v>
      </c>
      <c r="D2027">
        <v>70.3</v>
      </c>
      <c r="E2027" s="178">
        <v>0.5</v>
      </c>
      <c r="F2027" s="176">
        <v>0.72</v>
      </c>
      <c r="G2027" t="s">
        <v>6834</v>
      </c>
      <c r="H2027">
        <v>314</v>
      </c>
      <c r="I2027">
        <v>185</v>
      </c>
      <c r="J2027">
        <v>10.61</v>
      </c>
      <c r="K2027">
        <v>70.3</v>
      </c>
      <c r="L2027">
        <v>69.3</v>
      </c>
      <c r="M2027" s="175">
        <v>0.3</v>
      </c>
      <c r="N2027" t="s">
        <v>5189</v>
      </c>
    </row>
    <row r="2028" spans="1:14">
      <c r="A2028">
        <v>6952</v>
      </c>
      <c r="B2028" t="s">
        <v>3924</v>
      </c>
      <c r="C2028">
        <v>38</v>
      </c>
      <c r="D2028">
        <v>38.200000000000003</v>
      </c>
      <c r="E2028" s="178">
        <v>0.25</v>
      </c>
      <c r="F2028" s="176">
        <v>0.66</v>
      </c>
      <c r="G2028" t="s">
        <v>5240</v>
      </c>
      <c r="H2028">
        <v>36</v>
      </c>
      <c r="I2028">
        <v>9</v>
      </c>
      <c r="J2028">
        <v>6.83</v>
      </c>
      <c r="K2028">
        <v>38.9</v>
      </c>
      <c r="L2028">
        <v>37.549999999999997</v>
      </c>
      <c r="M2028" s="175">
        <v>0.05</v>
      </c>
      <c r="N2028" t="s">
        <v>3925</v>
      </c>
    </row>
    <row r="2029" spans="1:14">
      <c r="A2029">
        <v>6953</v>
      </c>
      <c r="B2029" t="s">
        <v>3540</v>
      </c>
      <c r="C2029">
        <v>242</v>
      </c>
      <c r="D2029">
        <v>234</v>
      </c>
      <c r="E2029" s="178">
        <v>-6</v>
      </c>
      <c r="F2029" s="176">
        <v>-2.5</v>
      </c>
      <c r="G2029" t="s">
        <v>5219</v>
      </c>
      <c r="H2029">
        <v>30</v>
      </c>
      <c r="I2029">
        <v>34</v>
      </c>
      <c r="J2029">
        <v>3</v>
      </c>
      <c r="K2029">
        <v>242</v>
      </c>
      <c r="L2029">
        <v>231</v>
      </c>
      <c r="M2029" s="175">
        <v>0.1</v>
      </c>
      <c r="N2029" t="s">
        <v>3541</v>
      </c>
    </row>
    <row r="2030" spans="1:14">
      <c r="A2030">
        <v>6957</v>
      </c>
      <c r="B2030" t="s">
        <v>3934</v>
      </c>
      <c r="C2030">
        <v>227</v>
      </c>
      <c r="D2030">
        <v>219.5</v>
      </c>
      <c r="E2030" s="178">
        <v>-9.5</v>
      </c>
      <c r="F2030" s="176">
        <v>-4.1500000000000004</v>
      </c>
      <c r="G2030" t="s">
        <v>6835</v>
      </c>
      <c r="H2030">
        <v>174</v>
      </c>
      <c r="I2030">
        <v>85</v>
      </c>
      <c r="J2030">
        <v>5.56</v>
      </c>
      <c r="K2030">
        <v>227</v>
      </c>
      <c r="L2030">
        <v>218</v>
      </c>
      <c r="M2030" s="175">
        <v>0.31</v>
      </c>
      <c r="N2030" t="s">
        <v>3935</v>
      </c>
    </row>
    <row r="2031" spans="1:14">
      <c r="A2031">
        <v>6958</v>
      </c>
      <c r="B2031" t="s">
        <v>3998</v>
      </c>
      <c r="C2031">
        <v>17.05</v>
      </c>
      <c r="D2031">
        <v>17.2</v>
      </c>
      <c r="E2031" s="178">
        <v>-0.5</v>
      </c>
      <c r="F2031" s="176">
        <v>-2.82</v>
      </c>
      <c r="G2031" t="s">
        <v>6836</v>
      </c>
      <c r="H2031">
        <v>33</v>
      </c>
      <c r="I2031">
        <v>15</v>
      </c>
      <c r="J2031">
        <v>42.15</v>
      </c>
      <c r="K2031">
        <v>17.25</v>
      </c>
      <c r="L2031">
        <v>17.05</v>
      </c>
      <c r="M2031" s="175">
        <v>0.01</v>
      </c>
      <c r="N2031" t="s">
        <v>3999</v>
      </c>
    </row>
    <row r="2032" spans="1:14">
      <c r="A2032">
        <v>6961</v>
      </c>
      <c r="B2032" t="s">
        <v>4833</v>
      </c>
      <c r="C2032">
        <v>50.5</v>
      </c>
      <c r="D2032">
        <v>50.8</v>
      </c>
      <c r="E2032" s="178">
        <v>0</v>
      </c>
      <c r="F2032" s="176">
        <v>0</v>
      </c>
      <c r="G2032" t="s">
        <v>5427</v>
      </c>
      <c r="H2032">
        <v>46</v>
      </c>
      <c r="I2032">
        <v>8</v>
      </c>
      <c r="J2032">
        <v>2.68</v>
      </c>
      <c r="K2032">
        <v>50.8</v>
      </c>
      <c r="L2032">
        <v>50.4</v>
      </c>
      <c r="M2032" s="175">
        <v>0.17</v>
      </c>
      <c r="N2032" t="s">
        <v>4834</v>
      </c>
    </row>
    <row r="2033" spans="1:14">
      <c r="A2033">
        <v>6962</v>
      </c>
      <c r="B2033" t="s">
        <v>4467</v>
      </c>
      <c r="C2033">
        <v>30.85</v>
      </c>
      <c r="D2033">
        <v>31.55</v>
      </c>
      <c r="E2033" s="178">
        <v>0.4</v>
      </c>
      <c r="F2033" s="176">
        <v>1.28</v>
      </c>
      <c r="G2033" t="s">
        <v>5531</v>
      </c>
      <c r="H2033">
        <v>6396</v>
      </c>
      <c r="I2033">
        <v>1661</v>
      </c>
      <c r="J2033">
        <v>49.24</v>
      </c>
      <c r="K2033">
        <v>31.55</v>
      </c>
      <c r="L2033">
        <v>30.85</v>
      </c>
      <c r="M2033" s="175">
        <v>1.3</v>
      </c>
      <c r="N2033" t="s">
        <v>4129</v>
      </c>
    </row>
    <row r="2034" spans="1:14">
      <c r="A2034">
        <v>6965</v>
      </c>
      <c r="B2034" t="s">
        <v>4346</v>
      </c>
      <c r="C2034">
        <v>73</v>
      </c>
      <c r="D2034">
        <v>73.900000000000006</v>
      </c>
      <c r="E2034" s="178">
        <v>-1.3</v>
      </c>
      <c r="F2034" s="176">
        <v>-1.73</v>
      </c>
      <c r="G2034" t="s">
        <v>5246</v>
      </c>
      <c r="H2034">
        <v>23</v>
      </c>
      <c r="I2034">
        <v>13</v>
      </c>
      <c r="J2034">
        <v>15.63</v>
      </c>
      <c r="K2034">
        <v>74</v>
      </c>
      <c r="L2034">
        <v>73</v>
      </c>
      <c r="M2034" s="175">
        <v>0.01</v>
      </c>
      <c r="N2034" t="s">
        <v>4347</v>
      </c>
    </row>
    <row r="2035" spans="1:14">
      <c r="A2035">
        <v>6967</v>
      </c>
      <c r="B2035" t="s">
        <v>4046</v>
      </c>
      <c r="C2035">
        <v>74</v>
      </c>
      <c r="D2035">
        <v>73</v>
      </c>
      <c r="E2035" s="178">
        <v>-0.5</v>
      </c>
      <c r="F2035" s="176">
        <v>-0.68</v>
      </c>
      <c r="G2035" t="s">
        <v>5283</v>
      </c>
      <c r="H2035">
        <v>32</v>
      </c>
      <c r="I2035">
        <v>51</v>
      </c>
      <c r="J2035">
        <v>3.04</v>
      </c>
      <c r="K2035">
        <v>74</v>
      </c>
      <c r="L2035">
        <v>72.3</v>
      </c>
      <c r="M2035" s="175">
        <v>0.11</v>
      </c>
      <c r="N2035" t="s">
        <v>4047</v>
      </c>
    </row>
    <row r="2036" spans="1:14">
      <c r="A2036">
        <v>6968</v>
      </c>
      <c r="B2036" t="s">
        <v>3990</v>
      </c>
      <c r="C2036">
        <v>41.4</v>
      </c>
      <c r="D2036">
        <v>41.95</v>
      </c>
      <c r="E2036" s="178">
        <v>0.15</v>
      </c>
      <c r="F2036" s="176">
        <v>0.36</v>
      </c>
      <c r="G2036" t="s">
        <v>5631</v>
      </c>
      <c r="H2036">
        <v>30</v>
      </c>
      <c r="I2036">
        <v>41</v>
      </c>
      <c r="J2036">
        <v>5.04</v>
      </c>
      <c r="K2036">
        <v>42</v>
      </c>
      <c r="L2036">
        <v>41.3</v>
      </c>
      <c r="M2036" s="175">
        <v>0.06</v>
      </c>
      <c r="N2036" t="s">
        <v>3991</v>
      </c>
    </row>
    <row r="2037" spans="1:14">
      <c r="A2037">
        <v>6971</v>
      </c>
      <c r="B2037" t="s">
        <v>4659</v>
      </c>
      <c r="C2037">
        <v>26.25</v>
      </c>
      <c r="D2037">
        <v>26.05</v>
      </c>
      <c r="E2037" s="178">
        <v>-0.3</v>
      </c>
      <c r="F2037" s="176">
        <v>-1.1399999999999999</v>
      </c>
      <c r="G2037" t="s">
        <v>6837</v>
      </c>
      <c r="H2037">
        <v>36</v>
      </c>
      <c r="I2037">
        <v>29</v>
      </c>
      <c r="J2037">
        <v>3.87</v>
      </c>
      <c r="K2037">
        <v>26.3</v>
      </c>
      <c r="L2037">
        <v>26.05</v>
      </c>
      <c r="M2037" s="175">
        <v>0.09</v>
      </c>
      <c r="N2037" t="s">
        <v>4660</v>
      </c>
    </row>
    <row r="2038" spans="1:14">
      <c r="A2038">
        <v>6982</v>
      </c>
      <c r="B2038" t="s">
        <v>4162</v>
      </c>
      <c r="C2038">
        <v>47.9</v>
      </c>
      <c r="D2038">
        <v>47.6</v>
      </c>
      <c r="E2038" s="178">
        <v>-0.3</v>
      </c>
      <c r="F2038" s="176">
        <v>-0.63</v>
      </c>
      <c r="G2038" t="s">
        <v>5375</v>
      </c>
      <c r="H2038">
        <v>10</v>
      </c>
      <c r="I2038">
        <v>14</v>
      </c>
      <c r="J2038">
        <v>4.08</v>
      </c>
      <c r="K2038">
        <v>48</v>
      </c>
      <c r="L2038">
        <v>47.45</v>
      </c>
      <c r="M2038" s="175">
        <v>0.02</v>
      </c>
      <c r="N2038" t="s">
        <v>4163</v>
      </c>
    </row>
    <row r="2039" spans="1:14">
      <c r="A2039">
        <v>6983</v>
      </c>
      <c r="B2039" t="s">
        <v>5108</v>
      </c>
      <c r="C2039">
        <v>359.5</v>
      </c>
      <c r="D2039">
        <v>348</v>
      </c>
      <c r="E2039" s="178">
        <v>-5</v>
      </c>
      <c r="F2039" s="176">
        <v>-1.42</v>
      </c>
      <c r="G2039" t="s">
        <v>6838</v>
      </c>
      <c r="H2039">
        <v>66</v>
      </c>
      <c r="I2039">
        <v>95</v>
      </c>
      <c r="J2039">
        <v>1.8</v>
      </c>
      <c r="K2039">
        <v>360</v>
      </c>
      <c r="L2039">
        <v>332.5</v>
      </c>
      <c r="M2039" s="175">
        <v>0.37</v>
      </c>
      <c r="N2039" t="s">
        <v>5109</v>
      </c>
    </row>
    <row r="2040" spans="1:14">
      <c r="A2040">
        <v>6986</v>
      </c>
      <c r="B2040" t="s">
        <v>5137</v>
      </c>
      <c r="C2040">
        <v>40.799999999999997</v>
      </c>
      <c r="D2040">
        <v>42.9</v>
      </c>
      <c r="E2040" s="178">
        <v>1.3</v>
      </c>
      <c r="F2040" s="176">
        <v>3.13</v>
      </c>
      <c r="G2040" t="s">
        <v>5552</v>
      </c>
      <c r="H2040">
        <v>65</v>
      </c>
      <c r="I2040">
        <v>48</v>
      </c>
      <c r="J2040">
        <v>5.21</v>
      </c>
      <c r="K2040">
        <v>43.5</v>
      </c>
      <c r="L2040">
        <v>40.799999999999997</v>
      </c>
      <c r="M2040" s="175">
        <v>0.12</v>
      </c>
      <c r="N2040" t="s">
        <v>5138</v>
      </c>
    </row>
    <row r="2041" spans="1:14">
      <c r="A2041">
        <v>6994</v>
      </c>
      <c r="B2041" t="s">
        <v>4251</v>
      </c>
      <c r="C2041">
        <v>35.85</v>
      </c>
      <c r="D2041">
        <v>35.299999999999997</v>
      </c>
      <c r="E2041" s="178">
        <v>-0.55000000000000004</v>
      </c>
      <c r="F2041" s="176">
        <v>-1.53</v>
      </c>
      <c r="G2041" t="s">
        <v>6839</v>
      </c>
      <c r="H2041">
        <v>395</v>
      </c>
      <c r="I2041">
        <v>385</v>
      </c>
      <c r="J2041">
        <v>7.42</v>
      </c>
      <c r="K2041">
        <v>35.9</v>
      </c>
      <c r="L2041">
        <v>35</v>
      </c>
      <c r="M2041" s="175">
        <v>0.53</v>
      </c>
      <c r="N2041" t="s">
        <v>4252</v>
      </c>
    </row>
    <row r="2042" spans="1:14">
      <c r="A2042">
        <v>6996</v>
      </c>
      <c r="B2042" t="s">
        <v>4150</v>
      </c>
      <c r="C2042">
        <v>178.5</v>
      </c>
      <c r="D2042">
        <v>177.5</v>
      </c>
      <c r="E2042" s="178">
        <v>-1.5</v>
      </c>
      <c r="F2042" s="176">
        <v>-0.84</v>
      </c>
      <c r="G2042" t="s">
        <v>6840</v>
      </c>
      <c r="H2042">
        <v>31</v>
      </c>
      <c r="I2042">
        <v>85</v>
      </c>
      <c r="J2042">
        <v>4.21</v>
      </c>
      <c r="K2042">
        <v>178.5</v>
      </c>
      <c r="L2042">
        <v>177.5</v>
      </c>
      <c r="M2042" s="175">
        <v>7.0000000000000007E-2</v>
      </c>
      <c r="N2042" t="s">
        <v>4151</v>
      </c>
    </row>
    <row r="2043" spans="1:14">
      <c r="A2043">
        <v>6997</v>
      </c>
      <c r="B2043" t="s">
        <v>4157</v>
      </c>
      <c r="C2043">
        <v>68</v>
      </c>
      <c r="D2043">
        <v>68</v>
      </c>
      <c r="E2043" s="178">
        <v>0</v>
      </c>
      <c r="F2043" s="176">
        <v>0</v>
      </c>
      <c r="G2043" t="s">
        <v>6524</v>
      </c>
      <c r="H2043">
        <v>7</v>
      </c>
      <c r="I2043">
        <v>3</v>
      </c>
      <c r="J2043">
        <v>2.21</v>
      </c>
      <c r="K2043">
        <v>68</v>
      </c>
      <c r="L2043">
        <v>68</v>
      </c>
      <c r="M2043" s="175">
        <v>0.03</v>
      </c>
      <c r="N2043" t="s">
        <v>4158</v>
      </c>
    </row>
    <row r="2044" spans="1:14">
      <c r="A2044">
        <v>7402</v>
      </c>
      <c r="B2044" t="s">
        <v>4648</v>
      </c>
      <c r="C2044">
        <v>112</v>
      </c>
      <c r="D2044">
        <v>109.5</v>
      </c>
      <c r="E2044" s="178">
        <v>-3</v>
      </c>
      <c r="F2044" s="176">
        <v>-2.67</v>
      </c>
      <c r="G2044" t="s">
        <v>6841</v>
      </c>
      <c r="H2044">
        <v>441</v>
      </c>
      <c r="I2044">
        <v>1793</v>
      </c>
      <c r="J2044">
        <v>3.53</v>
      </c>
      <c r="K2044">
        <v>113</v>
      </c>
      <c r="L2044">
        <v>109.5</v>
      </c>
      <c r="M2044" s="175">
        <v>1.25</v>
      </c>
      <c r="N2044" t="s">
        <v>4649</v>
      </c>
    </row>
    <row r="2045" spans="1:14">
      <c r="A2045">
        <v>7547</v>
      </c>
      <c r="B2045" t="s">
        <v>4566</v>
      </c>
      <c r="C2045">
        <v>50.1</v>
      </c>
      <c r="D2045">
        <v>50.7</v>
      </c>
      <c r="E2045" s="178">
        <v>0.6</v>
      </c>
      <c r="F2045" s="176">
        <v>1.2</v>
      </c>
      <c r="G2045" t="s">
        <v>5632</v>
      </c>
      <c r="H2045">
        <v>11</v>
      </c>
      <c r="I2045">
        <v>18</v>
      </c>
      <c r="J2045">
        <v>3.4</v>
      </c>
      <c r="K2045">
        <v>50.7</v>
      </c>
      <c r="L2045">
        <v>49.65</v>
      </c>
      <c r="M2045" s="175">
        <v>0.03</v>
      </c>
      <c r="N2045" t="s">
        <v>4567</v>
      </c>
    </row>
    <row r="2046" spans="1:14">
      <c r="A2046">
        <v>7556</v>
      </c>
      <c r="B2046" t="s">
        <v>2702</v>
      </c>
      <c r="C2046">
        <v>253</v>
      </c>
      <c r="D2046">
        <v>248.5</v>
      </c>
      <c r="E2046" s="178">
        <v>-9</v>
      </c>
      <c r="F2046" s="176">
        <v>-3.5</v>
      </c>
      <c r="G2046" t="s">
        <v>6842</v>
      </c>
      <c r="H2046">
        <v>38</v>
      </c>
      <c r="I2046">
        <v>52</v>
      </c>
      <c r="J2046">
        <v>2.91</v>
      </c>
      <c r="K2046">
        <v>257.5</v>
      </c>
      <c r="L2046">
        <v>248.5</v>
      </c>
      <c r="M2046" s="175">
        <v>0.13</v>
      </c>
      <c r="N2046" t="s">
        <v>2703</v>
      </c>
    </row>
    <row r="2047" spans="1:14">
      <c r="A2047">
        <v>7584</v>
      </c>
      <c r="B2047" t="s">
        <v>3968</v>
      </c>
      <c r="C2047">
        <v>26.25</v>
      </c>
      <c r="D2047">
        <v>26</v>
      </c>
      <c r="E2047" s="178">
        <v>-0.1</v>
      </c>
      <c r="F2047" s="176">
        <v>-0.38</v>
      </c>
      <c r="G2047" t="s">
        <v>6843</v>
      </c>
      <c r="H2047">
        <v>2</v>
      </c>
      <c r="I2047">
        <v>3</v>
      </c>
      <c r="J2047">
        <v>1.71</v>
      </c>
      <c r="K2047">
        <v>26.25</v>
      </c>
      <c r="L2047">
        <v>26</v>
      </c>
      <c r="M2047" s="175">
        <v>0.01</v>
      </c>
      <c r="N2047" t="s">
        <v>3969</v>
      </c>
    </row>
    <row r="2048" spans="1:14">
      <c r="A2048">
        <v>7642</v>
      </c>
      <c r="B2048" t="s">
        <v>4524</v>
      </c>
      <c r="C2048">
        <v>77.900000000000006</v>
      </c>
      <c r="D2048">
        <v>77.3</v>
      </c>
      <c r="E2048" s="178">
        <v>-1.7</v>
      </c>
      <c r="F2048" s="176">
        <v>-2.15</v>
      </c>
      <c r="G2048" t="s">
        <v>6844</v>
      </c>
      <c r="H2048">
        <v>5</v>
      </c>
      <c r="I2048">
        <v>12</v>
      </c>
      <c r="J2048">
        <v>3.02</v>
      </c>
      <c r="K2048">
        <v>77.900000000000006</v>
      </c>
      <c r="L2048">
        <v>77.3</v>
      </c>
      <c r="M2048" s="175">
        <v>0.02</v>
      </c>
      <c r="N2048" t="s">
        <v>4525</v>
      </c>
    </row>
    <row r="2049" spans="1:14">
      <c r="A2049">
        <v>7689</v>
      </c>
      <c r="B2049" t="s">
        <v>5208</v>
      </c>
      <c r="C2049">
        <v>176</v>
      </c>
      <c r="D2049">
        <v>174.5</v>
      </c>
      <c r="E2049" s="178">
        <v>-2</v>
      </c>
      <c r="F2049" s="176">
        <v>-1.1299999999999999</v>
      </c>
      <c r="G2049" t="s">
        <v>5636</v>
      </c>
      <c r="H2049">
        <v>78</v>
      </c>
      <c r="I2049">
        <v>147</v>
      </c>
      <c r="J2049">
        <v>5.85</v>
      </c>
      <c r="K2049">
        <v>176</v>
      </c>
      <c r="L2049">
        <v>171</v>
      </c>
      <c r="M2049" s="175">
        <v>0.13</v>
      </c>
      <c r="N2049" t="s">
        <v>5209</v>
      </c>
    </row>
    <row r="2050" spans="1:14">
      <c r="A2050">
        <v>7703</v>
      </c>
      <c r="B2050" t="s">
        <v>4111</v>
      </c>
      <c r="C2050">
        <v>179.5</v>
      </c>
      <c r="D2050">
        <v>179</v>
      </c>
      <c r="E2050" s="178">
        <v>-3</v>
      </c>
      <c r="F2050" s="176">
        <v>-1.65</v>
      </c>
      <c r="G2050" t="s">
        <v>6845</v>
      </c>
      <c r="H2050">
        <v>39</v>
      </c>
      <c r="I2050">
        <v>54</v>
      </c>
      <c r="J2050">
        <v>3.47</v>
      </c>
      <c r="K2050">
        <v>182</v>
      </c>
      <c r="L2050">
        <v>177</v>
      </c>
      <c r="M2050" s="175">
        <v>0.11</v>
      </c>
      <c r="N2050" t="s">
        <v>4112</v>
      </c>
    </row>
    <row r="2051" spans="1:14">
      <c r="A2051">
        <v>7704</v>
      </c>
      <c r="B2051" t="s">
        <v>4159</v>
      </c>
      <c r="C2051">
        <v>62.6</v>
      </c>
      <c r="D2051">
        <v>62.6</v>
      </c>
      <c r="E2051" s="178">
        <v>0</v>
      </c>
      <c r="F2051" s="176">
        <v>0</v>
      </c>
      <c r="G2051" t="s">
        <v>6199</v>
      </c>
      <c r="H2051">
        <v>16</v>
      </c>
      <c r="I2051">
        <v>24</v>
      </c>
      <c r="J2051">
        <v>3.38</v>
      </c>
      <c r="K2051">
        <v>63</v>
      </c>
      <c r="L2051">
        <v>62.4</v>
      </c>
      <c r="M2051" s="175">
        <v>0.05</v>
      </c>
      <c r="N2051" t="s">
        <v>4160</v>
      </c>
    </row>
    <row r="2052" spans="1:14">
      <c r="A2052">
        <v>7705</v>
      </c>
      <c r="B2052" t="s">
        <v>4130</v>
      </c>
      <c r="C2052">
        <v>30.15</v>
      </c>
      <c r="D2052">
        <v>30.1</v>
      </c>
      <c r="E2052" s="178">
        <v>-0.4</v>
      </c>
      <c r="F2052" s="176">
        <v>-1.31</v>
      </c>
      <c r="G2052" t="s">
        <v>6100</v>
      </c>
      <c r="H2052">
        <v>40</v>
      </c>
      <c r="I2052">
        <v>41</v>
      </c>
      <c r="J2052">
        <v>6.61</v>
      </c>
      <c r="K2052">
        <v>30.45</v>
      </c>
      <c r="L2052">
        <v>30.1</v>
      </c>
      <c r="M2052" s="175">
        <v>0.06</v>
      </c>
      <c r="N2052" t="s">
        <v>4131</v>
      </c>
    </row>
    <row r="2053" spans="1:14">
      <c r="A2053">
        <v>7708</v>
      </c>
      <c r="B2053" t="s">
        <v>4117</v>
      </c>
      <c r="C2053">
        <v>92.1</v>
      </c>
      <c r="D2053">
        <v>92</v>
      </c>
      <c r="E2053" s="178">
        <v>-0.1</v>
      </c>
      <c r="F2053" s="176">
        <v>-0.11</v>
      </c>
      <c r="G2053" t="s">
        <v>6846</v>
      </c>
      <c r="H2053">
        <v>2</v>
      </c>
      <c r="I2053">
        <v>5</v>
      </c>
      <c r="J2053">
        <v>2.5499999999999998</v>
      </c>
      <c r="K2053">
        <v>92.1</v>
      </c>
      <c r="L2053">
        <v>92</v>
      </c>
      <c r="M2053" s="175">
        <v>0.01</v>
      </c>
      <c r="N2053" t="s">
        <v>4118</v>
      </c>
    </row>
    <row r="2054" spans="1:14">
      <c r="A2054">
        <v>7709</v>
      </c>
      <c r="B2054" t="s">
        <v>4336</v>
      </c>
      <c r="C2054">
        <v>68.8</v>
      </c>
      <c r="D2054">
        <v>70.400000000000006</v>
      </c>
      <c r="E2054" s="178">
        <v>-0.6</v>
      </c>
      <c r="F2054" s="176">
        <v>-0.85</v>
      </c>
      <c r="G2054" t="s">
        <v>5438</v>
      </c>
      <c r="H2054">
        <v>21</v>
      </c>
      <c r="I2054">
        <v>36</v>
      </c>
      <c r="J2054">
        <v>3.91</v>
      </c>
      <c r="K2054">
        <v>71.099999999999994</v>
      </c>
      <c r="L2054">
        <v>68.8</v>
      </c>
      <c r="M2054" s="175">
        <v>0.05</v>
      </c>
      <c r="N2054" t="s">
        <v>4734</v>
      </c>
    </row>
    <row r="2055" spans="1:14">
      <c r="A2055">
        <v>7711</v>
      </c>
      <c r="B2055" t="s">
        <v>4722</v>
      </c>
      <c r="C2055">
        <v>486</v>
      </c>
      <c r="D2055">
        <v>535</v>
      </c>
      <c r="E2055" s="178">
        <v>48</v>
      </c>
      <c r="F2055" s="176">
        <v>9.86</v>
      </c>
      <c r="G2055" t="s">
        <v>5407</v>
      </c>
      <c r="H2055">
        <v>1809</v>
      </c>
      <c r="I2055">
        <v>1488</v>
      </c>
      <c r="J2055">
        <v>7.17</v>
      </c>
      <c r="K2055">
        <v>535</v>
      </c>
      <c r="L2055">
        <v>483</v>
      </c>
      <c r="M2055" s="175">
        <v>2.52</v>
      </c>
      <c r="N2055" t="s">
        <v>4723</v>
      </c>
    </row>
    <row r="2056" spans="1:14">
      <c r="A2056">
        <v>7712</v>
      </c>
      <c r="B2056" t="s">
        <v>4165</v>
      </c>
      <c r="C2056">
        <v>159.5</v>
      </c>
      <c r="D2056">
        <v>152.5</v>
      </c>
      <c r="E2056" s="178">
        <v>-7.5</v>
      </c>
      <c r="F2056" s="176">
        <v>-4.6900000000000004</v>
      </c>
      <c r="G2056" t="s">
        <v>6847</v>
      </c>
      <c r="H2056">
        <v>375</v>
      </c>
      <c r="I2056">
        <v>783</v>
      </c>
      <c r="J2056">
        <v>3.26</v>
      </c>
      <c r="K2056">
        <v>159.5</v>
      </c>
      <c r="L2056">
        <v>149</v>
      </c>
      <c r="M2056" s="175">
        <v>1.1499999999999999</v>
      </c>
      <c r="N2056" t="s">
        <v>4166</v>
      </c>
    </row>
    <row r="2057" spans="1:14">
      <c r="A2057">
        <v>7713</v>
      </c>
      <c r="B2057" t="s">
        <v>4334</v>
      </c>
      <c r="C2057" t="s">
        <v>1667</v>
      </c>
      <c r="D2057" t="s">
        <v>1667</v>
      </c>
      <c r="E2057" s="178" t="s">
        <v>1667</v>
      </c>
      <c r="F2057" s="176" t="s">
        <v>1667</v>
      </c>
      <c r="G2057" t="s">
        <v>1667</v>
      </c>
      <c r="H2057">
        <v>0</v>
      </c>
      <c r="I2057">
        <v>10</v>
      </c>
      <c r="J2057">
        <v>4.55</v>
      </c>
      <c r="K2057" t="s">
        <v>1667</v>
      </c>
      <c r="L2057" t="s">
        <v>1667</v>
      </c>
      <c r="M2057" s="175">
        <v>0</v>
      </c>
      <c r="N2057" t="s">
        <v>4335</v>
      </c>
    </row>
    <row r="2058" spans="1:14">
      <c r="A2058">
        <v>7714</v>
      </c>
      <c r="B2058" t="s">
        <v>4253</v>
      </c>
      <c r="C2058">
        <v>174</v>
      </c>
      <c r="D2058">
        <v>169</v>
      </c>
      <c r="E2058" s="178">
        <v>-5.5</v>
      </c>
      <c r="F2058" s="176">
        <v>-3.15</v>
      </c>
      <c r="G2058" t="s">
        <v>5723</v>
      </c>
      <c r="H2058">
        <v>224</v>
      </c>
      <c r="I2058">
        <v>618</v>
      </c>
      <c r="J2058">
        <v>2.1</v>
      </c>
      <c r="K2058">
        <v>175.5</v>
      </c>
      <c r="L2058">
        <v>168.5</v>
      </c>
      <c r="M2058" s="175">
        <v>1.07</v>
      </c>
      <c r="N2058" t="s">
        <v>4254</v>
      </c>
    </row>
    <row r="2059" spans="1:14">
      <c r="A2059">
        <v>7715</v>
      </c>
      <c r="B2059" t="s">
        <v>4255</v>
      </c>
      <c r="C2059">
        <v>29.65</v>
      </c>
      <c r="D2059">
        <v>29.6</v>
      </c>
      <c r="E2059" s="178">
        <v>0.5</v>
      </c>
      <c r="F2059" s="176">
        <v>1.72</v>
      </c>
      <c r="G2059" t="s">
        <v>6848</v>
      </c>
      <c r="H2059">
        <v>376</v>
      </c>
      <c r="I2059">
        <v>84</v>
      </c>
      <c r="J2059">
        <v>3.28</v>
      </c>
      <c r="K2059">
        <v>30.1</v>
      </c>
      <c r="L2059">
        <v>28.6</v>
      </c>
      <c r="M2059" s="175">
        <v>1.1499999999999999</v>
      </c>
      <c r="N2059" t="s">
        <v>4256</v>
      </c>
    </row>
    <row r="2060" spans="1:14">
      <c r="A2060">
        <v>7716</v>
      </c>
      <c r="B2060" t="s">
        <v>4699</v>
      </c>
      <c r="C2060" t="s">
        <v>1667</v>
      </c>
      <c r="D2060" t="s">
        <v>1667</v>
      </c>
      <c r="E2060" s="178" t="s">
        <v>1667</v>
      </c>
      <c r="F2060" s="176" t="s">
        <v>1667</v>
      </c>
      <c r="G2060" t="s">
        <v>1667</v>
      </c>
      <c r="H2060">
        <v>0</v>
      </c>
      <c r="I2060">
        <v>3</v>
      </c>
      <c r="J2060">
        <v>2.25</v>
      </c>
      <c r="K2060" t="s">
        <v>1667</v>
      </c>
      <c r="L2060" t="s">
        <v>1667</v>
      </c>
      <c r="M2060" s="175">
        <v>0</v>
      </c>
      <c r="N2060" t="s">
        <v>4700</v>
      </c>
    </row>
    <row r="2061" spans="1:14">
      <c r="A2061">
        <v>7717</v>
      </c>
      <c r="B2061" t="s">
        <v>4716</v>
      </c>
      <c r="C2061">
        <v>443.5</v>
      </c>
      <c r="D2061">
        <v>427</v>
      </c>
      <c r="E2061" s="178">
        <v>-13</v>
      </c>
      <c r="F2061" s="176">
        <v>-2.95</v>
      </c>
      <c r="G2061" t="s">
        <v>5266</v>
      </c>
      <c r="H2061">
        <v>324</v>
      </c>
      <c r="I2061">
        <v>180</v>
      </c>
      <c r="J2061">
        <v>2.48</v>
      </c>
      <c r="K2061">
        <v>460</v>
      </c>
      <c r="L2061">
        <v>413</v>
      </c>
      <c r="M2061" s="175">
        <v>1.3</v>
      </c>
      <c r="N2061" t="s">
        <v>4717</v>
      </c>
    </row>
    <row r="2062" spans="1:14">
      <c r="A2062">
        <v>7718</v>
      </c>
      <c r="B2062" t="s">
        <v>4447</v>
      </c>
      <c r="C2062">
        <v>47.15</v>
      </c>
      <c r="D2062">
        <v>47.15</v>
      </c>
      <c r="E2062" s="178">
        <v>0</v>
      </c>
      <c r="F2062" s="176">
        <v>0</v>
      </c>
      <c r="G2062" t="s">
        <v>5336</v>
      </c>
      <c r="H2062">
        <v>14</v>
      </c>
      <c r="I2062">
        <v>21</v>
      </c>
      <c r="J2062">
        <v>4.6399999999999997</v>
      </c>
      <c r="K2062">
        <v>47.3</v>
      </c>
      <c r="L2062">
        <v>47.15</v>
      </c>
      <c r="M2062" s="175">
        <v>0.03</v>
      </c>
      <c r="N2062" t="s">
        <v>4448</v>
      </c>
    </row>
    <row r="2063" spans="1:14">
      <c r="A2063">
        <v>7721</v>
      </c>
      <c r="B2063" t="s">
        <v>4568</v>
      </c>
      <c r="C2063">
        <v>61.7</v>
      </c>
      <c r="D2063">
        <v>61.3</v>
      </c>
      <c r="E2063" s="178">
        <v>-1.5</v>
      </c>
      <c r="F2063" s="176">
        <v>-2.39</v>
      </c>
      <c r="G2063" t="s">
        <v>5402</v>
      </c>
      <c r="H2063">
        <v>40</v>
      </c>
      <c r="I2063">
        <v>55</v>
      </c>
      <c r="J2063">
        <v>5.54</v>
      </c>
      <c r="K2063">
        <v>62</v>
      </c>
      <c r="L2063">
        <v>60.2</v>
      </c>
      <c r="M2063" s="175">
        <v>0.08</v>
      </c>
      <c r="N2063" t="s">
        <v>4569</v>
      </c>
    </row>
    <row r="2064" spans="1:14">
      <c r="A2064">
        <v>7722</v>
      </c>
      <c r="B2064" t="s">
        <v>4137</v>
      </c>
      <c r="C2064">
        <v>293.5</v>
      </c>
      <c r="D2064">
        <v>285</v>
      </c>
      <c r="E2064" s="178">
        <v>-5</v>
      </c>
      <c r="F2064" s="176">
        <v>-1.72</v>
      </c>
      <c r="G2064" t="s">
        <v>6849</v>
      </c>
      <c r="H2064">
        <v>42</v>
      </c>
      <c r="I2064">
        <v>45</v>
      </c>
      <c r="J2064">
        <v>7.15</v>
      </c>
      <c r="K2064">
        <v>293.5</v>
      </c>
      <c r="L2064">
        <v>283</v>
      </c>
      <c r="M2064" s="175">
        <v>0.06</v>
      </c>
      <c r="N2064" t="s">
        <v>4138</v>
      </c>
    </row>
    <row r="2065" spans="1:14">
      <c r="A2065">
        <v>7723</v>
      </c>
      <c r="B2065" t="s">
        <v>4526</v>
      </c>
      <c r="C2065">
        <v>19.600000000000001</v>
      </c>
      <c r="D2065">
        <v>19.2</v>
      </c>
      <c r="E2065" s="178">
        <v>0.05</v>
      </c>
      <c r="F2065" s="176">
        <v>0.26</v>
      </c>
      <c r="G2065" t="s">
        <v>6850</v>
      </c>
      <c r="H2065">
        <v>39</v>
      </c>
      <c r="I2065">
        <v>61</v>
      </c>
      <c r="J2065">
        <v>4.96</v>
      </c>
      <c r="K2065">
        <v>19.600000000000001</v>
      </c>
      <c r="L2065">
        <v>19.2</v>
      </c>
      <c r="M2065" s="175">
        <v>0.08</v>
      </c>
      <c r="N2065" t="s">
        <v>4527</v>
      </c>
    </row>
    <row r="2066" spans="1:14">
      <c r="A2066">
        <v>7728</v>
      </c>
      <c r="B2066" t="s">
        <v>4344</v>
      </c>
      <c r="C2066">
        <v>642</v>
      </c>
      <c r="D2066">
        <v>632</v>
      </c>
      <c r="E2066" s="178">
        <v>-4</v>
      </c>
      <c r="F2066" s="176">
        <v>-0.63</v>
      </c>
      <c r="G2066" t="s">
        <v>5501</v>
      </c>
      <c r="H2066">
        <v>14</v>
      </c>
      <c r="I2066">
        <v>31</v>
      </c>
      <c r="J2066">
        <v>1.4</v>
      </c>
      <c r="K2066">
        <v>642</v>
      </c>
      <c r="L2066">
        <v>627</v>
      </c>
      <c r="M2066" s="175">
        <v>0.1</v>
      </c>
      <c r="N2066" t="s">
        <v>4750</v>
      </c>
    </row>
    <row r="2067" spans="1:14">
      <c r="A2067">
        <v>7732</v>
      </c>
      <c r="B2067" t="s">
        <v>4257</v>
      </c>
      <c r="C2067">
        <v>34.1</v>
      </c>
      <c r="D2067">
        <v>34.75</v>
      </c>
      <c r="E2067" s="178">
        <v>0.05</v>
      </c>
      <c r="F2067" s="176">
        <v>0.14000000000000001</v>
      </c>
      <c r="G2067" t="s">
        <v>6759</v>
      </c>
      <c r="H2067">
        <v>4</v>
      </c>
      <c r="I2067">
        <v>7</v>
      </c>
      <c r="J2067">
        <v>6.47</v>
      </c>
      <c r="K2067">
        <v>34.75</v>
      </c>
      <c r="L2067">
        <v>34.049999999999997</v>
      </c>
      <c r="M2067" s="175">
        <v>0.01</v>
      </c>
      <c r="N2067" t="s">
        <v>4258</v>
      </c>
    </row>
    <row r="2068" spans="1:14">
      <c r="A2068">
        <v>7734</v>
      </c>
      <c r="B2068" t="s">
        <v>4339</v>
      </c>
      <c r="C2068">
        <v>2965</v>
      </c>
      <c r="D2068">
        <v>2825</v>
      </c>
      <c r="E2068" s="178">
        <v>-170</v>
      </c>
      <c r="F2068" s="176">
        <v>-5.68</v>
      </c>
      <c r="G2068" t="s">
        <v>6851</v>
      </c>
      <c r="H2068">
        <v>313</v>
      </c>
      <c r="I2068">
        <v>297</v>
      </c>
      <c r="J2068">
        <v>2.8</v>
      </c>
      <c r="K2068">
        <v>3015</v>
      </c>
      <c r="L2068">
        <v>2770</v>
      </c>
      <c r="M2068" s="175">
        <v>1.1200000000000001</v>
      </c>
      <c r="N2068" t="s">
        <v>4340</v>
      </c>
    </row>
    <row r="2069" spans="1:14">
      <c r="A2069">
        <v>7736</v>
      </c>
      <c r="B2069" t="s">
        <v>4449</v>
      </c>
      <c r="C2069">
        <v>69.2</v>
      </c>
      <c r="D2069">
        <v>69.5</v>
      </c>
      <c r="E2069" s="178">
        <v>-0.1</v>
      </c>
      <c r="F2069" s="176">
        <v>-0.14000000000000001</v>
      </c>
      <c r="G2069" t="s">
        <v>6852</v>
      </c>
      <c r="H2069">
        <v>9</v>
      </c>
      <c r="I2069">
        <v>20</v>
      </c>
      <c r="J2069">
        <v>7.6</v>
      </c>
      <c r="K2069">
        <v>69.900000000000006</v>
      </c>
      <c r="L2069">
        <v>68.599999999999994</v>
      </c>
      <c r="M2069" s="175">
        <v>0.01</v>
      </c>
      <c r="N2069" t="s">
        <v>4450</v>
      </c>
    </row>
    <row r="2070" spans="1:14">
      <c r="A2070">
        <v>7738</v>
      </c>
      <c r="B2070" t="s">
        <v>4682</v>
      </c>
      <c r="C2070">
        <v>168</v>
      </c>
      <c r="D2070">
        <v>169</v>
      </c>
      <c r="E2070" s="178">
        <v>-1</v>
      </c>
      <c r="F2070" s="176">
        <v>-0.59</v>
      </c>
      <c r="G2070" t="s">
        <v>6853</v>
      </c>
      <c r="H2070">
        <v>5</v>
      </c>
      <c r="I2070">
        <v>21</v>
      </c>
      <c r="J2070">
        <v>2.74</v>
      </c>
      <c r="K2070">
        <v>169</v>
      </c>
      <c r="L2070">
        <v>168</v>
      </c>
      <c r="M2070" s="175">
        <v>0.02</v>
      </c>
      <c r="N2070" t="s">
        <v>4683</v>
      </c>
    </row>
    <row r="2071" spans="1:14">
      <c r="A2071">
        <v>7743</v>
      </c>
      <c r="B2071" t="s">
        <v>4528</v>
      </c>
      <c r="C2071">
        <v>21</v>
      </c>
      <c r="D2071">
        <v>21</v>
      </c>
      <c r="E2071" s="178">
        <v>0</v>
      </c>
      <c r="F2071" s="176">
        <v>0</v>
      </c>
      <c r="G2071" t="s">
        <v>6735</v>
      </c>
      <c r="H2071">
        <v>22</v>
      </c>
      <c r="I2071">
        <v>6</v>
      </c>
      <c r="J2071">
        <v>3.65</v>
      </c>
      <c r="K2071">
        <v>21.35</v>
      </c>
      <c r="L2071">
        <v>21</v>
      </c>
      <c r="M2071" s="175">
        <v>0.06</v>
      </c>
      <c r="N2071" t="s">
        <v>4529</v>
      </c>
    </row>
    <row r="2072" spans="1:14">
      <c r="A2072">
        <v>7744</v>
      </c>
      <c r="B2072" t="s">
        <v>4739</v>
      </c>
      <c r="C2072">
        <v>512</v>
      </c>
      <c r="D2072">
        <v>503</v>
      </c>
      <c r="E2072" s="178">
        <v>-9</v>
      </c>
      <c r="F2072" s="176">
        <v>-1.76</v>
      </c>
      <c r="G2072" t="s">
        <v>6854</v>
      </c>
      <c r="H2072">
        <v>113</v>
      </c>
      <c r="I2072">
        <v>126</v>
      </c>
      <c r="J2072">
        <v>3.21</v>
      </c>
      <c r="K2072">
        <v>512</v>
      </c>
      <c r="L2072">
        <v>491.5</v>
      </c>
      <c r="M2072" s="175">
        <v>0.35</v>
      </c>
      <c r="N2072" t="s">
        <v>4740</v>
      </c>
    </row>
    <row r="2073" spans="1:14">
      <c r="A2073">
        <v>7747</v>
      </c>
      <c r="B2073" t="s">
        <v>4546</v>
      </c>
      <c r="C2073">
        <v>113</v>
      </c>
      <c r="D2073">
        <v>113.5</v>
      </c>
      <c r="E2073" s="178">
        <v>0</v>
      </c>
      <c r="F2073" s="176">
        <v>0</v>
      </c>
      <c r="G2073" t="s">
        <v>5255</v>
      </c>
      <c r="H2073">
        <v>2</v>
      </c>
      <c r="I2073">
        <v>43</v>
      </c>
      <c r="J2073">
        <v>3.02</v>
      </c>
      <c r="K2073">
        <v>113.5</v>
      </c>
      <c r="L2073">
        <v>113</v>
      </c>
      <c r="M2073" s="175">
        <v>0.01</v>
      </c>
      <c r="N2073" t="s">
        <v>4547</v>
      </c>
    </row>
    <row r="2074" spans="1:14">
      <c r="A2074">
        <v>7749</v>
      </c>
      <c r="B2074" t="s">
        <v>4530</v>
      </c>
      <c r="C2074">
        <v>371</v>
      </c>
      <c r="D2074">
        <v>362</v>
      </c>
      <c r="E2074" s="178">
        <v>-10</v>
      </c>
      <c r="F2074" s="176">
        <v>-2.69</v>
      </c>
      <c r="G2074" t="s">
        <v>6855</v>
      </c>
      <c r="H2074">
        <v>917</v>
      </c>
      <c r="I2074">
        <v>194</v>
      </c>
      <c r="J2074">
        <v>4.6500000000000004</v>
      </c>
      <c r="K2074">
        <v>371</v>
      </c>
      <c r="L2074">
        <v>358.5</v>
      </c>
      <c r="M2074" s="175">
        <v>1.97</v>
      </c>
      <c r="N2074" t="s">
        <v>4531</v>
      </c>
    </row>
    <row r="2075" spans="1:14">
      <c r="A2075">
        <v>7750</v>
      </c>
      <c r="B2075" t="s">
        <v>4622</v>
      </c>
      <c r="C2075">
        <v>2270</v>
      </c>
      <c r="D2075">
        <v>2270</v>
      </c>
      <c r="E2075" s="178">
        <v>-30</v>
      </c>
      <c r="F2075" s="176">
        <v>-1.3</v>
      </c>
      <c r="G2075" t="s">
        <v>6856</v>
      </c>
      <c r="H2075">
        <v>177</v>
      </c>
      <c r="I2075">
        <v>539</v>
      </c>
      <c r="J2075">
        <v>7.18</v>
      </c>
      <c r="K2075">
        <v>2335</v>
      </c>
      <c r="L2075">
        <v>2240</v>
      </c>
      <c r="M2075" s="175">
        <v>0.25</v>
      </c>
      <c r="N2075" t="s">
        <v>4958</v>
      </c>
    </row>
    <row r="2076" spans="1:14">
      <c r="A2076">
        <v>7751</v>
      </c>
      <c r="B2076" t="s">
        <v>4597</v>
      </c>
      <c r="C2076">
        <v>1790</v>
      </c>
      <c r="D2076">
        <v>1615</v>
      </c>
      <c r="E2076" s="178">
        <v>-175</v>
      </c>
      <c r="F2076" s="176">
        <v>-9.7799999999999994</v>
      </c>
      <c r="G2076" t="s">
        <v>6857</v>
      </c>
      <c r="H2076">
        <v>1319</v>
      </c>
      <c r="I2076">
        <v>975</v>
      </c>
      <c r="J2076">
        <v>2.69</v>
      </c>
      <c r="K2076">
        <v>1790</v>
      </c>
      <c r="L2076">
        <v>1615</v>
      </c>
      <c r="M2076" s="175">
        <v>4.91</v>
      </c>
      <c r="N2076" t="s">
        <v>4598</v>
      </c>
    </row>
    <row r="2077" spans="1:14">
      <c r="A2077">
        <v>7753</v>
      </c>
      <c r="B2077" t="s">
        <v>4580</v>
      </c>
      <c r="C2077">
        <v>37.65</v>
      </c>
      <c r="D2077">
        <v>36.299999999999997</v>
      </c>
      <c r="E2077" s="178">
        <v>-0.75</v>
      </c>
      <c r="F2077" s="176">
        <v>-2.02</v>
      </c>
      <c r="G2077" t="s">
        <v>5450</v>
      </c>
      <c r="H2077">
        <v>107</v>
      </c>
      <c r="I2077">
        <v>15</v>
      </c>
      <c r="J2077">
        <v>2.5</v>
      </c>
      <c r="K2077">
        <v>37.950000000000003</v>
      </c>
      <c r="L2077">
        <v>36</v>
      </c>
      <c r="M2077" s="175">
        <v>0.43</v>
      </c>
      <c r="N2077" t="s">
        <v>4581</v>
      </c>
    </row>
    <row r="2078" spans="1:14">
      <c r="A2078">
        <v>7757</v>
      </c>
      <c r="B2078" t="s">
        <v>4691</v>
      </c>
      <c r="C2078">
        <v>88.7</v>
      </c>
      <c r="D2078">
        <v>88.4</v>
      </c>
      <c r="E2078" s="178">
        <v>-0.3</v>
      </c>
      <c r="F2078" s="176">
        <v>-0.34</v>
      </c>
      <c r="G2078" t="s">
        <v>5506</v>
      </c>
      <c r="H2078">
        <v>7</v>
      </c>
      <c r="I2078">
        <v>9</v>
      </c>
      <c r="J2078">
        <v>2.41</v>
      </c>
      <c r="K2078">
        <v>88.7</v>
      </c>
      <c r="L2078">
        <v>88.4</v>
      </c>
      <c r="M2078" s="175">
        <v>0.03</v>
      </c>
      <c r="N2078" t="s">
        <v>4692</v>
      </c>
    </row>
    <row r="2079" spans="1:14">
      <c r="A2079">
        <v>7760</v>
      </c>
      <c r="B2079" t="s">
        <v>5076</v>
      </c>
      <c r="C2079">
        <v>32.65</v>
      </c>
      <c r="D2079">
        <v>33</v>
      </c>
      <c r="E2079" s="178">
        <v>0</v>
      </c>
      <c r="F2079" s="176">
        <v>0</v>
      </c>
      <c r="G2079" t="s">
        <v>5561</v>
      </c>
      <c r="H2079">
        <v>129</v>
      </c>
      <c r="I2079">
        <v>81</v>
      </c>
      <c r="J2079">
        <v>6.6</v>
      </c>
      <c r="K2079">
        <v>33</v>
      </c>
      <c r="L2079">
        <v>32.65</v>
      </c>
      <c r="M2079" s="175">
        <v>0.2</v>
      </c>
      <c r="N2079" t="s">
        <v>5077</v>
      </c>
    </row>
    <row r="2080" spans="1:14">
      <c r="A2080">
        <v>7765</v>
      </c>
      <c r="B2080" t="s">
        <v>4607</v>
      </c>
      <c r="C2080">
        <v>226</v>
      </c>
      <c r="D2080">
        <v>223.5</v>
      </c>
      <c r="E2080" s="178">
        <v>-0.5</v>
      </c>
      <c r="F2080" s="176">
        <v>-0.22</v>
      </c>
      <c r="G2080" t="s">
        <v>6858</v>
      </c>
      <c r="H2080">
        <v>28</v>
      </c>
      <c r="I2080">
        <v>27</v>
      </c>
      <c r="J2080">
        <v>4.07</v>
      </c>
      <c r="K2080">
        <v>226</v>
      </c>
      <c r="L2080">
        <v>223.5</v>
      </c>
      <c r="M2080" s="175">
        <v>7.0000000000000007E-2</v>
      </c>
      <c r="N2080" t="s">
        <v>4608</v>
      </c>
    </row>
    <row r="2081" spans="1:14">
      <c r="A2081">
        <v>7767</v>
      </c>
      <c r="B2081" t="s">
        <v>4756</v>
      </c>
      <c r="C2081">
        <v>44.6</v>
      </c>
      <c r="D2081">
        <v>44.6</v>
      </c>
      <c r="E2081" s="178">
        <v>0</v>
      </c>
      <c r="F2081" s="176">
        <v>0</v>
      </c>
      <c r="G2081" t="s">
        <v>5444</v>
      </c>
      <c r="H2081">
        <v>4</v>
      </c>
      <c r="I2081">
        <v>28</v>
      </c>
      <c r="J2081">
        <v>3.01</v>
      </c>
      <c r="K2081">
        <v>44.6</v>
      </c>
      <c r="L2081">
        <v>44.6</v>
      </c>
      <c r="M2081" s="175">
        <v>0.01</v>
      </c>
      <c r="N2081" t="s">
        <v>4757</v>
      </c>
    </row>
    <row r="2082" spans="1:14">
      <c r="A2082">
        <v>7768</v>
      </c>
      <c r="B2082" t="s">
        <v>5090</v>
      </c>
      <c r="C2082">
        <v>286</v>
      </c>
      <c r="D2082">
        <v>291.5</v>
      </c>
      <c r="E2082" s="178">
        <v>1</v>
      </c>
      <c r="F2082" s="176">
        <v>0.34</v>
      </c>
      <c r="G2082" t="s">
        <v>5713</v>
      </c>
      <c r="H2082">
        <v>74</v>
      </c>
      <c r="I2082">
        <v>81</v>
      </c>
      <c r="J2082">
        <v>7.01</v>
      </c>
      <c r="K2082">
        <v>293</v>
      </c>
      <c r="L2082">
        <v>282.5</v>
      </c>
      <c r="M2082" s="175">
        <v>0.11</v>
      </c>
      <c r="N2082" t="s">
        <v>5091</v>
      </c>
    </row>
    <row r="2083" spans="1:14">
      <c r="A2083">
        <v>7769</v>
      </c>
      <c r="B2083" t="s">
        <v>4741</v>
      </c>
      <c r="C2083">
        <v>6485</v>
      </c>
      <c r="D2083">
        <v>5860</v>
      </c>
      <c r="E2083" s="178">
        <v>-630</v>
      </c>
      <c r="F2083" s="176">
        <v>-9.7100000000000009</v>
      </c>
      <c r="G2083" t="s">
        <v>6859</v>
      </c>
      <c r="H2083">
        <v>1260</v>
      </c>
      <c r="I2083">
        <v>406</v>
      </c>
      <c r="J2083">
        <v>17.989999999999998</v>
      </c>
      <c r="K2083">
        <v>6485</v>
      </c>
      <c r="L2083">
        <v>5845</v>
      </c>
      <c r="M2083" s="175">
        <v>0.7</v>
      </c>
      <c r="N2083" t="s">
        <v>4742</v>
      </c>
    </row>
    <row r="2084" spans="1:14">
      <c r="A2084">
        <v>7770</v>
      </c>
      <c r="B2084" t="s">
        <v>4758</v>
      </c>
      <c r="C2084">
        <v>36.1</v>
      </c>
      <c r="D2084">
        <v>36.200000000000003</v>
      </c>
      <c r="E2084" s="178">
        <v>-0.35</v>
      </c>
      <c r="F2084" s="176">
        <v>-0.96</v>
      </c>
      <c r="G2084" t="s">
        <v>6860</v>
      </c>
      <c r="H2084">
        <v>26</v>
      </c>
      <c r="I2084">
        <v>7</v>
      </c>
      <c r="J2084">
        <v>3.01</v>
      </c>
      <c r="K2084">
        <v>36.4</v>
      </c>
      <c r="L2084">
        <v>35.15</v>
      </c>
      <c r="M2084" s="175">
        <v>0.09</v>
      </c>
      <c r="N2084" t="s">
        <v>4759</v>
      </c>
    </row>
    <row r="2085" spans="1:14">
      <c r="A2085">
        <v>7772</v>
      </c>
      <c r="B2085" t="s">
        <v>5092</v>
      </c>
      <c r="C2085">
        <v>92</v>
      </c>
      <c r="D2085">
        <v>88.5</v>
      </c>
      <c r="E2085" s="178">
        <v>-1.5</v>
      </c>
      <c r="F2085" s="176">
        <v>-1.67</v>
      </c>
      <c r="G2085" t="s">
        <v>5325</v>
      </c>
      <c r="H2085">
        <v>67</v>
      </c>
      <c r="I2085">
        <v>52</v>
      </c>
      <c r="J2085">
        <v>2.65</v>
      </c>
      <c r="K2085">
        <v>92.4</v>
      </c>
      <c r="L2085">
        <v>87.7</v>
      </c>
      <c r="M2085" s="175">
        <v>0.25</v>
      </c>
      <c r="N2085" t="s">
        <v>5093</v>
      </c>
    </row>
    <row r="2086" spans="1:14">
      <c r="A2086">
        <v>7777</v>
      </c>
      <c r="B2086" t="s">
        <v>4775</v>
      </c>
      <c r="C2086">
        <v>40.549999999999997</v>
      </c>
      <c r="D2086">
        <v>40.6</v>
      </c>
      <c r="E2086" s="178">
        <v>0.45</v>
      </c>
      <c r="F2086" s="176">
        <v>1.1200000000000001</v>
      </c>
      <c r="G2086" t="s">
        <v>5193</v>
      </c>
      <c r="H2086">
        <v>3108</v>
      </c>
      <c r="I2086">
        <v>4554</v>
      </c>
      <c r="J2086">
        <v>20.260000000000002</v>
      </c>
      <c r="K2086">
        <v>41.45</v>
      </c>
      <c r="L2086">
        <v>40.15</v>
      </c>
      <c r="M2086" s="175">
        <v>1.53</v>
      </c>
      <c r="N2086" t="s">
        <v>4776</v>
      </c>
    </row>
    <row r="2087" spans="1:14">
      <c r="A2087">
        <v>7780</v>
      </c>
      <c r="B2087" t="s">
        <v>4835</v>
      </c>
      <c r="C2087">
        <v>16.95</v>
      </c>
      <c r="D2087">
        <v>16.75</v>
      </c>
      <c r="E2087" s="178">
        <v>-0.2</v>
      </c>
      <c r="F2087" s="176">
        <v>-1.18</v>
      </c>
      <c r="G2087" t="s">
        <v>6803</v>
      </c>
      <c r="H2087">
        <v>639</v>
      </c>
      <c r="I2087">
        <v>623</v>
      </c>
      <c r="J2087">
        <v>8.1</v>
      </c>
      <c r="K2087">
        <v>16.95</v>
      </c>
      <c r="L2087">
        <v>16.75</v>
      </c>
      <c r="M2087" s="175">
        <v>0.08</v>
      </c>
      <c r="N2087" t="s">
        <v>4836</v>
      </c>
    </row>
    <row r="2088" spans="1:14">
      <c r="A2088">
        <v>7782</v>
      </c>
      <c r="B2088" t="s">
        <v>4701</v>
      </c>
      <c r="C2088">
        <v>26</v>
      </c>
      <c r="D2088">
        <v>26</v>
      </c>
      <c r="E2088" s="178">
        <v>-0.6</v>
      </c>
      <c r="F2088" s="176">
        <v>-2.2599999999999998</v>
      </c>
      <c r="G2088" t="s">
        <v>6861</v>
      </c>
      <c r="H2088">
        <v>8</v>
      </c>
      <c r="I2088">
        <v>9</v>
      </c>
      <c r="J2088">
        <v>2.3199999999999998</v>
      </c>
      <c r="K2088">
        <v>26</v>
      </c>
      <c r="L2088">
        <v>25.65</v>
      </c>
      <c r="M2088" s="175">
        <v>0.03</v>
      </c>
      <c r="N2088" t="s">
        <v>4702</v>
      </c>
    </row>
    <row r="2089" spans="1:14">
      <c r="A2089">
        <v>7786</v>
      </c>
      <c r="B2089" t="s">
        <v>4718</v>
      </c>
      <c r="C2089">
        <v>118</v>
      </c>
      <c r="D2089">
        <v>117</v>
      </c>
      <c r="E2089" s="178">
        <v>-3</v>
      </c>
      <c r="F2089" s="176">
        <v>-2.5</v>
      </c>
      <c r="G2089" t="s">
        <v>6862</v>
      </c>
      <c r="H2089">
        <v>235</v>
      </c>
      <c r="I2089">
        <v>184</v>
      </c>
      <c r="J2089">
        <v>17.600000000000001</v>
      </c>
      <c r="K2089">
        <v>118.5</v>
      </c>
      <c r="L2089">
        <v>116</v>
      </c>
      <c r="M2089" s="175">
        <v>0.13</v>
      </c>
      <c r="N2089" t="s">
        <v>4719</v>
      </c>
    </row>
    <row r="2090" spans="1:14">
      <c r="A2090">
        <v>7788</v>
      </c>
      <c r="B2090" t="s">
        <v>4684</v>
      </c>
      <c r="C2090">
        <v>339</v>
      </c>
      <c r="D2090">
        <v>316</v>
      </c>
      <c r="E2090" s="178">
        <v>-11.5</v>
      </c>
      <c r="F2090" s="176">
        <v>-3.51</v>
      </c>
      <c r="G2090" t="s">
        <v>6863</v>
      </c>
      <c r="H2090">
        <v>5442</v>
      </c>
      <c r="I2090">
        <v>2261</v>
      </c>
      <c r="J2090">
        <v>7.97</v>
      </c>
      <c r="K2090">
        <v>347</v>
      </c>
      <c r="L2090">
        <v>307</v>
      </c>
      <c r="M2090" s="175">
        <v>6.82</v>
      </c>
      <c r="N2090" t="s">
        <v>4685</v>
      </c>
    </row>
    <row r="2091" spans="1:14">
      <c r="A2091">
        <v>7791</v>
      </c>
      <c r="B2091" t="s">
        <v>4703</v>
      </c>
      <c r="C2091">
        <v>56.3</v>
      </c>
      <c r="D2091">
        <v>56.4</v>
      </c>
      <c r="E2091" s="178">
        <v>-0.2</v>
      </c>
      <c r="F2091" s="176">
        <v>-0.35</v>
      </c>
      <c r="G2091" t="s">
        <v>6864</v>
      </c>
      <c r="H2091">
        <v>5</v>
      </c>
      <c r="I2091">
        <v>23</v>
      </c>
      <c r="J2091">
        <v>8</v>
      </c>
      <c r="K2091">
        <v>56.4</v>
      </c>
      <c r="L2091">
        <v>56.3</v>
      </c>
      <c r="M2091" s="175">
        <v>0.01</v>
      </c>
      <c r="N2091" t="s">
        <v>4704</v>
      </c>
    </row>
    <row r="2092" spans="1:14">
      <c r="A2092">
        <v>7792</v>
      </c>
      <c r="B2092" t="s">
        <v>4857</v>
      </c>
      <c r="C2092">
        <v>305</v>
      </c>
      <c r="D2092">
        <v>301</v>
      </c>
      <c r="E2092" s="178">
        <v>-2</v>
      </c>
      <c r="F2092" s="176">
        <v>-0.66</v>
      </c>
      <c r="G2092" t="s">
        <v>6865</v>
      </c>
      <c r="H2092">
        <v>307</v>
      </c>
      <c r="I2092">
        <v>474</v>
      </c>
      <c r="J2092">
        <v>4.67</v>
      </c>
      <c r="K2092">
        <v>312</v>
      </c>
      <c r="L2092">
        <v>296.5</v>
      </c>
      <c r="M2092" s="175">
        <v>0.66</v>
      </c>
      <c r="N2092" t="s">
        <v>4858</v>
      </c>
    </row>
    <row r="2093" spans="1:14">
      <c r="A2093" s="186">
        <v>7794</v>
      </c>
      <c r="B2093" t="s">
        <v>5036</v>
      </c>
      <c r="C2093">
        <v>28.8</v>
      </c>
      <c r="D2093">
        <v>28.8</v>
      </c>
      <c r="E2093" s="178">
        <v>0.05</v>
      </c>
      <c r="F2093" s="176">
        <v>0.17</v>
      </c>
      <c r="G2093" t="s">
        <v>5324</v>
      </c>
      <c r="H2093">
        <v>11</v>
      </c>
      <c r="I2093">
        <v>7</v>
      </c>
      <c r="J2093">
        <v>2.8</v>
      </c>
      <c r="K2093">
        <v>28.8</v>
      </c>
      <c r="L2093">
        <v>28.7</v>
      </c>
      <c r="M2093" s="175">
        <v>0.04</v>
      </c>
      <c r="N2093" t="s">
        <v>5037</v>
      </c>
    </row>
    <row r="2094" spans="1:14">
      <c r="A2094" s="186">
        <v>7795</v>
      </c>
      <c r="B2094" t="s">
        <v>4837</v>
      </c>
      <c r="C2094">
        <v>545</v>
      </c>
      <c r="D2094">
        <v>508</v>
      </c>
      <c r="E2094" s="178">
        <v>-56</v>
      </c>
      <c r="F2094" s="176">
        <v>-9.93</v>
      </c>
      <c r="G2094" t="s">
        <v>6866</v>
      </c>
      <c r="H2094">
        <v>1442</v>
      </c>
      <c r="I2094">
        <v>1288</v>
      </c>
      <c r="J2094">
        <v>7.88</v>
      </c>
      <c r="K2094">
        <v>557</v>
      </c>
      <c r="L2094">
        <v>508</v>
      </c>
      <c r="M2094" s="175">
        <v>1.83</v>
      </c>
      <c r="N2094" t="s">
        <v>5018</v>
      </c>
    </row>
    <row r="2095" spans="1:14">
      <c r="A2095" s="186">
        <v>7799</v>
      </c>
      <c r="B2095" t="s">
        <v>4618</v>
      </c>
      <c r="C2095">
        <v>383</v>
      </c>
      <c r="D2095">
        <v>367.5</v>
      </c>
      <c r="E2095" s="178">
        <v>-11.5</v>
      </c>
      <c r="F2095" s="176">
        <v>-3.03</v>
      </c>
      <c r="G2095" t="s">
        <v>6867</v>
      </c>
      <c r="H2095">
        <v>239</v>
      </c>
      <c r="I2095">
        <v>294</v>
      </c>
      <c r="J2095">
        <v>15.94</v>
      </c>
      <c r="K2095">
        <v>386</v>
      </c>
      <c r="L2095">
        <v>367</v>
      </c>
      <c r="M2095" s="175">
        <v>0.15</v>
      </c>
      <c r="N2095" t="s">
        <v>4619</v>
      </c>
    </row>
    <row r="2096" spans="1:14">
      <c r="A2096" s="186">
        <v>7805</v>
      </c>
      <c r="B2096" t="s">
        <v>4777</v>
      </c>
      <c r="C2096">
        <v>513</v>
      </c>
      <c r="D2096">
        <v>508</v>
      </c>
      <c r="E2096" s="178">
        <v>-6</v>
      </c>
      <c r="F2096" s="176">
        <v>-1.17</v>
      </c>
      <c r="G2096" t="s">
        <v>6868</v>
      </c>
      <c r="H2096">
        <v>49</v>
      </c>
      <c r="I2096">
        <v>101</v>
      </c>
      <c r="J2096">
        <v>3.98</v>
      </c>
      <c r="K2096">
        <v>513</v>
      </c>
      <c r="L2096">
        <v>508</v>
      </c>
      <c r="M2096" s="175">
        <v>0.12</v>
      </c>
      <c r="N2096" t="s">
        <v>4778</v>
      </c>
    </row>
    <row r="2097" spans="1:14">
      <c r="A2097" s="186">
        <v>7810</v>
      </c>
      <c r="B2097" t="s">
        <v>4779</v>
      </c>
      <c r="C2097">
        <v>223</v>
      </c>
      <c r="D2097">
        <v>226</v>
      </c>
      <c r="E2097" s="178">
        <v>4</v>
      </c>
      <c r="F2097" s="176">
        <v>1.8</v>
      </c>
      <c r="G2097" t="s">
        <v>6869</v>
      </c>
      <c r="H2097">
        <v>248</v>
      </c>
      <c r="I2097">
        <v>118</v>
      </c>
      <c r="J2097">
        <v>2.0299999999999998</v>
      </c>
      <c r="K2097">
        <v>236</v>
      </c>
      <c r="L2097">
        <v>223</v>
      </c>
      <c r="M2097" s="175">
        <v>1.22</v>
      </c>
      <c r="N2097" t="s">
        <v>4780</v>
      </c>
    </row>
    <row r="2098" spans="1:14">
      <c r="A2098" s="186">
        <v>7811</v>
      </c>
      <c r="B2098" t="s">
        <v>4945</v>
      </c>
      <c r="C2098">
        <v>72.5</v>
      </c>
      <c r="D2098">
        <v>72.5</v>
      </c>
      <c r="E2098" s="178">
        <v>0</v>
      </c>
      <c r="F2098" s="176">
        <v>0</v>
      </c>
      <c r="G2098" t="s">
        <v>6870</v>
      </c>
      <c r="H2098">
        <v>1</v>
      </c>
      <c r="I2098">
        <v>3</v>
      </c>
      <c r="J2098">
        <v>3.34</v>
      </c>
      <c r="K2098">
        <v>72.5</v>
      </c>
      <c r="L2098">
        <v>72.5</v>
      </c>
      <c r="M2098" s="175">
        <v>0</v>
      </c>
      <c r="N2098" t="s">
        <v>4946</v>
      </c>
    </row>
    <row r="2099" spans="1:14">
      <c r="A2099" s="186">
        <v>7814</v>
      </c>
      <c r="B2099" t="s">
        <v>5165</v>
      </c>
      <c r="C2099">
        <v>29.3</v>
      </c>
      <c r="D2099">
        <v>29.95</v>
      </c>
      <c r="E2099" s="178">
        <v>0.45</v>
      </c>
      <c r="F2099" s="176">
        <v>1.53</v>
      </c>
      <c r="G2099" t="s">
        <v>5603</v>
      </c>
      <c r="H2099">
        <v>22</v>
      </c>
      <c r="I2099">
        <v>32</v>
      </c>
      <c r="J2099">
        <v>4.5</v>
      </c>
      <c r="K2099">
        <v>30</v>
      </c>
      <c r="L2099">
        <v>29.3</v>
      </c>
      <c r="M2099" s="175">
        <v>0.05</v>
      </c>
      <c r="N2099" t="s">
        <v>5166</v>
      </c>
    </row>
    <row r="2100" spans="1:14">
      <c r="A2100" s="186">
        <v>7818</v>
      </c>
      <c r="B2100" t="s">
        <v>5105</v>
      </c>
      <c r="C2100">
        <v>60.6</v>
      </c>
      <c r="D2100">
        <v>60.2</v>
      </c>
      <c r="E2100" s="178">
        <v>-0.6</v>
      </c>
      <c r="F2100" s="176">
        <v>-0.99</v>
      </c>
      <c r="G2100" t="s">
        <v>6871</v>
      </c>
      <c r="H2100">
        <v>80</v>
      </c>
      <c r="I2100">
        <v>67</v>
      </c>
      <c r="J2100">
        <v>16.79</v>
      </c>
      <c r="K2100">
        <v>60.6</v>
      </c>
      <c r="L2100">
        <v>59.9</v>
      </c>
      <c r="M2100" s="175">
        <v>0.05</v>
      </c>
      <c r="N2100" t="s">
        <v>5106</v>
      </c>
    </row>
    <row r="2101" spans="1:14">
      <c r="A2101" s="186">
        <v>7819</v>
      </c>
      <c r="B2101" t="s">
        <v>5111</v>
      </c>
      <c r="C2101">
        <v>34.5</v>
      </c>
      <c r="D2101">
        <v>34.6</v>
      </c>
      <c r="E2101" s="178">
        <v>0.1</v>
      </c>
      <c r="F2101" s="176">
        <v>0.28999999999999998</v>
      </c>
      <c r="G2101" t="s">
        <v>5241</v>
      </c>
      <c r="H2101">
        <v>61</v>
      </c>
      <c r="I2101">
        <v>42</v>
      </c>
      <c r="J2101">
        <v>2.5299999999999998</v>
      </c>
      <c r="K2101">
        <v>34.9</v>
      </c>
      <c r="L2101">
        <v>34.5</v>
      </c>
      <c r="M2101" s="175">
        <v>0.24</v>
      </c>
      <c r="N2101" t="s">
        <v>5112</v>
      </c>
    </row>
    <row r="2102" spans="1:14">
      <c r="A2102" s="186">
        <v>7820</v>
      </c>
      <c r="B2102" t="s">
        <v>5073</v>
      </c>
      <c r="C2102">
        <v>120</v>
      </c>
      <c r="D2102">
        <v>122</v>
      </c>
      <c r="E2102" s="178">
        <v>1</v>
      </c>
      <c r="F2102" s="176">
        <v>0.83</v>
      </c>
      <c r="G2102" t="s">
        <v>5323</v>
      </c>
      <c r="H2102">
        <v>15</v>
      </c>
      <c r="I2102">
        <v>22</v>
      </c>
      <c r="J2102">
        <v>3.78</v>
      </c>
      <c r="K2102">
        <v>122</v>
      </c>
      <c r="L2102">
        <v>118</v>
      </c>
      <c r="M2102" s="175">
        <v>0.04</v>
      </c>
      <c r="N2102" t="s">
        <v>5074</v>
      </c>
    </row>
    <row r="2103" spans="1:14">
      <c r="A2103" s="186">
        <v>7821</v>
      </c>
      <c r="B2103" t="s">
        <v>5038</v>
      </c>
      <c r="C2103">
        <v>39.200000000000003</v>
      </c>
      <c r="D2103">
        <v>39.1</v>
      </c>
      <c r="E2103" s="178">
        <v>0.05</v>
      </c>
      <c r="F2103" s="176">
        <v>0.13</v>
      </c>
      <c r="G2103" t="s">
        <v>6427</v>
      </c>
      <c r="H2103">
        <v>64</v>
      </c>
      <c r="I2103">
        <v>95</v>
      </c>
      <c r="J2103">
        <v>12.19</v>
      </c>
      <c r="K2103">
        <v>39.200000000000003</v>
      </c>
      <c r="L2103">
        <v>38.85</v>
      </c>
      <c r="M2103" s="175">
        <v>0.05</v>
      </c>
      <c r="N2103" t="s">
        <v>5039</v>
      </c>
    </row>
    <row r="2104" spans="1:14">
      <c r="A2104" s="186">
        <v>7822</v>
      </c>
      <c r="B2104" t="s">
        <v>4959</v>
      </c>
      <c r="C2104">
        <v>933</v>
      </c>
      <c r="D2104">
        <v>914</v>
      </c>
      <c r="E2104" s="178">
        <v>-39</v>
      </c>
      <c r="F2104" s="176">
        <v>-4.09</v>
      </c>
      <c r="G2104" t="s">
        <v>5457</v>
      </c>
      <c r="H2104">
        <v>148</v>
      </c>
      <c r="I2104">
        <v>210</v>
      </c>
      <c r="J2104">
        <v>4.5599999999999996</v>
      </c>
      <c r="K2104">
        <v>933</v>
      </c>
      <c r="L2104">
        <v>891</v>
      </c>
      <c r="M2104" s="175">
        <v>0.32</v>
      </c>
      <c r="N2104" t="s">
        <v>4960</v>
      </c>
    </row>
    <row r="2105" spans="1:14">
      <c r="A2105" s="186">
        <v>7828</v>
      </c>
      <c r="B2105" t="s">
        <v>5044</v>
      </c>
      <c r="C2105">
        <v>1785</v>
      </c>
      <c r="D2105">
        <v>1765</v>
      </c>
      <c r="E2105" s="178">
        <v>-35</v>
      </c>
      <c r="F2105" s="176">
        <v>-1.94</v>
      </c>
      <c r="G2105" t="s">
        <v>6872</v>
      </c>
      <c r="H2105">
        <v>453</v>
      </c>
      <c r="I2105">
        <v>184</v>
      </c>
      <c r="J2105">
        <v>4.05</v>
      </c>
      <c r="K2105">
        <v>1920</v>
      </c>
      <c r="L2105">
        <v>1750</v>
      </c>
      <c r="M2105" s="175">
        <v>1.1200000000000001</v>
      </c>
      <c r="N2105" t="s">
        <v>5045</v>
      </c>
    </row>
    <row r="2106" spans="1:14">
      <c r="A2106" s="186">
        <v>7839</v>
      </c>
      <c r="B2106" t="s">
        <v>5125</v>
      </c>
      <c r="C2106">
        <v>44.65</v>
      </c>
      <c r="D2106">
        <v>44.5</v>
      </c>
      <c r="E2106" s="178">
        <v>-0.15</v>
      </c>
      <c r="F2106" s="176">
        <v>-0.34</v>
      </c>
      <c r="G2106" t="s">
        <v>6873</v>
      </c>
      <c r="H2106">
        <v>16</v>
      </c>
      <c r="I2106">
        <v>32</v>
      </c>
      <c r="J2106">
        <v>1.51</v>
      </c>
      <c r="K2106">
        <v>44.65</v>
      </c>
      <c r="L2106">
        <v>43</v>
      </c>
      <c r="M2106" s="175">
        <v>0.11</v>
      </c>
      <c r="N2106" t="s">
        <v>5126</v>
      </c>
    </row>
    <row r="2107" spans="1:14">
      <c r="A2107" s="186">
        <v>7842</v>
      </c>
      <c r="B2107" t="s">
        <v>5098</v>
      </c>
      <c r="C2107">
        <v>101</v>
      </c>
      <c r="D2107">
        <v>99.6</v>
      </c>
      <c r="E2107" s="178">
        <v>-1.9</v>
      </c>
      <c r="F2107" s="176">
        <v>-1.87</v>
      </c>
      <c r="G2107" t="s">
        <v>5712</v>
      </c>
      <c r="H2107">
        <v>29</v>
      </c>
      <c r="I2107">
        <v>70</v>
      </c>
      <c r="J2107">
        <v>1.83</v>
      </c>
      <c r="K2107">
        <v>101</v>
      </c>
      <c r="L2107">
        <v>97.1</v>
      </c>
      <c r="M2107" s="175">
        <v>0.16</v>
      </c>
      <c r="N2107" t="s">
        <v>5099</v>
      </c>
    </row>
    <row r="2108" spans="1:14">
      <c r="A2108" s="186">
        <v>7855</v>
      </c>
      <c r="B2108" t="s">
        <v>6874</v>
      </c>
      <c r="C2108">
        <v>43.3</v>
      </c>
      <c r="D2108">
        <v>43.1</v>
      </c>
      <c r="E2108" s="178">
        <v>-0.2</v>
      </c>
      <c r="F2108" s="176">
        <v>-0.46</v>
      </c>
      <c r="G2108" t="s">
        <v>6875</v>
      </c>
      <c r="H2108">
        <v>1031</v>
      </c>
      <c r="I2108">
        <v>912</v>
      </c>
      <c r="J2108">
        <v>27.73</v>
      </c>
      <c r="K2108">
        <v>43.3</v>
      </c>
      <c r="L2108">
        <v>43.1</v>
      </c>
      <c r="M2108" s="175">
        <v>0.37</v>
      </c>
      <c r="N2108" t="s">
        <v>6876</v>
      </c>
    </row>
    <row r="2109" spans="1:14">
      <c r="A2109" s="186">
        <v>8011</v>
      </c>
      <c r="B2109" t="s">
        <v>2704</v>
      </c>
      <c r="C2109">
        <v>16.2</v>
      </c>
      <c r="D2109">
        <v>15.95</v>
      </c>
      <c r="E2109" s="178">
        <v>-0.15</v>
      </c>
      <c r="F2109" s="176">
        <v>-0.93</v>
      </c>
      <c r="G2109" t="s">
        <v>5280</v>
      </c>
      <c r="H2109">
        <v>232</v>
      </c>
      <c r="I2109">
        <v>245</v>
      </c>
      <c r="J2109">
        <v>16.59</v>
      </c>
      <c r="K2109">
        <v>16.2</v>
      </c>
      <c r="L2109">
        <v>15.9</v>
      </c>
      <c r="M2109" s="175">
        <v>0.14000000000000001</v>
      </c>
      <c r="N2109" t="s">
        <v>3906</v>
      </c>
    </row>
    <row r="2110" spans="1:14">
      <c r="A2110" s="186">
        <v>8016</v>
      </c>
      <c r="B2110" t="s">
        <v>2705</v>
      </c>
      <c r="C2110">
        <v>292.5</v>
      </c>
      <c r="D2110">
        <v>289</v>
      </c>
      <c r="E2110" s="178">
        <v>-7</v>
      </c>
      <c r="F2110" s="176">
        <v>-2.36</v>
      </c>
      <c r="G2110" t="s">
        <v>6147</v>
      </c>
      <c r="H2110">
        <v>545</v>
      </c>
      <c r="I2110">
        <v>427</v>
      </c>
      <c r="J2110">
        <v>12.01</v>
      </c>
      <c r="K2110">
        <v>293.5</v>
      </c>
      <c r="L2110">
        <v>288</v>
      </c>
      <c r="M2110" s="175">
        <v>0.45</v>
      </c>
      <c r="N2110" t="s">
        <v>3542</v>
      </c>
    </row>
    <row r="2111" spans="1:14">
      <c r="A2111" s="186">
        <v>8021</v>
      </c>
      <c r="B2111" t="s">
        <v>2706</v>
      </c>
      <c r="C2111">
        <v>442.5</v>
      </c>
      <c r="D2111">
        <v>435</v>
      </c>
      <c r="E2111" s="178">
        <v>-19</v>
      </c>
      <c r="F2111" s="176">
        <v>-4.1900000000000004</v>
      </c>
      <c r="G2111" t="s">
        <v>6877</v>
      </c>
      <c r="H2111">
        <v>8829</v>
      </c>
      <c r="I2111">
        <v>7312</v>
      </c>
      <c r="J2111">
        <v>14.72</v>
      </c>
      <c r="K2111">
        <v>461</v>
      </c>
      <c r="L2111">
        <v>423.5</v>
      </c>
      <c r="M2111" s="175">
        <v>6.09</v>
      </c>
      <c r="N2111" t="s">
        <v>3543</v>
      </c>
    </row>
    <row r="2112" spans="1:14">
      <c r="A2112" s="186">
        <v>8024</v>
      </c>
      <c r="B2112" t="s">
        <v>2707</v>
      </c>
      <c r="C2112">
        <v>13.55</v>
      </c>
      <c r="D2112">
        <v>13.15</v>
      </c>
      <c r="E2112" s="178">
        <v>-0.05</v>
      </c>
      <c r="F2112" s="176">
        <v>-0.38</v>
      </c>
      <c r="G2112" t="s">
        <v>5719</v>
      </c>
      <c r="H2112">
        <v>18</v>
      </c>
      <c r="I2112">
        <v>29</v>
      </c>
      <c r="J2112">
        <v>4.5199999999999996</v>
      </c>
      <c r="K2112">
        <v>13.55</v>
      </c>
      <c r="L2112">
        <v>12.7</v>
      </c>
      <c r="M2112" s="175">
        <v>0.04</v>
      </c>
      <c r="N2112" t="s">
        <v>3297</v>
      </c>
    </row>
    <row r="2113" spans="1:14">
      <c r="A2113" s="186">
        <v>8027</v>
      </c>
      <c r="B2113" t="s">
        <v>2708</v>
      </c>
      <c r="C2113">
        <v>182.5</v>
      </c>
      <c r="D2113">
        <v>179.5</v>
      </c>
      <c r="E2113" s="178">
        <v>-5.5</v>
      </c>
      <c r="F2113" s="176">
        <v>-2.97</v>
      </c>
      <c r="G2113" t="s">
        <v>6878</v>
      </c>
      <c r="H2113">
        <v>2251</v>
      </c>
      <c r="I2113">
        <v>2606</v>
      </c>
      <c r="J2113">
        <v>11.29</v>
      </c>
      <c r="K2113">
        <v>183</v>
      </c>
      <c r="L2113">
        <v>173</v>
      </c>
      <c r="M2113" s="175">
        <v>2</v>
      </c>
      <c r="N2113" t="s">
        <v>3298</v>
      </c>
    </row>
    <row r="2114" spans="1:14">
      <c r="A2114" s="186">
        <v>8028</v>
      </c>
      <c r="B2114" t="s">
        <v>2709</v>
      </c>
      <c r="C2114">
        <v>246.5</v>
      </c>
      <c r="D2114">
        <v>241</v>
      </c>
      <c r="E2114" s="178">
        <v>-8</v>
      </c>
      <c r="F2114" s="176">
        <v>-3.21</v>
      </c>
      <c r="G2114" t="s">
        <v>6879</v>
      </c>
      <c r="H2114">
        <v>3769</v>
      </c>
      <c r="I2114">
        <v>1716</v>
      </c>
      <c r="J2114">
        <v>18.45</v>
      </c>
      <c r="K2114">
        <v>246.5</v>
      </c>
      <c r="L2114">
        <v>237</v>
      </c>
      <c r="M2114" s="175">
        <v>2.1</v>
      </c>
      <c r="N2114" t="s">
        <v>3299</v>
      </c>
    </row>
    <row r="2115" spans="1:14">
      <c r="A2115" s="186">
        <v>8032</v>
      </c>
      <c r="B2115" t="s">
        <v>2710</v>
      </c>
      <c r="C2115">
        <v>36.35</v>
      </c>
      <c r="D2115">
        <v>36.6</v>
      </c>
      <c r="E2115" s="178">
        <v>0.3</v>
      </c>
      <c r="F2115" s="176">
        <v>0.83</v>
      </c>
      <c r="G2115" t="s">
        <v>5610</v>
      </c>
      <c r="H2115">
        <v>10</v>
      </c>
      <c r="I2115">
        <v>25</v>
      </c>
      <c r="J2115">
        <v>5.18</v>
      </c>
      <c r="K2115">
        <v>36.6</v>
      </c>
      <c r="L2115">
        <v>36.1</v>
      </c>
      <c r="M2115" s="175">
        <v>0.02</v>
      </c>
      <c r="N2115" t="s">
        <v>2711</v>
      </c>
    </row>
    <row r="2116" spans="1:14">
      <c r="A2116" s="186">
        <v>8033</v>
      </c>
      <c r="B2116" t="s">
        <v>2712</v>
      </c>
      <c r="C2116">
        <v>187.5</v>
      </c>
      <c r="D2116">
        <v>187</v>
      </c>
      <c r="E2116" s="178">
        <v>-2.5</v>
      </c>
      <c r="F2116" s="176">
        <v>-1.32</v>
      </c>
      <c r="G2116" t="s">
        <v>6880</v>
      </c>
      <c r="H2116">
        <v>4621</v>
      </c>
      <c r="I2116">
        <v>14110</v>
      </c>
      <c r="J2116">
        <v>16.46</v>
      </c>
      <c r="K2116">
        <v>192.5</v>
      </c>
      <c r="L2116">
        <v>187</v>
      </c>
      <c r="M2116" s="175">
        <v>2.81</v>
      </c>
      <c r="N2116" t="s">
        <v>3544</v>
      </c>
    </row>
    <row r="2117" spans="1:14">
      <c r="A2117" s="186">
        <v>8034</v>
      </c>
      <c r="B2117" t="s">
        <v>4061</v>
      </c>
      <c r="C2117">
        <v>20</v>
      </c>
      <c r="D2117">
        <v>19.75</v>
      </c>
      <c r="E2117" s="178">
        <v>-0.4</v>
      </c>
      <c r="F2117" s="176">
        <v>-1.99</v>
      </c>
      <c r="G2117" t="s">
        <v>6013</v>
      </c>
      <c r="H2117">
        <v>65</v>
      </c>
      <c r="I2117">
        <v>152</v>
      </c>
      <c r="J2117">
        <v>5.66</v>
      </c>
      <c r="K2117">
        <v>20.05</v>
      </c>
      <c r="L2117">
        <v>19.5</v>
      </c>
      <c r="M2117" s="175">
        <v>0.11</v>
      </c>
      <c r="N2117" t="s">
        <v>4062</v>
      </c>
    </row>
    <row r="2118" spans="1:14">
      <c r="A2118" s="186">
        <v>8038</v>
      </c>
      <c r="B2118" t="s">
        <v>2713</v>
      </c>
      <c r="C2118">
        <v>31.9</v>
      </c>
      <c r="D2118">
        <v>31.5</v>
      </c>
      <c r="E2118" s="178">
        <v>-0.4</v>
      </c>
      <c r="F2118" s="176">
        <v>-1.25</v>
      </c>
      <c r="G2118" t="s">
        <v>5297</v>
      </c>
      <c r="H2118">
        <v>157</v>
      </c>
      <c r="I2118">
        <v>144</v>
      </c>
      <c r="J2118">
        <v>6.23</v>
      </c>
      <c r="K2118">
        <v>31.9</v>
      </c>
      <c r="L2118">
        <v>30.7</v>
      </c>
      <c r="M2118" s="175">
        <v>0.25</v>
      </c>
      <c r="N2118" t="s">
        <v>2714</v>
      </c>
    </row>
    <row r="2119" spans="1:14">
      <c r="A2119" s="186">
        <v>8039</v>
      </c>
      <c r="B2119" t="s">
        <v>2715</v>
      </c>
      <c r="C2119">
        <v>343</v>
      </c>
      <c r="D2119">
        <v>327</v>
      </c>
      <c r="E2119" s="178">
        <v>-16.5</v>
      </c>
      <c r="F2119" s="176">
        <v>-4.8</v>
      </c>
      <c r="G2119" t="s">
        <v>5705</v>
      </c>
      <c r="H2119">
        <v>38161</v>
      </c>
      <c r="I2119">
        <v>47572</v>
      </c>
      <c r="J2119">
        <v>26.38</v>
      </c>
      <c r="K2119">
        <v>347</v>
      </c>
      <c r="L2119">
        <v>309.5</v>
      </c>
      <c r="M2119" s="175">
        <v>14.47</v>
      </c>
      <c r="N2119" t="s">
        <v>2716</v>
      </c>
    </row>
    <row r="2120" spans="1:14">
      <c r="A2120" s="186">
        <v>8040</v>
      </c>
      <c r="B2120" t="s">
        <v>2717</v>
      </c>
      <c r="C2120">
        <v>71</v>
      </c>
      <c r="D2120">
        <v>68.599999999999994</v>
      </c>
      <c r="E2120" s="178">
        <v>-3.7</v>
      </c>
      <c r="F2120" s="176">
        <v>-5.12</v>
      </c>
      <c r="G2120" t="s">
        <v>6881</v>
      </c>
      <c r="H2120">
        <v>475</v>
      </c>
      <c r="I2120">
        <v>282</v>
      </c>
      <c r="J2120">
        <v>9.64</v>
      </c>
      <c r="K2120">
        <v>71</v>
      </c>
      <c r="L2120">
        <v>68.400000000000006</v>
      </c>
      <c r="M2120" s="175">
        <v>0.49</v>
      </c>
      <c r="N2120" t="s">
        <v>3406</v>
      </c>
    </row>
    <row r="2121" spans="1:14">
      <c r="A2121" s="186">
        <v>8042</v>
      </c>
      <c r="B2121" t="s">
        <v>2718</v>
      </c>
      <c r="C2121">
        <v>107</v>
      </c>
      <c r="D2121">
        <v>105</v>
      </c>
      <c r="E2121" s="178">
        <v>-4</v>
      </c>
      <c r="F2121" s="176">
        <v>-3.67</v>
      </c>
      <c r="G2121" t="s">
        <v>6387</v>
      </c>
      <c r="H2121">
        <v>5618</v>
      </c>
      <c r="I2121">
        <v>3818</v>
      </c>
      <c r="J2121">
        <v>13.36</v>
      </c>
      <c r="K2121">
        <v>115</v>
      </c>
      <c r="L2121">
        <v>100.5</v>
      </c>
      <c r="M2121" s="175">
        <v>4.2699999999999996</v>
      </c>
      <c r="N2121" t="s">
        <v>2719</v>
      </c>
    </row>
    <row r="2122" spans="1:14">
      <c r="A2122" s="186">
        <v>8043</v>
      </c>
      <c r="B2122" t="s">
        <v>2720</v>
      </c>
      <c r="C2122">
        <v>144.5</v>
      </c>
      <c r="D2122">
        <v>142.5</v>
      </c>
      <c r="E2122" s="178">
        <v>-5.5</v>
      </c>
      <c r="F2122" s="176">
        <v>-3.72</v>
      </c>
      <c r="G2122" t="s">
        <v>6882</v>
      </c>
      <c r="H2122">
        <v>4639</v>
      </c>
      <c r="I2122">
        <v>5361</v>
      </c>
      <c r="J2122">
        <v>7.99</v>
      </c>
      <c r="K2122">
        <v>150.5</v>
      </c>
      <c r="L2122">
        <v>138</v>
      </c>
      <c r="M2122" s="175">
        <v>5.81</v>
      </c>
      <c r="N2122" t="s">
        <v>3300</v>
      </c>
    </row>
    <row r="2123" spans="1:14">
      <c r="A2123" s="186">
        <v>8044</v>
      </c>
      <c r="B2123" t="s">
        <v>2721</v>
      </c>
      <c r="C2123">
        <v>24.35</v>
      </c>
      <c r="D2123">
        <v>24.15</v>
      </c>
      <c r="E2123" s="178">
        <v>-0.25</v>
      </c>
      <c r="F2123" s="176">
        <v>-1.02</v>
      </c>
      <c r="G2123" t="s">
        <v>5445</v>
      </c>
      <c r="H2123">
        <v>235</v>
      </c>
      <c r="I2123">
        <v>454</v>
      </c>
      <c r="J2123">
        <v>20.48</v>
      </c>
      <c r="K2123">
        <v>24.55</v>
      </c>
      <c r="L2123">
        <v>24.15</v>
      </c>
      <c r="M2123" s="175">
        <v>0.11</v>
      </c>
      <c r="N2123" t="s">
        <v>3154</v>
      </c>
    </row>
    <row r="2124" spans="1:14">
      <c r="A2124" s="186">
        <v>8045</v>
      </c>
      <c r="B2124" t="s">
        <v>4152</v>
      </c>
      <c r="C2124">
        <v>53.5</v>
      </c>
      <c r="D2124">
        <v>52.3</v>
      </c>
      <c r="E2124" s="178">
        <v>-0.9</v>
      </c>
      <c r="F2124" s="176">
        <v>-1.69</v>
      </c>
      <c r="G2124" t="s">
        <v>5347</v>
      </c>
      <c r="H2124">
        <v>63</v>
      </c>
      <c r="I2124">
        <v>113</v>
      </c>
      <c r="J2124">
        <v>9.5</v>
      </c>
      <c r="K2124">
        <v>53.5</v>
      </c>
      <c r="L2124">
        <v>52.1</v>
      </c>
      <c r="M2124" s="175">
        <v>7.0000000000000007E-2</v>
      </c>
      <c r="N2124" t="s">
        <v>5747</v>
      </c>
    </row>
    <row r="2125" spans="1:14">
      <c r="A2125" s="186">
        <v>8046</v>
      </c>
      <c r="B2125" t="s">
        <v>2722</v>
      </c>
      <c r="C2125">
        <v>1220</v>
      </c>
      <c r="D2125">
        <v>1230</v>
      </c>
      <c r="E2125" s="178">
        <v>-10</v>
      </c>
      <c r="F2125" s="176">
        <v>-0.81</v>
      </c>
      <c r="G2125" t="s">
        <v>6883</v>
      </c>
      <c r="H2125">
        <v>20096</v>
      </c>
      <c r="I2125">
        <v>10884</v>
      </c>
      <c r="J2125">
        <v>64.62</v>
      </c>
      <c r="K2125">
        <v>1325</v>
      </c>
      <c r="L2125">
        <v>1155</v>
      </c>
      <c r="M2125" s="175">
        <v>3.11</v>
      </c>
      <c r="N2125" t="s">
        <v>5019</v>
      </c>
    </row>
    <row r="2126" spans="1:14">
      <c r="A2126" s="186">
        <v>8047</v>
      </c>
      <c r="B2126" t="s">
        <v>2723</v>
      </c>
      <c r="C2126">
        <v>44</v>
      </c>
      <c r="D2126">
        <v>44</v>
      </c>
      <c r="E2126" s="178">
        <v>0</v>
      </c>
      <c r="F2126" s="176">
        <v>0</v>
      </c>
      <c r="G2126" t="s">
        <v>6385</v>
      </c>
      <c r="H2126">
        <v>5</v>
      </c>
      <c r="I2126">
        <v>14</v>
      </c>
      <c r="J2126">
        <v>4.17</v>
      </c>
      <c r="K2126">
        <v>44</v>
      </c>
      <c r="L2126">
        <v>44</v>
      </c>
      <c r="M2126" s="175">
        <v>0.01</v>
      </c>
      <c r="N2126" t="s">
        <v>2724</v>
      </c>
    </row>
    <row r="2127" spans="1:14">
      <c r="A2127" s="186">
        <v>8048</v>
      </c>
      <c r="B2127" t="s">
        <v>2725</v>
      </c>
      <c r="C2127">
        <v>51.9</v>
      </c>
      <c r="D2127">
        <v>51.8</v>
      </c>
      <c r="E2127" s="178">
        <v>0</v>
      </c>
      <c r="F2127" s="176">
        <v>0</v>
      </c>
      <c r="G2127" t="s">
        <v>5671</v>
      </c>
      <c r="H2127">
        <v>68</v>
      </c>
      <c r="I2127">
        <v>57</v>
      </c>
      <c r="J2127">
        <v>5.94</v>
      </c>
      <c r="K2127">
        <v>52</v>
      </c>
      <c r="L2127">
        <v>51</v>
      </c>
      <c r="M2127" s="175">
        <v>0.11</v>
      </c>
      <c r="N2127" t="s">
        <v>2726</v>
      </c>
    </row>
    <row r="2128" spans="1:14">
      <c r="A2128" s="186">
        <v>8049</v>
      </c>
      <c r="B2128" t="s">
        <v>2727</v>
      </c>
      <c r="C2128">
        <v>24.4</v>
      </c>
      <c r="D2128">
        <v>24.55</v>
      </c>
      <c r="E2128" s="178">
        <v>0.1</v>
      </c>
      <c r="F2128" s="176">
        <v>0.41</v>
      </c>
      <c r="G2128" t="s">
        <v>5323</v>
      </c>
      <c r="H2128">
        <v>73</v>
      </c>
      <c r="I2128">
        <v>107</v>
      </c>
      <c r="J2128">
        <v>11.83</v>
      </c>
      <c r="K2128">
        <v>24.55</v>
      </c>
      <c r="L2128">
        <v>24.4</v>
      </c>
      <c r="M2128" s="175">
        <v>0.06</v>
      </c>
      <c r="N2128" t="s">
        <v>2728</v>
      </c>
    </row>
    <row r="2129" spans="1:14">
      <c r="A2129" s="186">
        <v>8050</v>
      </c>
      <c r="B2129" t="s">
        <v>2729</v>
      </c>
      <c r="C2129">
        <v>56.5</v>
      </c>
      <c r="D2129">
        <v>56.1</v>
      </c>
      <c r="E2129" s="178">
        <v>-0.3</v>
      </c>
      <c r="F2129" s="176">
        <v>-0.53</v>
      </c>
      <c r="G2129" t="s">
        <v>6884</v>
      </c>
      <c r="H2129">
        <v>795</v>
      </c>
      <c r="I2129">
        <v>904</v>
      </c>
      <c r="J2129">
        <v>20.52</v>
      </c>
      <c r="K2129">
        <v>56.9</v>
      </c>
      <c r="L2129">
        <v>56</v>
      </c>
      <c r="M2129" s="175">
        <v>0.39</v>
      </c>
      <c r="N2129" t="s">
        <v>3301</v>
      </c>
    </row>
    <row r="2130" spans="1:14">
      <c r="A2130" s="186">
        <v>8054</v>
      </c>
      <c r="B2130" t="s">
        <v>2730</v>
      </c>
      <c r="C2130">
        <v>83.5</v>
      </c>
      <c r="D2130">
        <v>82.9</v>
      </c>
      <c r="E2130" s="178">
        <v>-1.7</v>
      </c>
      <c r="F2130" s="176">
        <v>-2.0099999999999998</v>
      </c>
      <c r="G2130" t="s">
        <v>5749</v>
      </c>
      <c r="H2130">
        <v>565</v>
      </c>
      <c r="I2130">
        <v>681</v>
      </c>
      <c r="J2130">
        <v>10.87</v>
      </c>
      <c r="K2130">
        <v>84.9</v>
      </c>
      <c r="L2130">
        <v>82.3</v>
      </c>
      <c r="M2130" s="175">
        <v>0.52</v>
      </c>
      <c r="N2130" t="s">
        <v>2731</v>
      </c>
    </row>
    <row r="2131" spans="1:14">
      <c r="A2131" s="186">
        <v>8059</v>
      </c>
      <c r="B2131" t="s">
        <v>2732</v>
      </c>
      <c r="C2131">
        <v>13.7</v>
      </c>
      <c r="D2131">
        <v>13.45</v>
      </c>
      <c r="E2131" s="178">
        <v>-0.45</v>
      </c>
      <c r="F2131" s="176">
        <v>-3.24</v>
      </c>
      <c r="G2131" t="s">
        <v>6830</v>
      </c>
      <c r="H2131">
        <v>143</v>
      </c>
      <c r="I2131">
        <v>305</v>
      </c>
      <c r="J2131">
        <v>19.41</v>
      </c>
      <c r="K2131">
        <v>13.9</v>
      </c>
      <c r="L2131">
        <v>13.3</v>
      </c>
      <c r="M2131" s="175">
        <v>7.0000000000000007E-2</v>
      </c>
      <c r="N2131" t="s">
        <v>5020</v>
      </c>
    </row>
    <row r="2132" spans="1:14">
      <c r="A2132" s="186">
        <v>8064</v>
      </c>
      <c r="B2132" t="s">
        <v>2733</v>
      </c>
      <c r="C2132">
        <v>103</v>
      </c>
      <c r="D2132">
        <v>100</v>
      </c>
      <c r="E2132" s="178">
        <v>-3</v>
      </c>
      <c r="F2132" s="176">
        <v>-2.91</v>
      </c>
      <c r="G2132" t="s">
        <v>5764</v>
      </c>
      <c r="H2132">
        <v>1678</v>
      </c>
      <c r="I2132">
        <v>2161</v>
      </c>
      <c r="J2132">
        <v>18.48</v>
      </c>
      <c r="K2132">
        <v>103</v>
      </c>
      <c r="L2132">
        <v>97.9</v>
      </c>
      <c r="M2132" s="175">
        <v>0.91</v>
      </c>
      <c r="N2132" t="s">
        <v>5021</v>
      </c>
    </row>
    <row r="2133" spans="1:14">
      <c r="A2133" s="186">
        <v>8066</v>
      </c>
      <c r="B2133" t="s">
        <v>2734</v>
      </c>
      <c r="C2133">
        <v>14.6</v>
      </c>
      <c r="D2133">
        <v>14.6</v>
      </c>
      <c r="E2133" s="178">
        <v>-0.1</v>
      </c>
      <c r="F2133" s="176">
        <v>-0.68</v>
      </c>
      <c r="G2133" t="s">
        <v>6885</v>
      </c>
      <c r="H2133">
        <v>6</v>
      </c>
      <c r="I2133">
        <v>7</v>
      </c>
      <c r="J2133">
        <v>3.66</v>
      </c>
      <c r="K2133">
        <v>14.65</v>
      </c>
      <c r="L2133">
        <v>14.6</v>
      </c>
      <c r="M2133" s="175">
        <v>0.02</v>
      </c>
      <c r="N2133" t="s">
        <v>2735</v>
      </c>
    </row>
    <row r="2134" spans="1:14">
      <c r="A2134" s="186">
        <v>8067</v>
      </c>
      <c r="B2134" t="s">
        <v>2736</v>
      </c>
      <c r="C2134">
        <v>12.45</v>
      </c>
      <c r="D2134">
        <v>12</v>
      </c>
      <c r="E2134" s="178">
        <v>-0.3</v>
      </c>
      <c r="F2134" s="176">
        <v>-2.44</v>
      </c>
      <c r="G2134" t="s">
        <v>5757</v>
      </c>
      <c r="H2134">
        <v>17</v>
      </c>
      <c r="I2134">
        <v>11</v>
      </c>
      <c r="J2134">
        <v>2.0699999999999998</v>
      </c>
      <c r="K2134">
        <v>12.45</v>
      </c>
      <c r="L2134">
        <v>11.95</v>
      </c>
      <c r="M2134" s="175">
        <v>0.08</v>
      </c>
      <c r="N2134" t="s">
        <v>3077</v>
      </c>
    </row>
    <row r="2135" spans="1:14">
      <c r="A2135" s="186">
        <v>8068</v>
      </c>
      <c r="B2135" t="s">
        <v>2737</v>
      </c>
      <c r="C2135">
        <v>17.05</v>
      </c>
      <c r="D2135">
        <v>16.899999999999999</v>
      </c>
      <c r="E2135" s="178">
        <v>-0.15</v>
      </c>
      <c r="F2135" s="176">
        <v>-0.88</v>
      </c>
      <c r="G2135" t="s">
        <v>5195</v>
      </c>
      <c r="H2135">
        <v>70</v>
      </c>
      <c r="I2135">
        <v>66</v>
      </c>
      <c r="J2135">
        <v>8.08</v>
      </c>
      <c r="K2135">
        <v>17.05</v>
      </c>
      <c r="L2135">
        <v>16.7</v>
      </c>
      <c r="M2135" s="175">
        <v>0.09</v>
      </c>
      <c r="N2135" t="s">
        <v>4234</v>
      </c>
    </row>
    <row r="2136" spans="1:14">
      <c r="A2136" s="186">
        <v>8069</v>
      </c>
      <c r="B2136" t="s">
        <v>2738</v>
      </c>
      <c r="C2136">
        <v>159.5</v>
      </c>
      <c r="D2136">
        <v>156.5</v>
      </c>
      <c r="E2136" s="178">
        <v>-4</v>
      </c>
      <c r="F2136" s="176">
        <v>-2.4900000000000002</v>
      </c>
      <c r="G2136" t="s">
        <v>5299</v>
      </c>
      <c r="H2136">
        <v>12188</v>
      </c>
      <c r="I2136">
        <v>4639</v>
      </c>
      <c r="J2136">
        <v>115.46</v>
      </c>
      <c r="K2136">
        <v>159.5</v>
      </c>
      <c r="L2136">
        <v>153</v>
      </c>
      <c r="M2136" s="175">
        <v>1.06</v>
      </c>
      <c r="N2136" t="s">
        <v>2739</v>
      </c>
    </row>
    <row r="2137" spans="1:14">
      <c r="A2137" s="186">
        <v>8070</v>
      </c>
      <c r="B2137" t="s">
        <v>2740</v>
      </c>
      <c r="C2137">
        <v>50.9</v>
      </c>
      <c r="D2137">
        <v>50.2</v>
      </c>
      <c r="E2137" s="178">
        <v>-1.2</v>
      </c>
      <c r="F2137" s="176">
        <v>-2.33</v>
      </c>
      <c r="G2137" t="s">
        <v>5580</v>
      </c>
      <c r="H2137">
        <v>3071</v>
      </c>
      <c r="I2137">
        <v>3151</v>
      </c>
      <c r="J2137">
        <v>7.26</v>
      </c>
      <c r="K2137">
        <v>51</v>
      </c>
      <c r="L2137">
        <v>49.5</v>
      </c>
      <c r="M2137" s="175">
        <v>0.42</v>
      </c>
      <c r="N2137" t="s">
        <v>4532</v>
      </c>
    </row>
    <row r="2138" spans="1:14">
      <c r="A2138" s="186">
        <v>8071</v>
      </c>
      <c r="B2138" t="s">
        <v>2741</v>
      </c>
      <c r="C2138">
        <v>24.5</v>
      </c>
      <c r="D2138">
        <v>24.05</v>
      </c>
      <c r="E2138" s="178">
        <v>-0.45</v>
      </c>
      <c r="F2138" s="176">
        <v>-1.84</v>
      </c>
      <c r="G2138" t="s">
        <v>6886</v>
      </c>
      <c r="H2138">
        <v>335</v>
      </c>
      <c r="I2138">
        <v>636</v>
      </c>
      <c r="J2138">
        <v>6.01</v>
      </c>
      <c r="K2138">
        <v>24.55</v>
      </c>
      <c r="L2138">
        <v>23.9</v>
      </c>
      <c r="M2138" s="175">
        <v>0.56000000000000005</v>
      </c>
      <c r="N2138" t="s">
        <v>3147</v>
      </c>
    </row>
    <row r="2139" spans="1:14">
      <c r="A2139" s="186">
        <v>8072</v>
      </c>
      <c r="B2139" t="s">
        <v>2742</v>
      </c>
      <c r="C2139">
        <v>26.2</v>
      </c>
      <c r="D2139">
        <v>26.15</v>
      </c>
      <c r="E2139" s="178">
        <v>-0.05</v>
      </c>
      <c r="F2139" s="176">
        <v>-0.19</v>
      </c>
      <c r="G2139" t="s">
        <v>5302</v>
      </c>
      <c r="H2139">
        <v>72</v>
      </c>
      <c r="I2139">
        <v>91</v>
      </c>
      <c r="J2139">
        <v>8</v>
      </c>
      <c r="K2139">
        <v>26.3</v>
      </c>
      <c r="L2139">
        <v>26.05</v>
      </c>
      <c r="M2139" s="175">
        <v>0.09</v>
      </c>
      <c r="N2139" t="s">
        <v>4459</v>
      </c>
    </row>
    <row r="2140" spans="1:14">
      <c r="A2140" s="186">
        <v>8074</v>
      </c>
      <c r="B2140" t="s">
        <v>2743</v>
      </c>
      <c r="C2140">
        <v>57.7</v>
      </c>
      <c r="D2140">
        <v>55.9</v>
      </c>
      <c r="E2140" s="178">
        <v>-2.2000000000000002</v>
      </c>
      <c r="F2140" s="176">
        <v>-3.79</v>
      </c>
      <c r="G2140" t="s">
        <v>6887</v>
      </c>
      <c r="H2140">
        <v>537</v>
      </c>
      <c r="I2140">
        <v>674</v>
      </c>
      <c r="J2140">
        <v>8.6999999999999993</v>
      </c>
      <c r="K2140">
        <v>58</v>
      </c>
      <c r="L2140">
        <v>55.6</v>
      </c>
      <c r="M2140" s="175">
        <v>0.62</v>
      </c>
      <c r="N2140" t="s">
        <v>2744</v>
      </c>
    </row>
    <row r="2141" spans="1:14">
      <c r="A2141" s="186">
        <v>8076</v>
      </c>
      <c r="B2141" t="s">
        <v>2745</v>
      </c>
      <c r="C2141">
        <v>23.25</v>
      </c>
      <c r="D2141">
        <v>23.2</v>
      </c>
      <c r="E2141" s="178">
        <v>-0.05</v>
      </c>
      <c r="F2141" s="176">
        <v>-0.22</v>
      </c>
      <c r="G2141" t="s">
        <v>6888</v>
      </c>
      <c r="H2141">
        <v>494</v>
      </c>
      <c r="I2141">
        <v>534</v>
      </c>
      <c r="J2141">
        <v>29.22</v>
      </c>
      <c r="K2141">
        <v>23.4</v>
      </c>
      <c r="L2141">
        <v>23.05</v>
      </c>
      <c r="M2141" s="175">
        <v>0.17</v>
      </c>
      <c r="N2141" t="s">
        <v>2746</v>
      </c>
    </row>
    <row r="2142" spans="1:14">
      <c r="A2142" s="186">
        <v>8077</v>
      </c>
      <c r="B2142" t="s">
        <v>2747</v>
      </c>
      <c r="C2142">
        <v>44.65</v>
      </c>
      <c r="D2142">
        <v>44.4</v>
      </c>
      <c r="E2142" s="178">
        <v>1.2</v>
      </c>
      <c r="F2142" s="176">
        <v>2.78</v>
      </c>
      <c r="G2142" t="s">
        <v>6889</v>
      </c>
      <c r="H2142">
        <v>4</v>
      </c>
      <c r="I2142">
        <v>10</v>
      </c>
      <c r="J2142">
        <v>2.19</v>
      </c>
      <c r="K2142">
        <v>44.65</v>
      </c>
      <c r="L2142">
        <v>42.9</v>
      </c>
      <c r="M2142" s="175">
        <v>0.02</v>
      </c>
      <c r="N2142" t="s">
        <v>3148</v>
      </c>
    </row>
    <row r="2143" spans="1:14">
      <c r="A2143" s="186">
        <v>8080</v>
      </c>
      <c r="B2143" t="s">
        <v>4262</v>
      </c>
      <c r="C2143">
        <v>28.5</v>
      </c>
      <c r="D2143">
        <v>29</v>
      </c>
      <c r="E2143" s="178">
        <v>1</v>
      </c>
      <c r="F2143" s="176">
        <v>3.57</v>
      </c>
      <c r="G2143" t="s">
        <v>5289</v>
      </c>
      <c r="H2143">
        <v>38</v>
      </c>
      <c r="I2143">
        <v>8</v>
      </c>
      <c r="J2143">
        <v>6.72</v>
      </c>
      <c r="K2143">
        <v>29</v>
      </c>
      <c r="L2143">
        <v>28</v>
      </c>
      <c r="M2143" s="175">
        <v>0.06</v>
      </c>
      <c r="N2143" t="s">
        <v>3363</v>
      </c>
    </row>
    <row r="2144" spans="1:14">
      <c r="A2144" s="186">
        <v>8081</v>
      </c>
      <c r="B2144" t="s">
        <v>2748</v>
      </c>
      <c r="C2144">
        <v>258</v>
      </c>
      <c r="D2144">
        <v>255.5</v>
      </c>
      <c r="E2144" s="178">
        <v>-4.5</v>
      </c>
      <c r="F2144" s="176">
        <v>-1.73</v>
      </c>
      <c r="G2144" t="s">
        <v>5136</v>
      </c>
      <c r="H2144">
        <v>408</v>
      </c>
      <c r="I2144">
        <v>399</v>
      </c>
      <c r="J2144">
        <v>8.6199999999999992</v>
      </c>
      <c r="K2144">
        <v>258</v>
      </c>
      <c r="L2144">
        <v>251</v>
      </c>
      <c r="M2144" s="175">
        <v>0.47</v>
      </c>
      <c r="N2144" t="s">
        <v>3602</v>
      </c>
    </row>
    <row r="2145" spans="1:14">
      <c r="A2145" s="186">
        <v>8083</v>
      </c>
      <c r="B2145" t="s">
        <v>2749</v>
      </c>
      <c r="C2145">
        <v>158.5</v>
      </c>
      <c r="D2145">
        <v>158.5</v>
      </c>
      <c r="E2145" s="178">
        <v>0</v>
      </c>
      <c r="F2145" s="176">
        <v>0</v>
      </c>
      <c r="G2145" t="s">
        <v>6890</v>
      </c>
      <c r="H2145">
        <v>69</v>
      </c>
      <c r="I2145">
        <v>85</v>
      </c>
      <c r="J2145">
        <v>3.51</v>
      </c>
      <c r="K2145">
        <v>159</v>
      </c>
      <c r="L2145">
        <v>157.5</v>
      </c>
      <c r="M2145" s="175">
        <v>0.2</v>
      </c>
      <c r="N2145" t="s">
        <v>2750</v>
      </c>
    </row>
    <row r="2146" spans="1:14">
      <c r="A2146" s="186">
        <v>8084</v>
      </c>
      <c r="B2146" t="s">
        <v>2751</v>
      </c>
      <c r="C2146">
        <v>46</v>
      </c>
      <c r="D2146">
        <v>46</v>
      </c>
      <c r="E2146" s="178">
        <v>0</v>
      </c>
      <c r="F2146" s="176">
        <v>0</v>
      </c>
      <c r="G2146" t="s">
        <v>6891</v>
      </c>
      <c r="H2146">
        <v>177</v>
      </c>
      <c r="I2146">
        <v>484</v>
      </c>
      <c r="J2146">
        <v>17.48</v>
      </c>
      <c r="K2146">
        <v>46.25</v>
      </c>
      <c r="L2146">
        <v>44.85</v>
      </c>
      <c r="M2146" s="175">
        <v>0.1</v>
      </c>
      <c r="N2146" t="s">
        <v>3068</v>
      </c>
    </row>
    <row r="2147" spans="1:14">
      <c r="A2147" s="186">
        <v>8085</v>
      </c>
      <c r="B2147" t="s">
        <v>2752</v>
      </c>
      <c r="C2147">
        <v>15.55</v>
      </c>
      <c r="D2147">
        <v>15.85</v>
      </c>
      <c r="E2147" s="178">
        <v>-0.25</v>
      </c>
      <c r="F2147" s="176">
        <v>-1.55</v>
      </c>
      <c r="G2147" t="s">
        <v>6892</v>
      </c>
      <c r="H2147">
        <v>814</v>
      </c>
      <c r="I2147">
        <v>1686</v>
      </c>
      <c r="J2147">
        <v>14</v>
      </c>
      <c r="K2147">
        <v>16.5</v>
      </c>
      <c r="L2147">
        <v>15.45</v>
      </c>
      <c r="M2147" s="175">
        <v>0.57999999999999996</v>
      </c>
      <c r="N2147" t="s">
        <v>4235</v>
      </c>
    </row>
    <row r="2148" spans="1:14">
      <c r="A2148" s="186">
        <v>8086</v>
      </c>
      <c r="B2148" t="s">
        <v>2753</v>
      </c>
      <c r="C2148">
        <v>118</v>
      </c>
      <c r="D2148">
        <v>118</v>
      </c>
      <c r="E2148" s="178">
        <v>0.5</v>
      </c>
      <c r="F2148" s="176">
        <v>0.43</v>
      </c>
      <c r="G2148" t="s">
        <v>6893</v>
      </c>
      <c r="H2148">
        <v>6085</v>
      </c>
      <c r="I2148">
        <v>4434</v>
      </c>
      <c r="J2148">
        <v>19.649999999999999</v>
      </c>
      <c r="K2148">
        <v>122.5</v>
      </c>
      <c r="L2148">
        <v>116.5</v>
      </c>
      <c r="M2148" s="175">
        <v>3.1</v>
      </c>
      <c r="N2148" t="s">
        <v>2754</v>
      </c>
    </row>
    <row r="2149" spans="1:14">
      <c r="A2149" s="186">
        <v>8087</v>
      </c>
      <c r="B2149" t="s">
        <v>4042</v>
      </c>
      <c r="C2149">
        <v>27.25</v>
      </c>
      <c r="D2149">
        <v>27</v>
      </c>
      <c r="E2149" s="178">
        <v>0.9</v>
      </c>
      <c r="F2149" s="176">
        <v>3.45</v>
      </c>
      <c r="G2149" t="s">
        <v>6178</v>
      </c>
      <c r="H2149">
        <v>17</v>
      </c>
      <c r="I2149">
        <v>12</v>
      </c>
      <c r="J2149">
        <v>3.86</v>
      </c>
      <c r="K2149">
        <v>27.25</v>
      </c>
      <c r="L2149">
        <v>26</v>
      </c>
      <c r="M2149" s="175">
        <v>0.04</v>
      </c>
      <c r="N2149" t="s">
        <v>3149</v>
      </c>
    </row>
    <row r="2150" spans="1:14">
      <c r="A2150" s="186">
        <v>8088</v>
      </c>
      <c r="B2150" t="s">
        <v>2755</v>
      </c>
      <c r="C2150">
        <v>45.8</v>
      </c>
      <c r="D2150">
        <v>45.25</v>
      </c>
      <c r="E2150" s="178">
        <v>-0.5</v>
      </c>
      <c r="F2150" s="176">
        <v>-1.0900000000000001</v>
      </c>
      <c r="G2150" t="s">
        <v>5736</v>
      </c>
      <c r="H2150">
        <v>388</v>
      </c>
      <c r="I2150">
        <v>496</v>
      </c>
      <c r="J2150">
        <v>6.09</v>
      </c>
      <c r="K2150">
        <v>46.2</v>
      </c>
      <c r="L2150">
        <v>45</v>
      </c>
      <c r="M2150" s="175">
        <v>0.64</v>
      </c>
      <c r="N2150" t="s">
        <v>4738</v>
      </c>
    </row>
    <row r="2151" spans="1:14">
      <c r="A2151" s="186">
        <v>8089</v>
      </c>
      <c r="B2151" t="s">
        <v>2756</v>
      </c>
      <c r="C2151">
        <v>17.7</v>
      </c>
      <c r="D2151">
        <v>17.7</v>
      </c>
      <c r="E2151" s="178">
        <v>-0.25</v>
      </c>
      <c r="F2151" s="176">
        <v>-1.39</v>
      </c>
      <c r="G2151" t="s">
        <v>5246</v>
      </c>
      <c r="H2151">
        <v>96</v>
      </c>
      <c r="I2151">
        <v>100</v>
      </c>
      <c r="J2151">
        <v>6.6</v>
      </c>
      <c r="K2151">
        <v>17.899999999999999</v>
      </c>
      <c r="L2151">
        <v>17.45</v>
      </c>
      <c r="M2151" s="175">
        <v>0.15</v>
      </c>
      <c r="N2151" t="s">
        <v>2757</v>
      </c>
    </row>
    <row r="2152" spans="1:14">
      <c r="A2152" s="186">
        <v>8091</v>
      </c>
      <c r="B2152" t="s">
        <v>2758</v>
      </c>
      <c r="C2152">
        <v>221</v>
      </c>
      <c r="D2152">
        <v>217.5</v>
      </c>
      <c r="E2152" s="178">
        <v>-3</v>
      </c>
      <c r="F2152" s="176">
        <v>-1.36</v>
      </c>
      <c r="G2152" t="s">
        <v>6894</v>
      </c>
      <c r="H2152">
        <v>312</v>
      </c>
      <c r="I2152">
        <v>225</v>
      </c>
      <c r="J2152">
        <v>5.69</v>
      </c>
      <c r="K2152">
        <v>226</v>
      </c>
      <c r="L2152">
        <v>214</v>
      </c>
      <c r="M2152" s="175">
        <v>0.56000000000000005</v>
      </c>
      <c r="N2152" t="s">
        <v>2759</v>
      </c>
    </row>
    <row r="2153" spans="1:14">
      <c r="A2153" s="186">
        <v>8092</v>
      </c>
      <c r="B2153" t="s">
        <v>2760</v>
      </c>
      <c r="C2153">
        <v>13.3</v>
      </c>
      <c r="D2153">
        <v>13</v>
      </c>
      <c r="E2153" s="178">
        <v>-0.15</v>
      </c>
      <c r="F2153" s="176">
        <v>-1.1399999999999999</v>
      </c>
      <c r="G2153" t="s">
        <v>6895</v>
      </c>
      <c r="H2153">
        <v>36</v>
      </c>
      <c r="I2153">
        <v>84</v>
      </c>
      <c r="J2153">
        <v>5.72</v>
      </c>
      <c r="K2153">
        <v>13.45</v>
      </c>
      <c r="L2153">
        <v>12.9</v>
      </c>
      <c r="M2153" s="175">
        <v>0.06</v>
      </c>
      <c r="N2153" t="s">
        <v>3302</v>
      </c>
    </row>
    <row r="2154" spans="1:14">
      <c r="A2154" s="186">
        <v>8093</v>
      </c>
      <c r="B2154" t="s">
        <v>4799</v>
      </c>
      <c r="C2154">
        <v>27.5</v>
      </c>
      <c r="D2154">
        <v>28.05</v>
      </c>
      <c r="E2154" s="178">
        <v>0.6</v>
      </c>
      <c r="F2154" s="176">
        <v>2.19</v>
      </c>
      <c r="G2154" t="s">
        <v>5228</v>
      </c>
      <c r="H2154">
        <v>46</v>
      </c>
      <c r="I2154">
        <v>159</v>
      </c>
      <c r="J2154">
        <v>5.66</v>
      </c>
      <c r="K2154">
        <v>28.45</v>
      </c>
      <c r="L2154">
        <v>27.5</v>
      </c>
      <c r="M2154" s="175">
        <v>0.08</v>
      </c>
      <c r="N2154" t="s">
        <v>4800</v>
      </c>
    </row>
    <row r="2155" spans="1:14">
      <c r="A2155" s="186">
        <v>8096</v>
      </c>
      <c r="B2155" t="s">
        <v>2761</v>
      </c>
      <c r="C2155">
        <v>108</v>
      </c>
      <c r="D2155">
        <v>109</v>
      </c>
      <c r="E2155" s="178">
        <v>-0.5</v>
      </c>
      <c r="F2155" s="176">
        <v>-0.46</v>
      </c>
      <c r="G2155" t="s">
        <v>6896</v>
      </c>
      <c r="H2155">
        <v>1492</v>
      </c>
      <c r="I2155">
        <v>2773</v>
      </c>
      <c r="J2155">
        <v>14.93</v>
      </c>
      <c r="K2155">
        <v>111.5</v>
      </c>
      <c r="L2155">
        <v>107</v>
      </c>
      <c r="M2155" s="175">
        <v>1</v>
      </c>
      <c r="N2155" t="s">
        <v>2762</v>
      </c>
    </row>
    <row r="2156" spans="1:14">
      <c r="A2156" s="186">
        <v>8097</v>
      </c>
      <c r="B2156" t="s">
        <v>2763</v>
      </c>
      <c r="C2156">
        <v>49.05</v>
      </c>
      <c r="D2156">
        <v>49.2</v>
      </c>
      <c r="E2156" s="178">
        <v>0.15</v>
      </c>
      <c r="F2156" s="176">
        <v>0.31</v>
      </c>
      <c r="G2156" t="s">
        <v>6897</v>
      </c>
      <c r="H2156">
        <v>184</v>
      </c>
      <c r="I2156">
        <v>111</v>
      </c>
      <c r="J2156">
        <v>6.03</v>
      </c>
      <c r="K2156">
        <v>49.35</v>
      </c>
      <c r="L2156">
        <v>47.95</v>
      </c>
      <c r="M2156" s="175">
        <v>0.28999999999999998</v>
      </c>
      <c r="N2156" t="s">
        <v>3150</v>
      </c>
    </row>
    <row r="2157" spans="1:14">
      <c r="A2157" s="186">
        <v>8099</v>
      </c>
      <c r="B2157" t="s">
        <v>126</v>
      </c>
      <c r="C2157">
        <v>62.1</v>
      </c>
      <c r="D2157">
        <v>61.5</v>
      </c>
      <c r="E2157" s="178">
        <v>-0.7</v>
      </c>
      <c r="F2157" s="176">
        <v>-1.1299999999999999</v>
      </c>
      <c r="G2157" t="s">
        <v>6898</v>
      </c>
      <c r="H2157">
        <v>286</v>
      </c>
      <c r="I2157">
        <v>662</v>
      </c>
      <c r="J2157">
        <v>10.01</v>
      </c>
      <c r="K2157">
        <v>62.8</v>
      </c>
      <c r="L2157">
        <v>61.3</v>
      </c>
      <c r="M2157" s="175">
        <v>0.28999999999999998</v>
      </c>
      <c r="N2157" t="s">
        <v>2764</v>
      </c>
    </row>
    <row r="2158" spans="1:14">
      <c r="A2158" s="186">
        <v>8101</v>
      </c>
      <c r="B2158" t="s">
        <v>4119</v>
      </c>
      <c r="C2158">
        <v>12.4</v>
      </c>
      <c r="D2158">
        <v>12.4</v>
      </c>
      <c r="E2158" s="178">
        <v>0</v>
      </c>
      <c r="F2158" s="176">
        <v>0</v>
      </c>
      <c r="G2158" t="s">
        <v>6899</v>
      </c>
      <c r="H2158">
        <v>1</v>
      </c>
      <c r="I2158">
        <v>10</v>
      </c>
      <c r="J2158">
        <v>5.37</v>
      </c>
      <c r="K2158">
        <v>12.4</v>
      </c>
      <c r="L2158">
        <v>12.4</v>
      </c>
      <c r="M2158" s="175">
        <v>0.01</v>
      </c>
      <c r="N2158" t="s">
        <v>5022</v>
      </c>
    </row>
    <row r="2159" spans="1:14">
      <c r="A2159" s="186">
        <v>8102</v>
      </c>
      <c r="B2159" t="s">
        <v>4781</v>
      </c>
      <c r="C2159">
        <v>67.5</v>
      </c>
      <c r="D2159">
        <v>67.2</v>
      </c>
      <c r="E2159" s="178">
        <v>-0.3</v>
      </c>
      <c r="F2159" s="176">
        <v>-0.44</v>
      </c>
      <c r="G2159" t="s">
        <v>5569</v>
      </c>
      <c r="H2159">
        <v>2</v>
      </c>
      <c r="I2159">
        <v>5</v>
      </c>
      <c r="J2159">
        <v>2.34</v>
      </c>
      <c r="K2159">
        <v>67.5</v>
      </c>
      <c r="L2159">
        <v>67.2</v>
      </c>
      <c r="M2159" s="175">
        <v>0.01</v>
      </c>
      <c r="N2159" t="s">
        <v>4782</v>
      </c>
    </row>
    <row r="2160" spans="1:14">
      <c r="A2160" s="186">
        <v>8103</v>
      </c>
      <c r="B2160" t="s">
        <v>4744</v>
      </c>
      <c r="C2160">
        <v>115.5</v>
      </c>
      <c r="D2160">
        <v>119</v>
      </c>
      <c r="E2160" s="178">
        <v>10.5</v>
      </c>
      <c r="F2160" s="176">
        <v>9.68</v>
      </c>
      <c r="G2160" t="s">
        <v>6900</v>
      </c>
      <c r="H2160">
        <v>3497</v>
      </c>
      <c r="I2160">
        <v>8772</v>
      </c>
      <c r="J2160">
        <v>7.84</v>
      </c>
      <c r="K2160">
        <v>119</v>
      </c>
      <c r="L2160">
        <v>115</v>
      </c>
      <c r="M2160" s="175">
        <v>4.46</v>
      </c>
      <c r="N2160" t="s">
        <v>4745</v>
      </c>
    </row>
    <row r="2161" spans="1:14">
      <c r="A2161" s="186">
        <v>8104</v>
      </c>
      <c r="B2161" t="s">
        <v>2765</v>
      </c>
      <c r="C2161">
        <v>31.5</v>
      </c>
      <c r="D2161">
        <v>30.85</v>
      </c>
      <c r="E2161" s="178">
        <v>-0.65</v>
      </c>
      <c r="F2161" s="176">
        <v>-2.06</v>
      </c>
      <c r="G2161" t="s">
        <v>5708</v>
      </c>
      <c r="H2161">
        <v>238</v>
      </c>
      <c r="I2161">
        <v>305</v>
      </c>
      <c r="J2161">
        <v>10.41</v>
      </c>
      <c r="K2161">
        <v>31.5</v>
      </c>
      <c r="L2161">
        <v>30.55</v>
      </c>
      <c r="M2161" s="175">
        <v>0.23</v>
      </c>
      <c r="N2161" t="s">
        <v>3631</v>
      </c>
    </row>
    <row r="2162" spans="1:14">
      <c r="A2162" s="186">
        <v>8105</v>
      </c>
      <c r="B2162" t="s">
        <v>2766</v>
      </c>
      <c r="C2162">
        <v>16.649999999999999</v>
      </c>
      <c r="D2162">
        <v>16.100000000000001</v>
      </c>
      <c r="E2162" s="178">
        <v>-0.55000000000000004</v>
      </c>
      <c r="F2162" s="176">
        <v>-3.3</v>
      </c>
      <c r="G2162" t="s">
        <v>5522</v>
      </c>
      <c r="H2162">
        <v>14046</v>
      </c>
      <c r="I2162">
        <v>12140</v>
      </c>
      <c r="J2162">
        <v>44.15</v>
      </c>
      <c r="K2162">
        <v>16.8</v>
      </c>
      <c r="L2162">
        <v>15.6</v>
      </c>
      <c r="M2162" s="175">
        <v>3.18</v>
      </c>
      <c r="N2162" t="s">
        <v>4263</v>
      </c>
    </row>
    <row r="2163" spans="1:14">
      <c r="A2163" s="186">
        <v>8107</v>
      </c>
      <c r="B2163" t="s">
        <v>2767</v>
      </c>
      <c r="C2163">
        <v>12.55</v>
      </c>
      <c r="D2163">
        <v>12.55</v>
      </c>
      <c r="E2163" s="178">
        <v>0.1</v>
      </c>
      <c r="F2163" s="176">
        <v>0.8</v>
      </c>
      <c r="G2163" t="s">
        <v>5304</v>
      </c>
      <c r="H2163">
        <v>26</v>
      </c>
      <c r="I2163">
        <v>40</v>
      </c>
      <c r="J2163">
        <v>7.5</v>
      </c>
      <c r="K2163">
        <v>12.55</v>
      </c>
      <c r="L2163">
        <v>12.4</v>
      </c>
      <c r="M2163" s="175">
        <v>0.03</v>
      </c>
      <c r="N2163" t="s">
        <v>3151</v>
      </c>
    </row>
    <row r="2164" spans="1:14">
      <c r="A2164" s="186">
        <v>8109</v>
      </c>
      <c r="B2164" t="s">
        <v>2768</v>
      </c>
      <c r="C2164">
        <v>129.5</v>
      </c>
      <c r="D2164">
        <v>129</v>
      </c>
      <c r="E2164" s="178">
        <v>-1.5</v>
      </c>
      <c r="F2164" s="176">
        <v>-1.1499999999999999</v>
      </c>
      <c r="G2164" t="s">
        <v>6901</v>
      </c>
      <c r="H2164">
        <v>180</v>
      </c>
      <c r="I2164">
        <v>378</v>
      </c>
      <c r="J2164">
        <v>8.2200000000000006</v>
      </c>
      <c r="K2164">
        <v>130</v>
      </c>
      <c r="L2164">
        <v>128</v>
      </c>
      <c r="M2164" s="175">
        <v>0.22</v>
      </c>
      <c r="N2164" t="s">
        <v>3303</v>
      </c>
    </row>
    <row r="2165" spans="1:14">
      <c r="A2165" s="186">
        <v>8110</v>
      </c>
      <c r="B2165" t="s">
        <v>2769</v>
      </c>
      <c r="C2165">
        <v>45.55</v>
      </c>
      <c r="D2165">
        <v>45.65</v>
      </c>
      <c r="E2165" s="178">
        <v>-0.35</v>
      </c>
      <c r="F2165" s="176">
        <v>-0.76</v>
      </c>
      <c r="G2165" t="s">
        <v>5247</v>
      </c>
      <c r="H2165">
        <v>2491</v>
      </c>
      <c r="I2165">
        <v>3540</v>
      </c>
      <c r="J2165">
        <v>51.77</v>
      </c>
      <c r="K2165">
        <v>46.25</v>
      </c>
      <c r="L2165">
        <v>45</v>
      </c>
      <c r="M2165" s="175">
        <v>0.48</v>
      </c>
      <c r="N2165" t="s">
        <v>3907</v>
      </c>
    </row>
    <row r="2166" spans="1:14">
      <c r="A2166" s="186">
        <v>8111</v>
      </c>
      <c r="B2166" t="s">
        <v>2770</v>
      </c>
      <c r="C2166">
        <v>62.4</v>
      </c>
      <c r="D2166">
        <v>68.599999999999994</v>
      </c>
      <c r="E2166" s="178">
        <v>6.2</v>
      </c>
      <c r="F2166" s="176">
        <v>9.94</v>
      </c>
      <c r="G2166" t="s">
        <v>6879</v>
      </c>
      <c r="H2166">
        <v>13404</v>
      </c>
      <c r="I2166">
        <v>8821</v>
      </c>
      <c r="J2166">
        <v>10.91</v>
      </c>
      <c r="K2166">
        <v>68.599999999999994</v>
      </c>
      <c r="L2166">
        <v>62.2</v>
      </c>
      <c r="M2166" s="175">
        <v>12.29</v>
      </c>
      <c r="N2166" t="s">
        <v>2771</v>
      </c>
    </row>
    <row r="2167" spans="1:14">
      <c r="A2167" s="186">
        <v>8112</v>
      </c>
      <c r="B2167" t="s">
        <v>2772</v>
      </c>
      <c r="C2167">
        <v>90.3</v>
      </c>
      <c r="D2167">
        <v>90.8</v>
      </c>
      <c r="E2167" s="178">
        <v>-0.1</v>
      </c>
      <c r="F2167" s="176">
        <v>-0.11</v>
      </c>
      <c r="G2167" t="s">
        <v>5714</v>
      </c>
      <c r="H2167">
        <v>5524</v>
      </c>
      <c r="I2167">
        <v>10417</v>
      </c>
      <c r="J2167">
        <v>56.53</v>
      </c>
      <c r="K2167">
        <v>91.9</v>
      </c>
      <c r="L2167">
        <v>89.8</v>
      </c>
      <c r="M2167" s="175">
        <v>0.98</v>
      </c>
      <c r="N2167" t="s">
        <v>3632</v>
      </c>
    </row>
    <row r="2168" spans="1:14">
      <c r="A2168" s="186">
        <v>8114</v>
      </c>
      <c r="B2168" t="s">
        <v>2773</v>
      </c>
      <c r="C2168">
        <v>194</v>
      </c>
      <c r="D2168">
        <v>192</v>
      </c>
      <c r="E2168" s="178">
        <v>-3</v>
      </c>
      <c r="F2168" s="176">
        <v>-1.54</v>
      </c>
      <c r="G2168" t="s">
        <v>6902</v>
      </c>
      <c r="H2168">
        <v>466</v>
      </c>
      <c r="I2168">
        <v>331</v>
      </c>
      <c r="J2168">
        <v>7.67</v>
      </c>
      <c r="K2168">
        <v>196.5</v>
      </c>
      <c r="L2168">
        <v>192</v>
      </c>
      <c r="M2168" s="175">
        <v>0.61</v>
      </c>
      <c r="N2168" t="s">
        <v>4460</v>
      </c>
    </row>
    <row r="2169" spans="1:14">
      <c r="A2169" s="186">
        <v>8121</v>
      </c>
      <c r="B2169" t="s">
        <v>2774</v>
      </c>
      <c r="C2169">
        <v>28.55</v>
      </c>
      <c r="D2169">
        <v>27.9</v>
      </c>
      <c r="E2169" s="178">
        <v>-0.65</v>
      </c>
      <c r="F2169" s="176">
        <v>-2.2799999999999998</v>
      </c>
      <c r="G2169" t="s">
        <v>6903</v>
      </c>
      <c r="H2169">
        <v>687</v>
      </c>
      <c r="I2169">
        <v>543</v>
      </c>
      <c r="J2169">
        <v>21.3</v>
      </c>
      <c r="K2169">
        <v>29.5</v>
      </c>
      <c r="L2169">
        <v>27.6</v>
      </c>
      <c r="M2169" s="175">
        <v>0.32</v>
      </c>
      <c r="N2169" t="s">
        <v>3915</v>
      </c>
    </row>
    <row r="2170" spans="1:14">
      <c r="A2170" s="186">
        <v>8131</v>
      </c>
      <c r="B2170" t="s">
        <v>2775</v>
      </c>
      <c r="C2170">
        <v>61.8</v>
      </c>
      <c r="D2170">
        <v>63.7</v>
      </c>
      <c r="E2170" s="178">
        <v>1</v>
      </c>
      <c r="F2170" s="176">
        <v>1.59</v>
      </c>
      <c r="G2170" t="s">
        <v>6904</v>
      </c>
      <c r="H2170">
        <v>1247</v>
      </c>
      <c r="I2170">
        <v>1785</v>
      </c>
      <c r="J2170">
        <v>44.22</v>
      </c>
      <c r="K2170">
        <v>63.7</v>
      </c>
      <c r="L2170">
        <v>61.5</v>
      </c>
      <c r="M2170" s="175">
        <v>0.28000000000000003</v>
      </c>
      <c r="N2170" t="s">
        <v>5023</v>
      </c>
    </row>
    <row r="2171" spans="1:14">
      <c r="A2171" s="186">
        <v>8147</v>
      </c>
      <c r="B2171" t="s">
        <v>2776</v>
      </c>
      <c r="C2171">
        <v>122</v>
      </c>
      <c r="D2171">
        <v>131</v>
      </c>
      <c r="E2171" s="178">
        <v>7</v>
      </c>
      <c r="F2171" s="176">
        <v>5.65</v>
      </c>
      <c r="G2171" t="s">
        <v>6905</v>
      </c>
      <c r="H2171">
        <v>317</v>
      </c>
      <c r="I2171">
        <v>155</v>
      </c>
      <c r="J2171">
        <v>4.21</v>
      </c>
      <c r="K2171">
        <v>132</v>
      </c>
      <c r="L2171">
        <v>122</v>
      </c>
      <c r="M2171" s="175">
        <v>0.76</v>
      </c>
      <c r="N2171" t="s">
        <v>2777</v>
      </c>
    </row>
    <row r="2172" spans="1:14">
      <c r="A2172" s="186">
        <v>8150</v>
      </c>
      <c r="B2172" t="s">
        <v>2778</v>
      </c>
      <c r="C2172">
        <v>89.5</v>
      </c>
      <c r="D2172">
        <v>89.1</v>
      </c>
      <c r="E2172" s="178">
        <v>-1.4</v>
      </c>
      <c r="F2172" s="176">
        <v>-1.55</v>
      </c>
      <c r="G2172" t="s">
        <v>6707</v>
      </c>
      <c r="H2172">
        <v>15563</v>
      </c>
      <c r="I2172">
        <v>21237</v>
      </c>
      <c r="J2172">
        <v>70.45</v>
      </c>
      <c r="K2172">
        <v>89.8</v>
      </c>
      <c r="L2172">
        <v>86.6</v>
      </c>
      <c r="M2172" s="175">
        <v>2.21</v>
      </c>
      <c r="N2172" t="s">
        <v>2779</v>
      </c>
    </row>
    <row r="2173" spans="1:14">
      <c r="A2173" s="186">
        <v>8155</v>
      </c>
      <c r="B2173" t="s">
        <v>2780</v>
      </c>
      <c r="C2173">
        <v>367</v>
      </c>
      <c r="D2173">
        <v>365</v>
      </c>
      <c r="E2173" s="178">
        <v>-7</v>
      </c>
      <c r="F2173" s="176">
        <v>-1.88</v>
      </c>
      <c r="G2173" t="s">
        <v>6906</v>
      </c>
      <c r="H2173">
        <v>996</v>
      </c>
      <c r="I2173">
        <v>1183</v>
      </c>
      <c r="J2173">
        <v>6.26</v>
      </c>
      <c r="K2173">
        <v>375</v>
      </c>
      <c r="L2173">
        <v>357.5</v>
      </c>
      <c r="M2173" s="175">
        <v>1.6</v>
      </c>
      <c r="N2173" t="s">
        <v>5024</v>
      </c>
    </row>
    <row r="2174" spans="1:14">
      <c r="A2174" s="186">
        <v>8163</v>
      </c>
      <c r="B2174" t="s">
        <v>259</v>
      </c>
      <c r="C2174">
        <v>31.7</v>
      </c>
      <c r="D2174">
        <v>31.1</v>
      </c>
      <c r="E2174" s="178">
        <v>-0.75</v>
      </c>
      <c r="F2174" s="176">
        <v>-2.35</v>
      </c>
      <c r="G2174" t="s">
        <v>6907</v>
      </c>
      <c r="H2174">
        <v>466</v>
      </c>
      <c r="I2174">
        <v>525</v>
      </c>
      <c r="J2174">
        <v>28</v>
      </c>
      <c r="K2174">
        <v>31.7</v>
      </c>
      <c r="L2174">
        <v>31</v>
      </c>
      <c r="M2174" s="175">
        <v>0.17</v>
      </c>
      <c r="N2174" t="s">
        <v>4399</v>
      </c>
    </row>
    <row r="2175" spans="1:14">
      <c r="A2175" s="186">
        <v>8171</v>
      </c>
      <c r="B2175" t="s">
        <v>312</v>
      </c>
      <c r="C2175">
        <v>20.2</v>
      </c>
      <c r="D2175">
        <v>20.3</v>
      </c>
      <c r="E2175" s="178">
        <v>0.1</v>
      </c>
      <c r="F2175" s="176">
        <v>0.5</v>
      </c>
      <c r="G2175" t="s">
        <v>5399</v>
      </c>
      <c r="H2175">
        <v>187</v>
      </c>
      <c r="I2175">
        <v>122</v>
      </c>
      <c r="J2175">
        <v>11.29</v>
      </c>
      <c r="K2175">
        <v>20.5</v>
      </c>
      <c r="L2175">
        <v>19.95</v>
      </c>
      <c r="M2175" s="175">
        <v>0.17</v>
      </c>
      <c r="N2175" t="s">
        <v>3304</v>
      </c>
    </row>
    <row r="2176" spans="1:14">
      <c r="A2176" s="186">
        <v>8176</v>
      </c>
      <c r="B2176" t="s">
        <v>2781</v>
      </c>
      <c r="C2176">
        <v>9.81</v>
      </c>
      <c r="D2176">
        <v>9.8800000000000008</v>
      </c>
      <c r="E2176" s="178">
        <v>7.0000000000000007E-2</v>
      </c>
      <c r="F2176" s="176">
        <v>0.71</v>
      </c>
      <c r="G2176" t="s">
        <v>5369</v>
      </c>
      <c r="H2176">
        <v>54</v>
      </c>
      <c r="I2176">
        <v>71</v>
      </c>
      <c r="J2176">
        <v>7.17</v>
      </c>
      <c r="K2176">
        <v>9.8800000000000008</v>
      </c>
      <c r="L2176">
        <v>9.81</v>
      </c>
      <c r="M2176" s="175">
        <v>0.08</v>
      </c>
      <c r="N2176" t="s">
        <v>2782</v>
      </c>
    </row>
    <row r="2177" spans="1:14">
      <c r="A2177" s="186">
        <v>8182</v>
      </c>
      <c r="B2177" t="s">
        <v>2783</v>
      </c>
      <c r="C2177">
        <v>40.75</v>
      </c>
      <c r="D2177">
        <v>40.15</v>
      </c>
      <c r="E2177" s="178">
        <v>-0.65</v>
      </c>
      <c r="F2177" s="176">
        <v>-1.59</v>
      </c>
      <c r="G2177" t="s">
        <v>6908</v>
      </c>
      <c r="H2177">
        <v>478</v>
      </c>
      <c r="I2177">
        <v>777</v>
      </c>
      <c r="J2177">
        <v>10.7</v>
      </c>
      <c r="K2177">
        <v>41.1</v>
      </c>
      <c r="L2177">
        <v>39.799999999999997</v>
      </c>
      <c r="M2177" s="175">
        <v>0.45</v>
      </c>
      <c r="N2177" t="s">
        <v>3305</v>
      </c>
    </row>
    <row r="2178" spans="1:14">
      <c r="A2178" s="186">
        <v>8183</v>
      </c>
      <c r="B2178" t="s">
        <v>2784</v>
      </c>
      <c r="C2178">
        <v>30.05</v>
      </c>
      <c r="D2178">
        <v>28.95</v>
      </c>
      <c r="E2178" s="178">
        <v>-0.7</v>
      </c>
      <c r="F2178" s="176">
        <v>-2.36</v>
      </c>
      <c r="G2178" t="s">
        <v>5335</v>
      </c>
      <c r="H2178">
        <v>237</v>
      </c>
      <c r="I2178">
        <v>178</v>
      </c>
      <c r="J2178">
        <v>12.13</v>
      </c>
      <c r="K2178">
        <v>30.05</v>
      </c>
      <c r="L2178">
        <v>28.95</v>
      </c>
      <c r="M2178" s="175">
        <v>0.2</v>
      </c>
      <c r="N2178" t="s">
        <v>2785</v>
      </c>
    </row>
    <row r="2179" spans="1:14">
      <c r="A2179" s="186">
        <v>8201</v>
      </c>
      <c r="B2179" t="s">
        <v>2786</v>
      </c>
      <c r="C2179">
        <v>11.9</v>
      </c>
      <c r="D2179">
        <v>11.9</v>
      </c>
      <c r="E2179" s="178">
        <v>0</v>
      </c>
      <c r="F2179" s="176">
        <v>0</v>
      </c>
      <c r="G2179" t="s">
        <v>5538</v>
      </c>
      <c r="H2179">
        <v>22</v>
      </c>
      <c r="I2179">
        <v>27</v>
      </c>
      <c r="J2179">
        <v>6.24</v>
      </c>
      <c r="K2179">
        <v>11.95</v>
      </c>
      <c r="L2179">
        <v>11.55</v>
      </c>
      <c r="M2179" s="175">
        <v>0.04</v>
      </c>
      <c r="N2179" t="s">
        <v>4236</v>
      </c>
    </row>
    <row r="2180" spans="1:14">
      <c r="A2180" s="186">
        <v>8210</v>
      </c>
      <c r="B2180" t="s">
        <v>2787</v>
      </c>
      <c r="C2180">
        <v>990</v>
      </c>
      <c r="D2180">
        <v>969</v>
      </c>
      <c r="E2180" s="178">
        <v>-21</v>
      </c>
      <c r="F2180" s="176">
        <v>-2.12</v>
      </c>
      <c r="G2180" t="s">
        <v>5237</v>
      </c>
      <c r="H2180">
        <v>1074</v>
      </c>
      <c r="I2180">
        <v>1430</v>
      </c>
      <c r="J2180">
        <v>12.56</v>
      </c>
      <c r="K2180">
        <v>995</v>
      </c>
      <c r="L2180">
        <v>961</v>
      </c>
      <c r="M2180" s="175">
        <v>0.86</v>
      </c>
      <c r="N2180" t="s">
        <v>3633</v>
      </c>
    </row>
    <row r="2181" spans="1:14">
      <c r="A2181" s="186">
        <v>8213</v>
      </c>
      <c r="B2181" t="s">
        <v>2788</v>
      </c>
      <c r="C2181">
        <v>32.700000000000003</v>
      </c>
      <c r="D2181">
        <v>32.9</v>
      </c>
      <c r="E2181" s="178">
        <v>-0.25</v>
      </c>
      <c r="F2181" s="176">
        <v>-0.75</v>
      </c>
      <c r="G2181" t="s">
        <v>6909</v>
      </c>
      <c r="H2181">
        <v>360</v>
      </c>
      <c r="I2181">
        <v>316</v>
      </c>
      <c r="J2181">
        <v>27.12</v>
      </c>
      <c r="K2181">
        <v>33.25</v>
      </c>
      <c r="L2181">
        <v>32.5</v>
      </c>
      <c r="M2181" s="175">
        <v>0.13</v>
      </c>
      <c r="N2181" t="s">
        <v>2789</v>
      </c>
    </row>
    <row r="2182" spans="1:14">
      <c r="A2182" s="186">
        <v>8215</v>
      </c>
      <c r="B2182" t="s">
        <v>2790</v>
      </c>
      <c r="C2182">
        <v>26.25</v>
      </c>
      <c r="D2182">
        <v>25.6</v>
      </c>
      <c r="E2182" s="178">
        <v>-0.6</v>
      </c>
      <c r="F2182" s="176">
        <v>-2.29</v>
      </c>
      <c r="G2182" t="s">
        <v>6910</v>
      </c>
      <c r="H2182">
        <v>938</v>
      </c>
      <c r="I2182">
        <v>638</v>
      </c>
      <c r="J2182">
        <v>32.07</v>
      </c>
      <c r="K2182">
        <v>26.25</v>
      </c>
      <c r="L2182">
        <v>25.1</v>
      </c>
      <c r="M2182" s="175">
        <v>0.28999999999999998</v>
      </c>
      <c r="N2182" t="s">
        <v>2791</v>
      </c>
    </row>
    <row r="2183" spans="1:14">
      <c r="A2183" s="186">
        <v>8222</v>
      </c>
      <c r="B2183" t="s">
        <v>2792</v>
      </c>
      <c r="C2183">
        <v>38.700000000000003</v>
      </c>
      <c r="D2183">
        <v>39.1</v>
      </c>
      <c r="E2183" s="178">
        <v>0.2</v>
      </c>
      <c r="F2183" s="176">
        <v>0.51</v>
      </c>
      <c r="G2183" t="s">
        <v>6911</v>
      </c>
      <c r="H2183">
        <v>551</v>
      </c>
      <c r="I2183">
        <v>1171</v>
      </c>
      <c r="J2183">
        <v>6.86</v>
      </c>
      <c r="K2183">
        <v>39.5</v>
      </c>
      <c r="L2183">
        <v>38.35</v>
      </c>
      <c r="M2183" s="175">
        <v>0.8</v>
      </c>
      <c r="N2183" t="s">
        <v>3735</v>
      </c>
    </row>
    <row r="2184" spans="1:14">
      <c r="A2184" s="186">
        <v>8227</v>
      </c>
      <c r="B2184" t="s">
        <v>2793</v>
      </c>
      <c r="C2184">
        <v>159</v>
      </c>
      <c r="D2184">
        <v>156.5</v>
      </c>
      <c r="E2184" s="178">
        <v>-4.5</v>
      </c>
      <c r="F2184" s="176">
        <v>-2.8</v>
      </c>
      <c r="G2184" t="s">
        <v>6912</v>
      </c>
      <c r="H2184">
        <v>417</v>
      </c>
      <c r="I2184">
        <v>1094</v>
      </c>
      <c r="J2184">
        <v>3.95</v>
      </c>
      <c r="K2184">
        <v>160</v>
      </c>
      <c r="L2184">
        <v>156</v>
      </c>
      <c r="M2184" s="175">
        <v>1.05</v>
      </c>
      <c r="N2184" t="s">
        <v>3306</v>
      </c>
    </row>
    <row r="2185" spans="1:14">
      <c r="A2185" s="186">
        <v>8234</v>
      </c>
      <c r="B2185" t="s">
        <v>2794</v>
      </c>
      <c r="C2185">
        <v>67.599999999999994</v>
      </c>
      <c r="D2185">
        <v>68.099999999999994</v>
      </c>
      <c r="E2185" s="178">
        <v>0.1</v>
      </c>
      <c r="F2185" s="176">
        <v>0.15</v>
      </c>
      <c r="G2185" t="s">
        <v>6913</v>
      </c>
      <c r="H2185">
        <v>324</v>
      </c>
      <c r="I2185">
        <v>446</v>
      </c>
      <c r="J2185">
        <v>14.12</v>
      </c>
      <c r="K2185">
        <v>68.8</v>
      </c>
      <c r="L2185">
        <v>67</v>
      </c>
      <c r="M2185" s="175">
        <v>0.23</v>
      </c>
      <c r="N2185" t="s">
        <v>2795</v>
      </c>
    </row>
    <row r="2186" spans="1:14">
      <c r="A2186" s="186">
        <v>8240</v>
      </c>
      <c r="B2186" t="s">
        <v>2796</v>
      </c>
      <c r="C2186">
        <v>44.9</v>
      </c>
      <c r="D2186">
        <v>47.5</v>
      </c>
      <c r="E2186" s="178">
        <v>2.7</v>
      </c>
      <c r="F2186" s="176">
        <v>6.03</v>
      </c>
      <c r="G2186" t="s">
        <v>6914</v>
      </c>
      <c r="H2186">
        <v>872</v>
      </c>
      <c r="I2186">
        <v>492</v>
      </c>
      <c r="J2186">
        <v>10</v>
      </c>
      <c r="K2186">
        <v>48.5</v>
      </c>
      <c r="L2186">
        <v>44.3</v>
      </c>
      <c r="M2186" s="175">
        <v>0.87</v>
      </c>
      <c r="N2186" t="s">
        <v>2797</v>
      </c>
    </row>
    <row r="2187" spans="1:14">
      <c r="A2187" s="186">
        <v>8249</v>
      </c>
      <c r="B2187" t="s">
        <v>4075</v>
      </c>
      <c r="C2187">
        <v>41.5</v>
      </c>
      <c r="D2187">
        <v>41.6</v>
      </c>
      <c r="E2187" s="178">
        <v>0.1</v>
      </c>
      <c r="F2187" s="176">
        <v>0.24</v>
      </c>
      <c r="G2187" t="s">
        <v>5689</v>
      </c>
      <c r="H2187">
        <v>96</v>
      </c>
      <c r="I2187">
        <v>181</v>
      </c>
      <c r="J2187">
        <v>13.78</v>
      </c>
      <c r="K2187">
        <v>41.65</v>
      </c>
      <c r="L2187">
        <v>41</v>
      </c>
      <c r="M2187" s="175">
        <v>7.0000000000000007E-2</v>
      </c>
      <c r="N2187" t="s">
        <v>4076</v>
      </c>
    </row>
    <row r="2188" spans="1:14">
      <c r="A2188" s="186">
        <v>8255</v>
      </c>
      <c r="B2188" t="s">
        <v>106</v>
      </c>
      <c r="C2188">
        <v>148</v>
      </c>
      <c r="D2188">
        <v>147.5</v>
      </c>
      <c r="E2188" s="178">
        <v>-4.5</v>
      </c>
      <c r="F2188" s="176">
        <v>-2.96</v>
      </c>
      <c r="G2188" t="s">
        <v>6915</v>
      </c>
      <c r="H2188">
        <v>301</v>
      </c>
      <c r="I2188">
        <v>343</v>
      </c>
      <c r="J2188">
        <v>10.199999999999999</v>
      </c>
      <c r="K2188">
        <v>149</v>
      </c>
      <c r="L2188">
        <v>146</v>
      </c>
      <c r="M2188" s="175">
        <v>0.3</v>
      </c>
      <c r="N2188" t="s">
        <v>4533</v>
      </c>
    </row>
    <row r="2189" spans="1:14">
      <c r="A2189" s="186">
        <v>8261</v>
      </c>
      <c r="B2189" t="s">
        <v>2798</v>
      </c>
      <c r="C2189">
        <v>183</v>
      </c>
      <c r="D2189">
        <v>178.5</v>
      </c>
      <c r="E2189" s="178">
        <v>-9</v>
      </c>
      <c r="F2189" s="176">
        <v>-4.8</v>
      </c>
      <c r="G2189" t="s">
        <v>6201</v>
      </c>
      <c r="H2189">
        <v>2693</v>
      </c>
      <c r="I2189">
        <v>5712</v>
      </c>
      <c r="J2189">
        <v>11.89</v>
      </c>
      <c r="K2189">
        <v>185.5</v>
      </c>
      <c r="L2189">
        <v>177.5</v>
      </c>
      <c r="M2189" s="175">
        <v>2.27</v>
      </c>
      <c r="N2189" t="s">
        <v>3945</v>
      </c>
    </row>
    <row r="2190" spans="1:14">
      <c r="A2190" s="186">
        <v>8271</v>
      </c>
      <c r="B2190" t="s">
        <v>2799</v>
      </c>
      <c r="C2190">
        <v>230</v>
      </c>
      <c r="D2190">
        <v>227.5</v>
      </c>
      <c r="E2190" s="178">
        <v>-5</v>
      </c>
      <c r="F2190" s="176">
        <v>-2.15</v>
      </c>
      <c r="G2190" t="s">
        <v>6374</v>
      </c>
      <c r="H2190">
        <v>2441</v>
      </c>
      <c r="I2190">
        <v>4683</v>
      </c>
      <c r="J2190">
        <v>12.96</v>
      </c>
      <c r="K2190">
        <v>234.5</v>
      </c>
      <c r="L2190">
        <v>227</v>
      </c>
      <c r="M2190" s="175">
        <v>1.98</v>
      </c>
      <c r="N2190" t="s">
        <v>3736</v>
      </c>
    </row>
    <row r="2191" spans="1:14">
      <c r="A2191" s="186">
        <v>8272</v>
      </c>
      <c r="B2191" t="s">
        <v>4080</v>
      </c>
      <c r="C2191">
        <v>62.7</v>
      </c>
      <c r="D2191">
        <v>62.5</v>
      </c>
      <c r="E2191" s="178">
        <v>0.5</v>
      </c>
      <c r="F2191" s="176">
        <v>0.81</v>
      </c>
      <c r="G2191" t="s">
        <v>6916</v>
      </c>
      <c r="H2191">
        <v>8</v>
      </c>
      <c r="I2191">
        <v>10</v>
      </c>
      <c r="J2191">
        <v>1.9</v>
      </c>
      <c r="K2191">
        <v>62.7</v>
      </c>
      <c r="L2191">
        <v>62.4</v>
      </c>
      <c r="M2191" s="175">
        <v>0.04</v>
      </c>
      <c r="N2191" t="s">
        <v>4081</v>
      </c>
    </row>
    <row r="2192" spans="1:14">
      <c r="A2192" s="186">
        <v>8277</v>
      </c>
      <c r="B2192" t="s">
        <v>2800</v>
      </c>
      <c r="C2192">
        <v>7.86</v>
      </c>
      <c r="D2192">
        <v>8.0399999999999991</v>
      </c>
      <c r="E2192" s="178">
        <v>-0.1</v>
      </c>
      <c r="F2192" s="176">
        <v>-1.23</v>
      </c>
      <c r="G2192" t="s">
        <v>5243</v>
      </c>
      <c r="H2192">
        <v>147</v>
      </c>
      <c r="I2192">
        <v>96</v>
      </c>
      <c r="J2192">
        <v>9.16</v>
      </c>
      <c r="K2192">
        <v>8.18</v>
      </c>
      <c r="L2192">
        <v>7.8</v>
      </c>
      <c r="M2192" s="175">
        <v>0.16</v>
      </c>
      <c r="N2192" t="s">
        <v>2801</v>
      </c>
    </row>
    <row r="2193" spans="1:14">
      <c r="A2193" s="186">
        <v>8279</v>
      </c>
      <c r="B2193" t="s">
        <v>127</v>
      </c>
      <c r="C2193">
        <v>80.5</v>
      </c>
      <c r="D2193">
        <v>80</v>
      </c>
      <c r="E2193" s="178">
        <v>-0.5</v>
      </c>
      <c r="F2193" s="176">
        <v>-0.62</v>
      </c>
      <c r="G2193" t="s">
        <v>5424</v>
      </c>
      <c r="H2193">
        <v>22</v>
      </c>
      <c r="I2193">
        <v>127</v>
      </c>
      <c r="J2193">
        <v>2.71</v>
      </c>
      <c r="K2193">
        <v>80.5</v>
      </c>
      <c r="L2193">
        <v>79.5</v>
      </c>
      <c r="M2193" s="175">
        <v>0.08</v>
      </c>
      <c r="N2193" t="s">
        <v>2802</v>
      </c>
    </row>
    <row r="2194" spans="1:14">
      <c r="A2194" s="186">
        <v>8284</v>
      </c>
      <c r="B2194" t="s">
        <v>131</v>
      </c>
      <c r="C2194">
        <v>67</v>
      </c>
      <c r="D2194">
        <v>66.8</v>
      </c>
      <c r="E2194" s="178">
        <v>-0.3</v>
      </c>
      <c r="F2194" s="176">
        <v>-0.45</v>
      </c>
      <c r="G2194" t="s">
        <v>6743</v>
      </c>
      <c r="H2194">
        <v>10</v>
      </c>
      <c r="I2194">
        <v>19</v>
      </c>
      <c r="J2194">
        <v>4.7300000000000004</v>
      </c>
      <c r="K2194">
        <v>67</v>
      </c>
      <c r="L2194">
        <v>66.599999999999994</v>
      </c>
      <c r="M2194" s="175">
        <v>0.02</v>
      </c>
      <c r="N2194" t="s">
        <v>2803</v>
      </c>
    </row>
    <row r="2195" spans="1:14">
      <c r="A2195" s="186">
        <v>8289</v>
      </c>
      <c r="B2195" t="s">
        <v>2804</v>
      </c>
      <c r="C2195">
        <v>46.35</v>
      </c>
      <c r="D2195">
        <v>45.5</v>
      </c>
      <c r="E2195" s="178">
        <v>-0.85</v>
      </c>
      <c r="F2195" s="176">
        <v>-1.83</v>
      </c>
      <c r="G2195" t="s">
        <v>6917</v>
      </c>
      <c r="H2195">
        <v>226</v>
      </c>
      <c r="I2195">
        <v>357</v>
      </c>
      <c r="J2195">
        <v>6.83</v>
      </c>
      <c r="K2195">
        <v>46.6</v>
      </c>
      <c r="L2195">
        <v>45.05</v>
      </c>
      <c r="M2195" s="175">
        <v>0.33</v>
      </c>
      <c r="N2195" t="s">
        <v>2805</v>
      </c>
    </row>
    <row r="2196" spans="1:14">
      <c r="A2196" s="186">
        <v>8291</v>
      </c>
      <c r="B2196" t="s">
        <v>4894</v>
      </c>
      <c r="C2196">
        <v>33.25</v>
      </c>
      <c r="D2196">
        <v>34.049999999999997</v>
      </c>
      <c r="E2196" s="178">
        <v>-1.7</v>
      </c>
      <c r="F2196" s="176">
        <v>-4.76</v>
      </c>
      <c r="G2196" t="s">
        <v>5653</v>
      </c>
      <c r="H2196">
        <v>3</v>
      </c>
      <c r="I2196">
        <v>24</v>
      </c>
      <c r="J2196">
        <v>1.75</v>
      </c>
      <c r="K2196">
        <v>37.4</v>
      </c>
      <c r="L2196">
        <v>33.25</v>
      </c>
      <c r="M2196" s="175">
        <v>0.02</v>
      </c>
      <c r="N2196" t="s">
        <v>4895</v>
      </c>
    </row>
    <row r="2197" spans="1:14">
      <c r="A2197" s="186">
        <v>8299</v>
      </c>
      <c r="B2197" t="s">
        <v>2806</v>
      </c>
      <c r="C2197">
        <v>2130</v>
      </c>
      <c r="D2197">
        <v>2165</v>
      </c>
      <c r="E2197" s="178">
        <v>15</v>
      </c>
      <c r="F2197" s="176">
        <v>0.7</v>
      </c>
      <c r="G2197" t="s">
        <v>6918</v>
      </c>
      <c r="H2197">
        <v>16860</v>
      </c>
      <c r="I2197">
        <v>4218</v>
      </c>
      <c r="J2197">
        <v>22.13</v>
      </c>
      <c r="K2197">
        <v>2185</v>
      </c>
      <c r="L2197">
        <v>2110</v>
      </c>
      <c r="M2197" s="175">
        <v>7.62</v>
      </c>
      <c r="N2197" t="s">
        <v>2807</v>
      </c>
    </row>
    <row r="2198" spans="1:14">
      <c r="A2198" s="186">
        <v>8341</v>
      </c>
      <c r="B2198" t="s">
        <v>2808</v>
      </c>
      <c r="C2198">
        <v>76.7</v>
      </c>
      <c r="D2198">
        <v>75.900000000000006</v>
      </c>
      <c r="E2198" s="178">
        <v>-0.8</v>
      </c>
      <c r="F2198" s="176">
        <v>-1.04</v>
      </c>
      <c r="G2198" t="s">
        <v>6919</v>
      </c>
      <c r="H2198">
        <v>234</v>
      </c>
      <c r="I2198">
        <v>149</v>
      </c>
      <c r="J2198">
        <v>13</v>
      </c>
      <c r="K2198">
        <v>76.7</v>
      </c>
      <c r="L2198">
        <v>75.8</v>
      </c>
      <c r="M2198" s="175">
        <v>0.18</v>
      </c>
      <c r="N2198" t="s">
        <v>3307</v>
      </c>
    </row>
    <row r="2199" spans="1:14">
      <c r="A2199" s="186">
        <v>8342</v>
      </c>
      <c r="B2199" t="s">
        <v>2809</v>
      </c>
      <c r="C2199">
        <v>87</v>
      </c>
      <c r="D2199">
        <v>87</v>
      </c>
      <c r="E2199" s="178">
        <v>0</v>
      </c>
      <c r="F2199" s="176">
        <v>0</v>
      </c>
      <c r="G2199" t="s">
        <v>6920</v>
      </c>
      <c r="H2199">
        <v>1</v>
      </c>
      <c r="I2199">
        <v>2</v>
      </c>
      <c r="J2199">
        <v>3.35</v>
      </c>
      <c r="K2199">
        <v>87</v>
      </c>
      <c r="L2199">
        <v>87</v>
      </c>
      <c r="M2199" s="175">
        <v>0</v>
      </c>
      <c r="N2199" t="s">
        <v>2810</v>
      </c>
    </row>
    <row r="2200" spans="1:14">
      <c r="A2200" s="186">
        <v>8349</v>
      </c>
      <c r="B2200" t="s">
        <v>2811</v>
      </c>
      <c r="C2200">
        <v>39</v>
      </c>
      <c r="D2200">
        <v>39.1</v>
      </c>
      <c r="E2200" s="178">
        <v>-0.1</v>
      </c>
      <c r="F2200" s="176">
        <v>-0.26</v>
      </c>
      <c r="G2200" t="s">
        <v>5552</v>
      </c>
      <c r="H2200">
        <v>71</v>
      </c>
      <c r="I2200">
        <v>69</v>
      </c>
      <c r="J2200">
        <v>20.88</v>
      </c>
      <c r="K2200">
        <v>39.5</v>
      </c>
      <c r="L2200">
        <v>38.5</v>
      </c>
      <c r="M2200" s="175">
        <v>0.03</v>
      </c>
      <c r="N2200" t="s">
        <v>2812</v>
      </c>
    </row>
    <row r="2201" spans="1:14">
      <c r="A2201" s="186">
        <v>8354</v>
      </c>
      <c r="B2201" t="s">
        <v>2813</v>
      </c>
      <c r="C2201">
        <v>17.149999999999999</v>
      </c>
      <c r="D2201">
        <v>17.2</v>
      </c>
      <c r="E2201" s="178">
        <v>-0.05</v>
      </c>
      <c r="F2201" s="176">
        <v>-0.28999999999999998</v>
      </c>
      <c r="G2201" t="s">
        <v>5406</v>
      </c>
      <c r="H2201">
        <v>33</v>
      </c>
      <c r="I2201">
        <v>82</v>
      </c>
      <c r="J2201">
        <v>7.85</v>
      </c>
      <c r="K2201">
        <v>17.3</v>
      </c>
      <c r="L2201">
        <v>17.149999999999999</v>
      </c>
      <c r="M2201" s="175">
        <v>0.04</v>
      </c>
      <c r="N2201" t="s">
        <v>2814</v>
      </c>
    </row>
    <row r="2202" spans="1:14">
      <c r="A2202" s="186">
        <v>8358</v>
      </c>
      <c r="B2202" t="s">
        <v>2815</v>
      </c>
      <c r="C2202">
        <v>538</v>
      </c>
      <c r="D2202">
        <v>540</v>
      </c>
      <c r="E2202" s="178">
        <v>-3</v>
      </c>
      <c r="F2202" s="176">
        <v>-0.55000000000000004</v>
      </c>
      <c r="G2202" t="s">
        <v>6921</v>
      </c>
      <c r="H2202">
        <v>48879</v>
      </c>
      <c r="I2202">
        <v>27618</v>
      </c>
      <c r="J2202">
        <v>25.26</v>
      </c>
      <c r="K2202">
        <v>549</v>
      </c>
      <c r="L2202">
        <v>515</v>
      </c>
      <c r="M2202" s="175">
        <v>19.350000000000001</v>
      </c>
      <c r="N2202" t="s">
        <v>2816</v>
      </c>
    </row>
    <row r="2203" spans="1:14">
      <c r="A2203" s="186">
        <v>8367</v>
      </c>
      <c r="B2203" t="s">
        <v>2817</v>
      </c>
      <c r="C2203">
        <v>40.549999999999997</v>
      </c>
      <c r="D2203">
        <v>40.700000000000003</v>
      </c>
      <c r="E2203" s="178">
        <v>0</v>
      </c>
      <c r="F2203" s="176">
        <v>0</v>
      </c>
      <c r="G2203" t="s">
        <v>6922</v>
      </c>
      <c r="H2203">
        <v>11</v>
      </c>
      <c r="I2203">
        <v>12</v>
      </c>
      <c r="J2203">
        <v>9.2200000000000006</v>
      </c>
      <c r="K2203">
        <v>40.700000000000003</v>
      </c>
      <c r="L2203">
        <v>40.299999999999997</v>
      </c>
      <c r="M2203" s="175">
        <v>0.01</v>
      </c>
      <c r="N2203" t="s">
        <v>2818</v>
      </c>
    </row>
    <row r="2204" spans="1:14">
      <c r="A2204" s="186">
        <v>8374</v>
      </c>
      <c r="B2204" t="s">
        <v>2819</v>
      </c>
      <c r="C2204">
        <v>81.8</v>
      </c>
      <c r="D2204">
        <v>81</v>
      </c>
      <c r="E2204" s="178">
        <v>-1.1000000000000001</v>
      </c>
      <c r="F2204" s="176">
        <v>-1.34</v>
      </c>
      <c r="G2204" t="s">
        <v>6923</v>
      </c>
      <c r="H2204">
        <v>181</v>
      </c>
      <c r="I2204">
        <v>287</v>
      </c>
      <c r="J2204">
        <v>11.23</v>
      </c>
      <c r="K2204">
        <v>83</v>
      </c>
      <c r="L2204">
        <v>80.5</v>
      </c>
      <c r="M2204" s="175">
        <v>0.2</v>
      </c>
      <c r="N2204" t="s">
        <v>3078</v>
      </c>
    </row>
    <row r="2205" spans="1:14">
      <c r="A2205" s="186">
        <v>8383</v>
      </c>
      <c r="B2205" t="s">
        <v>2820</v>
      </c>
      <c r="C2205">
        <v>66.099999999999994</v>
      </c>
      <c r="D2205">
        <v>66</v>
      </c>
      <c r="E2205" s="178">
        <v>-0.1</v>
      </c>
      <c r="F2205" s="176">
        <v>-0.15</v>
      </c>
      <c r="G2205" t="s">
        <v>6924</v>
      </c>
      <c r="H2205">
        <v>984</v>
      </c>
      <c r="I2205">
        <v>2359</v>
      </c>
      <c r="J2205">
        <v>11.38</v>
      </c>
      <c r="K2205">
        <v>67.2</v>
      </c>
      <c r="L2205">
        <v>65</v>
      </c>
      <c r="M2205" s="175">
        <v>0.86</v>
      </c>
      <c r="N2205" t="s">
        <v>2821</v>
      </c>
    </row>
    <row r="2206" spans="1:14">
      <c r="A2206" s="186">
        <v>8390</v>
      </c>
      <c r="B2206" t="s">
        <v>2822</v>
      </c>
      <c r="C2206">
        <v>99.5</v>
      </c>
      <c r="D2206">
        <v>99.2</v>
      </c>
      <c r="E2206" s="178">
        <v>-0.6</v>
      </c>
      <c r="F2206" s="176">
        <v>-0.6</v>
      </c>
      <c r="G2206" t="s">
        <v>6925</v>
      </c>
      <c r="H2206">
        <v>309</v>
      </c>
      <c r="I2206">
        <v>599</v>
      </c>
      <c r="J2206">
        <v>9.61</v>
      </c>
      <c r="K2206">
        <v>99.9</v>
      </c>
      <c r="L2206">
        <v>98.8</v>
      </c>
      <c r="M2206" s="175">
        <v>0.32</v>
      </c>
      <c r="N2206" t="s">
        <v>2823</v>
      </c>
    </row>
    <row r="2207" spans="1:14">
      <c r="A2207" s="186">
        <v>8401</v>
      </c>
      <c r="B2207" t="s">
        <v>2824</v>
      </c>
      <c r="C2207">
        <v>22.8</v>
      </c>
      <c r="D2207">
        <v>22.75</v>
      </c>
      <c r="E2207" s="178">
        <v>-0.05</v>
      </c>
      <c r="F2207" s="176">
        <v>-0.22</v>
      </c>
      <c r="G2207" t="s">
        <v>6926</v>
      </c>
      <c r="H2207">
        <v>26</v>
      </c>
      <c r="I2207">
        <v>25</v>
      </c>
      <c r="J2207">
        <v>7.07</v>
      </c>
      <c r="K2207">
        <v>22.9</v>
      </c>
      <c r="L2207">
        <v>22.75</v>
      </c>
      <c r="M2207" s="175">
        <v>0.04</v>
      </c>
      <c r="N2207" t="s">
        <v>2825</v>
      </c>
    </row>
    <row r="2208" spans="1:14">
      <c r="A2208" s="186">
        <v>8403</v>
      </c>
      <c r="B2208" t="s">
        <v>2826</v>
      </c>
      <c r="C2208">
        <v>19</v>
      </c>
      <c r="D2208">
        <v>19.100000000000001</v>
      </c>
      <c r="E2208" s="178">
        <v>0.05</v>
      </c>
      <c r="F2208" s="176">
        <v>0.26</v>
      </c>
      <c r="G2208" t="s">
        <v>6337</v>
      </c>
      <c r="H2208">
        <v>33</v>
      </c>
      <c r="I2208">
        <v>100</v>
      </c>
      <c r="J2208">
        <v>13.76</v>
      </c>
      <c r="K2208">
        <v>19.100000000000001</v>
      </c>
      <c r="L2208">
        <v>19</v>
      </c>
      <c r="M2208" s="175">
        <v>0.02</v>
      </c>
      <c r="N2208" t="s">
        <v>3389</v>
      </c>
    </row>
    <row r="2209" spans="1:14">
      <c r="A2209" s="186">
        <v>8404</v>
      </c>
      <c r="B2209" t="s">
        <v>2827</v>
      </c>
      <c r="C2209">
        <v>16.25</v>
      </c>
      <c r="D2209">
        <v>16.25</v>
      </c>
      <c r="E2209" s="178">
        <v>0</v>
      </c>
      <c r="F2209" s="176">
        <v>0</v>
      </c>
      <c r="G2209" t="s">
        <v>6927</v>
      </c>
      <c r="H2209">
        <v>297</v>
      </c>
      <c r="I2209">
        <v>156</v>
      </c>
      <c r="J2209">
        <v>41.99</v>
      </c>
      <c r="K2209">
        <v>16.350000000000001</v>
      </c>
      <c r="L2209">
        <v>16.149999999999999</v>
      </c>
      <c r="M2209" s="175">
        <v>7.0000000000000007E-2</v>
      </c>
      <c r="N2209" t="s">
        <v>2828</v>
      </c>
    </row>
    <row r="2210" spans="1:14">
      <c r="A2210" s="186">
        <v>8409</v>
      </c>
      <c r="B2210" t="s">
        <v>313</v>
      </c>
      <c r="C2210">
        <v>17.8</v>
      </c>
      <c r="D2210">
        <v>18</v>
      </c>
      <c r="E2210" s="178">
        <v>0</v>
      </c>
      <c r="F2210" s="176">
        <v>0</v>
      </c>
      <c r="G2210" t="s">
        <v>6928</v>
      </c>
      <c r="H2210">
        <v>4</v>
      </c>
      <c r="I2210">
        <v>6</v>
      </c>
      <c r="J2210">
        <v>3.2</v>
      </c>
      <c r="K2210">
        <v>18</v>
      </c>
      <c r="L2210">
        <v>17.8</v>
      </c>
      <c r="M2210" s="175">
        <v>0.01</v>
      </c>
      <c r="N2210" t="s">
        <v>4908</v>
      </c>
    </row>
    <row r="2211" spans="1:14">
      <c r="A2211" s="186">
        <v>8410</v>
      </c>
      <c r="B2211" t="s">
        <v>2829</v>
      </c>
      <c r="C2211">
        <v>30.55</v>
      </c>
      <c r="D2211">
        <v>30.45</v>
      </c>
      <c r="E2211" s="178">
        <v>-0.05</v>
      </c>
      <c r="F2211" s="176">
        <v>-0.16</v>
      </c>
      <c r="G2211" t="s">
        <v>5635</v>
      </c>
      <c r="H2211">
        <v>7</v>
      </c>
      <c r="I2211">
        <v>39</v>
      </c>
      <c r="J2211">
        <v>3.66</v>
      </c>
      <c r="K2211">
        <v>30.55</v>
      </c>
      <c r="L2211">
        <v>30.3</v>
      </c>
      <c r="M2211" s="175">
        <v>0.02</v>
      </c>
      <c r="N2211" t="s">
        <v>3308</v>
      </c>
    </row>
    <row r="2212" spans="1:14">
      <c r="A2212" s="186">
        <v>8411</v>
      </c>
      <c r="B2212" t="s">
        <v>2830</v>
      </c>
      <c r="C2212">
        <v>12.9</v>
      </c>
      <c r="D2212">
        <v>13</v>
      </c>
      <c r="E2212" s="178">
        <v>0.05</v>
      </c>
      <c r="F2212" s="176">
        <v>0.39</v>
      </c>
      <c r="G2212" t="s">
        <v>6514</v>
      </c>
      <c r="H2212">
        <v>99</v>
      </c>
      <c r="I2212">
        <v>41</v>
      </c>
      <c r="J2212">
        <v>21.84</v>
      </c>
      <c r="K2212">
        <v>13</v>
      </c>
      <c r="L2212">
        <v>12.75</v>
      </c>
      <c r="M2212" s="175">
        <v>0.05</v>
      </c>
      <c r="N2212" t="s">
        <v>2831</v>
      </c>
    </row>
    <row r="2213" spans="1:14">
      <c r="A2213" s="186">
        <v>8415</v>
      </c>
      <c r="B2213" t="s">
        <v>2832</v>
      </c>
      <c r="C2213">
        <v>36.549999999999997</v>
      </c>
      <c r="D2213">
        <v>36.75</v>
      </c>
      <c r="E2213" s="178">
        <v>0</v>
      </c>
      <c r="F2213" s="176">
        <v>0</v>
      </c>
      <c r="G2213" t="s">
        <v>6929</v>
      </c>
      <c r="H2213">
        <v>968</v>
      </c>
      <c r="I2213">
        <v>543</v>
      </c>
      <c r="J2213">
        <v>103.15</v>
      </c>
      <c r="K2213">
        <v>37.15</v>
      </c>
      <c r="L2213">
        <v>36.5</v>
      </c>
      <c r="M2213" s="175">
        <v>0.09</v>
      </c>
      <c r="N2213" t="s">
        <v>3309</v>
      </c>
    </row>
    <row r="2214" spans="1:14">
      <c r="A2214" s="186">
        <v>8416</v>
      </c>
      <c r="B2214" t="s">
        <v>2833</v>
      </c>
      <c r="C2214">
        <v>168</v>
      </c>
      <c r="D2214">
        <v>169</v>
      </c>
      <c r="E2214" s="178">
        <v>1</v>
      </c>
      <c r="F2214" s="176">
        <v>0.6</v>
      </c>
      <c r="G2214" t="s">
        <v>5370</v>
      </c>
      <c r="H2214">
        <v>3</v>
      </c>
      <c r="I2214">
        <v>8</v>
      </c>
      <c r="J2214">
        <v>2.82</v>
      </c>
      <c r="K2214">
        <v>169</v>
      </c>
      <c r="L2214">
        <v>168</v>
      </c>
      <c r="M2214" s="175">
        <v>0.01</v>
      </c>
      <c r="N2214" t="s">
        <v>2834</v>
      </c>
    </row>
    <row r="2215" spans="1:14">
      <c r="A2215" s="186">
        <v>8421</v>
      </c>
      <c r="B2215" t="s">
        <v>2835</v>
      </c>
      <c r="C2215">
        <v>13.6</v>
      </c>
      <c r="D2215">
        <v>13.65</v>
      </c>
      <c r="E2215" s="178">
        <v>0.05</v>
      </c>
      <c r="F2215" s="176">
        <v>0.37</v>
      </c>
      <c r="G2215" t="s">
        <v>6930</v>
      </c>
      <c r="H2215">
        <v>39</v>
      </c>
      <c r="I2215">
        <v>91</v>
      </c>
      <c r="J2215">
        <v>6.38</v>
      </c>
      <c r="K2215">
        <v>13.75</v>
      </c>
      <c r="L2215">
        <v>13.6</v>
      </c>
      <c r="M2215" s="175">
        <v>0.06</v>
      </c>
      <c r="N2215" t="s">
        <v>2836</v>
      </c>
    </row>
    <row r="2216" spans="1:14">
      <c r="A2216" s="186">
        <v>8422</v>
      </c>
      <c r="B2216" t="s">
        <v>4720</v>
      </c>
      <c r="C2216">
        <v>27</v>
      </c>
      <c r="D2216">
        <v>26.8</v>
      </c>
      <c r="E2216" s="178">
        <v>-0.3</v>
      </c>
      <c r="F2216" s="176">
        <v>-1.1100000000000001</v>
      </c>
      <c r="G2216" t="s">
        <v>5531</v>
      </c>
      <c r="H2216">
        <v>7459</v>
      </c>
      <c r="I2216">
        <v>4269</v>
      </c>
      <c r="J2216">
        <v>13.59</v>
      </c>
      <c r="K2216">
        <v>27.35</v>
      </c>
      <c r="L2216">
        <v>26.8</v>
      </c>
      <c r="M2216" s="175">
        <v>0.55000000000000004</v>
      </c>
      <c r="N2216" t="s">
        <v>4721</v>
      </c>
    </row>
    <row r="2217" spans="1:14">
      <c r="A2217" s="186">
        <v>8423</v>
      </c>
      <c r="B2217" t="s">
        <v>2837</v>
      </c>
      <c r="C2217">
        <v>17.850000000000001</v>
      </c>
      <c r="D2217">
        <v>17.850000000000001</v>
      </c>
      <c r="E2217" s="178">
        <v>0.05</v>
      </c>
      <c r="F2217" s="176">
        <v>0.28000000000000003</v>
      </c>
      <c r="G2217" t="s">
        <v>5964</v>
      </c>
      <c r="H2217">
        <v>7</v>
      </c>
      <c r="I2217">
        <v>9</v>
      </c>
      <c r="J2217">
        <v>4.17</v>
      </c>
      <c r="K2217">
        <v>17.850000000000001</v>
      </c>
      <c r="L2217">
        <v>17.8</v>
      </c>
      <c r="M2217" s="175">
        <v>0.02</v>
      </c>
      <c r="N2217" t="s">
        <v>2838</v>
      </c>
    </row>
    <row r="2218" spans="1:14">
      <c r="A2218" s="186">
        <v>8424</v>
      </c>
      <c r="B2218" t="s">
        <v>2839</v>
      </c>
      <c r="C2218">
        <v>68.7</v>
      </c>
      <c r="D2218">
        <v>68.8</v>
      </c>
      <c r="E2218" s="178">
        <v>0</v>
      </c>
      <c r="F2218" s="176">
        <v>0</v>
      </c>
      <c r="G2218" t="s">
        <v>6931</v>
      </c>
      <c r="H2218">
        <v>4</v>
      </c>
      <c r="I2218">
        <v>9</v>
      </c>
      <c r="J2218">
        <v>3.61</v>
      </c>
      <c r="K2218">
        <v>68.8</v>
      </c>
      <c r="L2218">
        <v>68.7</v>
      </c>
      <c r="M2218" s="175">
        <v>0.01</v>
      </c>
      <c r="N2218" t="s">
        <v>2840</v>
      </c>
    </row>
    <row r="2219" spans="1:14">
      <c r="A2219" s="186">
        <v>8426</v>
      </c>
      <c r="B2219" t="s">
        <v>2841</v>
      </c>
      <c r="C2219">
        <v>20.85</v>
      </c>
      <c r="D2219">
        <v>21.05</v>
      </c>
      <c r="E2219" s="178">
        <v>0</v>
      </c>
      <c r="F2219" s="176">
        <v>0</v>
      </c>
      <c r="G2219" t="s">
        <v>6932</v>
      </c>
      <c r="H2219">
        <v>4</v>
      </c>
      <c r="I2219">
        <v>35</v>
      </c>
      <c r="J2219">
        <v>5.0199999999999996</v>
      </c>
      <c r="K2219">
        <v>21.05</v>
      </c>
      <c r="L2219">
        <v>20.85</v>
      </c>
      <c r="M2219" s="175">
        <v>0.01</v>
      </c>
      <c r="N2219" t="s">
        <v>2842</v>
      </c>
    </row>
    <row r="2220" spans="1:14">
      <c r="A2220" s="186">
        <v>8429</v>
      </c>
      <c r="B2220" t="s">
        <v>2843</v>
      </c>
      <c r="C2220">
        <v>6.01</v>
      </c>
      <c r="D2220">
        <v>6.01</v>
      </c>
      <c r="E2220" s="178">
        <v>0</v>
      </c>
      <c r="F2220" s="176">
        <v>0</v>
      </c>
      <c r="G2220" t="s">
        <v>6779</v>
      </c>
      <c r="H2220">
        <v>76</v>
      </c>
      <c r="I2220">
        <v>106</v>
      </c>
      <c r="J2220">
        <v>18.57</v>
      </c>
      <c r="K2220">
        <v>6.05</v>
      </c>
      <c r="L2220">
        <v>6</v>
      </c>
      <c r="M2220" s="175">
        <v>0.04</v>
      </c>
      <c r="N2220" t="s">
        <v>2844</v>
      </c>
    </row>
    <row r="2221" spans="1:14">
      <c r="A2221" s="186">
        <v>8431</v>
      </c>
      <c r="B2221" t="s">
        <v>2845</v>
      </c>
      <c r="C2221">
        <v>51</v>
      </c>
      <c r="D2221">
        <v>53.6</v>
      </c>
      <c r="E2221" s="178">
        <v>1.5</v>
      </c>
      <c r="F2221" s="176">
        <v>2.88</v>
      </c>
      <c r="G2221" t="s">
        <v>6933</v>
      </c>
      <c r="H2221">
        <v>1212</v>
      </c>
      <c r="I2221">
        <v>367</v>
      </c>
      <c r="J2221">
        <v>4.88</v>
      </c>
      <c r="K2221">
        <v>55.5</v>
      </c>
      <c r="L2221">
        <v>50.9</v>
      </c>
      <c r="M2221" s="175">
        <v>2.48</v>
      </c>
      <c r="N2221" t="s">
        <v>4927</v>
      </c>
    </row>
    <row r="2222" spans="1:14">
      <c r="A2222" s="186">
        <v>8432</v>
      </c>
      <c r="B2222" t="s">
        <v>2846</v>
      </c>
      <c r="C2222">
        <v>50.9</v>
      </c>
      <c r="D2222">
        <v>50.4</v>
      </c>
      <c r="E2222" s="178">
        <v>-0.4</v>
      </c>
      <c r="F2222" s="176">
        <v>-0.79</v>
      </c>
      <c r="G2222" t="s">
        <v>6934</v>
      </c>
      <c r="H2222">
        <v>7</v>
      </c>
      <c r="I2222">
        <v>19</v>
      </c>
      <c r="J2222">
        <v>3.84</v>
      </c>
      <c r="K2222">
        <v>50.9</v>
      </c>
      <c r="L2222">
        <v>50.4</v>
      </c>
      <c r="M2222" s="175">
        <v>0.02</v>
      </c>
      <c r="N2222" t="s">
        <v>4936</v>
      </c>
    </row>
    <row r="2223" spans="1:14">
      <c r="A2223" s="186">
        <v>8433</v>
      </c>
      <c r="B2223" t="s">
        <v>2847</v>
      </c>
      <c r="C2223">
        <v>55.5</v>
      </c>
      <c r="D2223">
        <v>55.5</v>
      </c>
      <c r="E2223" s="178">
        <v>0.2</v>
      </c>
      <c r="F2223" s="176">
        <v>0.36</v>
      </c>
      <c r="G2223" t="s">
        <v>6935</v>
      </c>
      <c r="H2223">
        <v>6</v>
      </c>
      <c r="I2223">
        <v>12</v>
      </c>
      <c r="J2223">
        <v>5.45</v>
      </c>
      <c r="K2223">
        <v>55.5</v>
      </c>
      <c r="L2223">
        <v>55.5</v>
      </c>
      <c r="M2223" s="175">
        <v>0.01</v>
      </c>
      <c r="N2223" t="s">
        <v>2848</v>
      </c>
    </row>
    <row r="2224" spans="1:14">
      <c r="A2224" s="186">
        <v>8435</v>
      </c>
      <c r="B2224" t="s">
        <v>94</v>
      </c>
      <c r="C2224">
        <v>53.5</v>
      </c>
      <c r="D2224">
        <v>53.5</v>
      </c>
      <c r="E2224" s="178">
        <v>0</v>
      </c>
      <c r="F2224" s="176">
        <v>0</v>
      </c>
      <c r="G2224" t="s">
        <v>5222</v>
      </c>
      <c r="H2224">
        <v>20</v>
      </c>
      <c r="I2224">
        <v>14</v>
      </c>
      <c r="J2224">
        <v>3.52</v>
      </c>
      <c r="K2224">
        <v>53.5</v>
      </c>
      <c r="L2224">
        <v>53.5</v>
      </c>
      <c r="M2224" s="175">
        <v>0.06</v>
      </c>
      <c r="N2224" t="s">
        <v>2849</v>
      </c>
    </row>
    <row r="2225" spans="1:14">
      <c r="A2225" s="186">
        <v>8436</v>
      </c>
      <c r="B2225" t="s">
        <v>2850</v>
      </c>
      <c r="C2225">
        <v>125</v>
      </c>
      <c r="D2225">
        <v>126</v>
      </c>
      <c r="E2225" s="178">
        <v>0.5</v>
      </c>
      <c r="F2225" s="176">
        <v>0.4</v>
      </c>
      <c r="G2225" t="s">
        <v>5136</v>
      </c>
      <c r="H2225">
        <v>836</v>
      </c>
      <c r="I2225">
        <v>803</v>
      </c>
      <c r="J2225">
        <v>11.77</v>
      </c>
      <c r="K2225">
        <v>126.5</v>
      </c>
      <c r="L2225">
        <v>125</v>
      </c>
      <c r="M2225" s="175">
        <v>0.71</v>
      </c>
      <c r="N2225" t="s">
        <v>2851</v>
      </c>
    </row>
    <row r="2226" spans="1:14">
      <c r="A2226" s="186">
        <v>8437</v>
      </c>
      <c r="B2226" t="s">
        <v>2852</v>
      </c>
      <c r="C2226">
        <v>9.34</v>
      </c>
      <c r="D2226">
        <v>9.2899999999999991</v>
      </c>
      <c r="E2226" s="178">
        <v>-0.05</v>
      </c>
      <c r="F2226" s="176">
        <v>-0.54</v>
      </c>
      <c r="G2226" t="s">
        <v>5847</v>
      </c>
      <c r="H2226">
        <v>3</v>
      </c>
      <c r="I2226">
        <v>14</v>
      </c>
      <c r="J2226">
        <v>4.7</v>
      </c>
      <c r="K2226">
        <v>9.34</v>
      </c>
      <c r="L2226">
        <v>9.2899999999999991</v>
      </c>
      <c r="M2226" s="175">
        <v>0.01</v>
      </c>
      <c r="N2226" t="s">
        <v>3188</v>
      </c>
    </row>
    <row r="2227" spans="1:14">
      <c r="A2227" s="186">
        <v>8438</v>
      </c>
      <c r="B2227" t="s">
        <v>2853</v>
      </c>
      <c r="C2227">
        <v>71</v>
      </c>
      <c r="D2227">
        <v>71.7</v>
      </c>
      <c r="E2227" s="178">
        <v>-0.7</v>
      </c>
      <c r="F2227" s="176">
        <v>-0.97</v>
      </c>
      <c r="G2227" t="s">
        <v>6936</v>
      </c>
      <c r="H2227">
        <v>210</v>
      </c>
      <c r="I2227">
        <v>251</v>
      </c>
      <c r="J2227">
        <v>6.99</v>
      </c>
      <c r="K2227">
        <v>73.5</v>
      </c>
      <c r="L2227">
        <v>70.8</v>
      </c>
      <c r="M2227" s="175">
        <v>0.3</v>
      </c>
      <c r="N2227" t="s">
        <v>2854</v>
      </c>
    </row>
    <row r="2228" spans="1:14">
      <c r="A2228" s="186">
        <v>8440</v>
      </c>
      <c r="B2228" t="s">
        <v>2855</v>
      </c>
      <c r="C2228">
        <v>20.5</v>
      </c>
      <c r="D2228">
        <v>20.350000000000001</v>
      </c>
      <c r="E2228" s="178">
        <v>-0.2</v>
      </c>
      <c r="F2228" s="176">
        <v>-0.97</v>
      </c>
      <c r="G2228" t="s">
        <v>6686</v>
      </c>
      <c r="H2228">
        <v>21</v>
      </c>
      <c r="I2228">
        <v>63</v>
      </c>
      <c r="J2228">
        <v>5.03</v>
      </c>
      <c r="K2228">
        <v>20.55</v>
      </c>
      <c r="L2228">
        <v>20.3</v>
      </c>
      <c r="M2228" s="175">
        <v>0.04</v>
      </c>
      <c r="N2228" t="s">
        <v>3189</v>
      </c>
    </row>
    <row r="2229" spans="1:14">
      <c r="A2229" s="186">
        <v>8442</v>
      </c>
      <c r="B2229" t="s">
        <v>2856</v>
      </c>
      <c r="C2229">
        <v>45.25</v>
      </c>
      <c r="D2229">
        <v>45.3</v>
      </c>
      <c r="E2229" s="178">
        <v>0</v>
      </c>
      <c r="F2229" s="176">
        <v>0</v>
      </c>
      <c r="G2229" t="s">
        <v>5646</v>
      </c>
      <c r="H2229">
        <v>127</v>
      </c>
      <c r="I2229">
        <v>195</v>
      </c>
      <c r="J2229">
        <v>7.02</v>
      </c>
      <c r="K2229">
        <v>45.95</v>
      </c>
      <c r="L2229">
        <v>45.05</v>
      </c>
      <c r="M2229" s="175">
        <v>0.18</v>
      </c>
      <c r="N2229" t="s">
        <v>2857</v>
      </c>
    </row>
    <row r="2230" spans="1:14">
      <c r="A2230" s="186">
        <v>8443</v>
      </c>
      <c r="B2230" t="s">
        <v>2858</v>
      </c>
      <c r="C2230">
        <v>11.3</v>
      </c>
      <c r="D2230">
        <v>11.35</v>
      </c>
      <c r="E2230" s="178">
        <v>0.1</v>
      </c>
      <c r="F2230" s="176">
        <v>0.89</v>
      </c>
      <c r="G2230" t="s">
        <v>6937</v>
      </c>
      <c r="H2230">
        <v>7</v>
      </c>
      <c r="I2230">
        <v>25</v>
      </c>
      <c r="J2230">
        <v>6.68</v>
      </c>
      <c r="K2230">
        <v>11.35</v>
      </c>
      <c r="L2230">
        <v>11.25</v>
      </c>
      <c r="M2230" s="175">
        <v>0.01</v>
      </c>
      <c r="N2230" t="s">
        <v>2859</v>
      </c>
    </row>
    <row r="2231" spans="1:14">
      <c r="A2231" s="186">
        <v>8444</v>
      </c>
      <c r="B2231" t="s">
        <v>2860</v>
      </c>
      <c r="C2231">
        <v>4.68</v>
      </c>
      <c r="D2231">
        <v>4.68</v>
      </c>
      <c r="E2231" s="178">
        <v>-0.41</v>
      </c>
      <c r="F2231" s="176">
        <v>-8.06</v>
      </c>
      <c r="G2231" t="s">
        <v>6938</v>
      </c>
      <c r="H2231">
        <v>8</v>
      </c>
      <c r="I2231">
        <v>17</v>
      </c>
      <c r="J2231">
        <v>12.51</v>
      </c>
      <c r="K2231">
        <v>4.68</v>
      </c>
      <c r="L2231">
        <v>4.68</v>
      </c>
      <c r="M2231" s="175">
        <v>0.01</v>
      </c>
      <c r="N2231" t="s">
        <v>2861</v>
      </c>
    </row>
    <row r="2232" spans="1:14">
      <c r="A2232" s="186">
        <v>8446</v>
      </c>
      <c r="B2232" t="s">
        <v>2862</v>
      </c>
      <c r="C2232">
        <v>85.4</v>
      </c>
      <c r="D2232">
        <v>85.2</v>
      </c>
      <c r="E2232" s="178">
        <v>-0.2</v>
      </c>
      <c r="F2232" s="176">
        <v>-0.23</v>
      </c>
      <c r="G2232" t="s">
        <v>5510</v>
      </c>
      <c r="H2232">
        <v>48</v>
      </c>
      <c r="I2232">
        <v>31</v>
      </c>
      <c r="J2232">
        <v>5.29</v>
      </c>
      <c r="K2232">
        <v>85.7</v>
      </c>
      <c r="L2232">
        <v>85</v>
      </c>
      <c r="M2232" s="175">
        <v>0.09</v>
      </c>
      <c r="N2232" t="s">
        <v>2863</v>
      </c>
    </row>
    <row r="2233" spans="1:14">
      <c r="A2233" s="186">
        <v>8450</v>
      </c>
      <c r="B2233" t="s">
        <v>2864</v>
      </c>
      <c r="C2233">
        <v>14.75</v>
      </c>
      <c r="D2233">
        <v>14.55</v>
      </c>
      <c r="E2233" s="178">
        <v>0</v>
      </c>
      <c r="F2233" s="176">
        <v>0</v>
      </c>
      <c r="G2233" t="s">
        <v>5677</v>
      </c>
      <c r="H2233">
        <v>22</v>
      </c>
      <c r="I2233">
        <v>21</v>
      </c>
      <c r="J2233">
        <v>5.13</v>
      </c>
      <c r="K2233">
        <v>14.75</v>
      </c>
      <c r="L2233">
        <v>14.5</v>
      </c>
      <c r="M2233" s="175">
        <v>0.04</v>
      </c>
      <c r="N2233" t="s">
        <v>2865</v>
      </c>
    </row>
    <row r="2234" spans="1:14">
      <c r="A2234" s="186">
        <v>8454</v>
      </c>
      <c r="B2234" t="s">
        <v>2866</v>
      </c>
      <c r="C2234">
        <v>250</v>
      </c>
      <c r="D2234">
        <v>247</v>
      </c>
      <c r="E2234" s="178">
        <v>-3</v>
      </c>
      <c r="F2234" s="176">
        <v>-1.2</v>
      </c>
      <c r="G2234" t="s">
        <v>6939</v>
      </c>
      <c r="H2234">
        <v>259</v>
      </c>
      <c r="I2234">
        <v>309</v>
      </c>
      <c r="J2234">
        <v>26.5</v>
      </c>
      <c r="K2234">
        <v>250</v>
      </c>
      <c r="L2234">
        <v>246</v>
      </c>
      <c r="M2234" s="175">
        <v>0.1</v>
      </c>
      <c r="N2234" t="s">
        <v>2867</v>
      </c>
    </row>
    <row r="2235" spans="1:14">
      <c r="A2235" s="186">
        <v>8455</v>
      </c>
      <c r="B2235" t="s">
        <v>2868</v>
      </c>
      <c r="C2235">
        <v>22.7</v>
      </c>
      <c r="D2235">
        <v>22.7</v>
      </c>
      <c r="E2235" s="178">
        <v>-0.75</v>
      </c>
      <c r="F2235" s="176">
        <v>-3.2</v>
      </c>
      <c r="G2235" t="s">
        <v>6940</v>
      </c>
      <c r="H2235">
        <v>7</v>
      </c>
      <c r="I2235">
        <v>3</v>
      </c>
      <c r="J2235">
        <v>2.52</v>
      </c>
      <c r="K2235">
        <v>23.4</v>
      </c>
      <c r="L2235">
        <v>22.7</v>
      </c>
      <c r="M2235" s="175">
        <v>0.03</v>
      </c>
      <c r="N2235" t="s">
        <v>2869</v>
      </c>
    </row>
    <row r="2236" spans="1:14">
      <c r="A2236" s="186">
        <v>8462</v>
      </c>
      <c r="B2236" t="s">
        <v>2870</v>
      </c>
      <c r="C2236">
        <v>171</v>
      </c>
      <c r="D2236">
        <v>168</v>
      </c>
      <c r="E2236" s="178">
        <v>-3</v>
      </c>
      <c r="F2236" s="176">
        <v>-1.75</v>
      </c>
      <c r="G2236" t="s">
        <v>6941</v>
      </c>
      <c r="H2236">
        <v>167</v>
      </c>
      <c r="I2236">
        <v>77</v>
      </c>
      <c r="J2236">
        <v>8.0399999999999991</v>
      </c>
      <c r="K2236">
        <v>171</v>
      </c>
      <c r="L2236">
        <v>165.5</v>
      </c>
      <c r="M2236" s="175">
        <v>0.21</v>
      </c>
      <c r="N2236" t="s">
        <v>2871</v>
      </c>
    </row>
    <row r="2237" spans="1:14">
      <c r="A2237" s="186">
        <v>8463</v>
      </c>
      <c r="B2237" t="s">
        <v>2872</v>
      </c>
      <c r="C2237">
        <v>21.55</v>
      </c>
      <c r="D2237">
        <v>21.4</v>
      </c>
      <c r="E2237" s="178">
        <v>-0.1</v>
      </c>
      <c r="F2237" s="176">
        <v>-0.47</v>
      </c>
      <c r="G2237" t="s">
        <v>5342</v>
      </c>
      <c r="H2237">
        <v>52</v>
      </c>
      <c r="I2237">
        <v>31</v>
      </c>
      <c r="J2237">
        <v>15</v>
      </c>
      <c r="K2237">
        <v>21.55</v>
      </c>
      <c r="L2237">
        <v>21.2</v>
      </c>
      <c r="M2237" s="175">
        <v>0.03</v>
      </c>
      <c r="N2237" t="s">
        <v>2873</v>
      </c>
    </row>
    <row r="2238" spans="1:14">
      <c r="A2238" s="186">
        <v>8464</v>
      </c>
      <c r="B2238" t="s">
        <v>2874</v>
      </c>
      <c r="C2238">
        <v>365.5</v>
      </c>
      <c r="D2238">
        <v>374</v>
      </c>
      <c r="E2238" s="178">
        <v>7.5</v>
      </c>
      <c r="F2238" s="176">
        <v>2.0499999999999998</v>
      </c>
      <c r="G2238" t="s">
        <v>5204</v>
      </c>
      <c r="H2238">
        <v>321</v>
      </c>
      <c r="I2238">
        <v>353</v>
      </c>
      <c r="J2238">
        <v>29.3</v>
      </c>
      <c r="K2238">
        <v>375</v>
      </c>
      <c r="L2238">
        <v>362.5</v>
      </c>
      <c r="M2238" s="175">
        <v>0.11</v>
      </c>
      <c r="N2238" t="s">
        <v>2875</v>
      </c>
    </row>
    <row r="2239" spans="1:14">
      <c r="A2239" s="186">
        <v>8466</v>
      </c>
      <c r="B2239" t="s">
        <v>2876</v>
      </c>
      <c r="C2239">
        <v>15.3</v>
      </c>
      <c r="D2239">
        <v>15.6</v>
      </c>
      <c r="E2239" s="178">
        <v>0.1</v>
      </c>
      <c r="F2239" s="176">
        <v>0.65</v>
      </c>
      <c r="G2239" t="s">
        <v>5699</v>
      </c>
      <c r="H2239">
        <v>16</v>
      </c>
      <c r="I2239">
        <v>22</v>
      </c>
      <c r="J2239">
        <v>7.94</v>
      </c>
      <c r="K2239">
        <v>15.7</v>
      </c>
      <c r="L2239">
        <v>15.3</v>
      </c>
      <c r="M2239" s="175">
        <v>0.02</v>
      </c>
      <c r="N2239" t="s">
        <v>2877</v>
      </c>
    </row>
    <row r="2240" spans="1:14">
      <c r="A2240" s="186">
        <v>8467</v>
      </c>
      <c r="B2240" t="s">
        <v>2878</v>
      </c>
      <c r="C2240">
        <v>91.5</v>
      </c>
      <c r="D2240">
        <v>92.2</v>
      </c>
      <c r="E2240" s="178">
        <v>-1.2</v>
      </c>
      <c r="F2240" s="176">
        <v>-1.28</v>
      </c>
      <c r="G2240" t="s">
        <v>6942</v>
      </c>
      <c r="H2240">
        <v>10</v>
      </c>
      <c r="I2240">
        <v>17</v>
      </c>
      <c r="J2240">
        <v>4.84</v>
      </c>
      <c r="K2240">
        <v>92.3</v>
      </c>
      <c r="L2240">
        <v>91.5</v>
      </c>
      <c r="M2240" s="175">
        <v>0.02</v>
      </c>
      <c r="N2240" t="s">
        <v>2879</v>
      </c>
    </row>
    <row r="2241" spans="1:14">
      <c r="A2241" s="186">
        <v>8472</v>
      </c>
      <c r="B2241" t="s">
        <v>2880</v>
      </c>
      <c r="C2241">
        <v>65.3</v>
      </c>
      <c r="D2241">
        <v>65</v>
      </c>
      <c r="E2241" s="178">
        <v>-0.7</v>
      </c>
      <c r="F2241" s="176">
        <v>-1.07</v>
      </c>
      <c r="G2241" t="s">
        <v>5600</v>
      </c>
      <c r="H2241">
        <v>12</v>
      </c>
      <c r="I2241">
        <v>9</v>
      </c>
      <c r="J2241">
        <v>1.77</v>
      </c>
      <c r="K2241">
        <v>66.900000000000006</v>
      </c>
      <c r="L2241">
        <v>64</v>
      </c>
      <c r="M2241" s="175">
        <v>7.0000000000000007E-2</v>
      </c>
      <c r="N2241" t="s">
        <v>4069</v>
      </c>
    </row>
    <row r="2242" spans="1:14">
      <c r="A2242" s="186">
        <v>8473</v>
      </c>
      <c r="B2242" t="s">
        <v>2881</v>
      </c>
      <c r="C2242">
        <v>46.1</v>
      </c>
      <c r="D2242">
        <v>45.9</v>
      </c>
      <c r="E2242" s="178">
        <v>0</v>
      </c>
      <c r="F2242" s="176">
        <v>0</v>
      </c>
      <c r="G2242" t="s">
        <v>5752</v>
      </c>
      <c r="H2242">
        <v>306</v>
      </c>
      <c r="I2242">
        <v>523</v>
      </c>
      <c r="J2242">
        <v>18.34</v>
      </c>
      <c r="K2242">
        <v>46.2</v>
      </c>
      <c r="L2242">
        <v>45.5</v>
      </c>
      <c r="M2242" s="175">
        <v>0.17</v>
      </c>
      <c r="N2242" t="s">
        <v>2882</v>
      </c>
    </row>
    <row r="2243" spans="1:14">
      <c r="A2243" s="186">
        <v>8476</v>
      </c>
      <c r="B2243" t="s">
        <v>4109</v>
      </c>
      <c r="C2243">
        <v>19.850000000000001</v>
      </c>
      <c r="D2243">
        <v>19.399999999999999</v>
      </c>
      <c r="E2243" s="178">
        <v>-0.5</v>
      </c>
      <c r="F2243" s="176">
        <v>-2.5099999999999998</v>
      </c>
      <c r="G2243" t="s">
        <v>6943</v>
      </c>
      <c r="H2243">
        <v>270</v>
      </c>
      <c r="I2243">
        <v>245</v>
      </c>
      <c r="J2243">
        <v>8.42</v>
      </c>
      <c r="K2243">
        <v>19.850000000000001</v>
      </c>
      <c r="L2243">
        <v>19.2</v>
      </c>
      <c r="M2243" s="175">
        <v>0.16</v>
      </c>
      <c r="N2243" t="s">
        <v>4110</v>
      </c>
    </row>
    <row r="2244" spans="1:14">
      <c r="A2244" s="186">
        <v>8477</v>
      </c>
      <c r="B2244" t="s">
        <v>2883</v>
      </c>
      <c r="C2244">
        <v>15.5</v>
      </c>
      <c r="D2244">
        <v>15.35</v>
      </c>
      <c r="E2244" s="178">
        <v>-0.1</v>
      </c>
      <c r="F2244" s="176">
        <v>-0.65</v>
      </c>
      <c r="G2244" t="s">
        <v>6944</v>
      </c>
      <c r="H2244">
        <v>11</v>
      </c>
      <c r="I2244">
        <v>15</v>
      </c>
      <c r="J2244">
        <v>8.42</v>
      </c>
      <c r="K2244">
        <v>15.5</v>
      </c>
      <c r="L2244">
        <v>15.3</v>
      </c>
      <c r="M2244" s="175">
        <v>0.02</v>
      </c>
      <c r="N2244" t="s">
        <v>4534</v>
      </c>
    </row>
    <row r="2245" spans="1:14">
      <c r="A2245" s="186">
        <v>8478</v>
      </c>
      <c r="B2245" t="s">
        <v>2884</v>
      </c>
      <c r="C2245">
        <v>141.5</v>
      </c>
      <c r="D2245">
        <v>141</v>
      </c>
      <c r="E2245" s="178">
        <v>-0.5</v>
      </c>
      <c r="F2245" s="176">
        <v>-0.35</v>
      </c>
      <c r="G2245" t="s">
        <v>6945</v>
      </c>
      <c r="H2245">
        <v>126</v>
      </c>
      <c r="I2245">
        <v>101</v>
      </c>
      <c r="J2245">
        <v>9.4</v>
      </c>
      <c r="K2245">
        <v>142.5</v>
      </c>
      <c r="L2245">
        <v>140.5</v>
      </c>
      <c r="M2245" s="175">
        <v>0.13</v>
      </c>
      <c r="N2245" t="s">
        <v>2885</v>
      </c>
    </row>
    <row r="2246" spans="1:14">
      <c r="A2246" s="186">
        <v>8481</v>
      </c>
      <c r="B2246" t="s">
        <v>2886</v>
      </c>
      <c r="C2246">
        <v>40.85</v>
      </c>
      <c r="D2246">
        <v>40.799999999999997</v>
      </c>
      <c r="E2246" s="178">
        <v>-0.4</v>
      </c>
      <c r="F2246" s="176">
        <v>-0.97</v>
      </c>
      <c r="G2246" t="s">
        <v>5430</v>
      </c>
      <c r="H2246">
        <v>5</v>
      </c>
      <c r="I2246">
        <v>8</v>
      </c>
      <c r="J2246">
        <v>6.66</v>
      </c>
      <c r="K2246">
        <v>40.9</v>
      </c>
      <c r="L2246">
        <v>40.5</v>
      </c>
      <c r="M2246" s="175">
        <v>0.01</v>
      </c>
      <c r="N2246" t="s">
        <v>3090</v>
      </c>
    </row>
    <row r="2247" spans="1:14">
      <c r="A2247" s="186">
        <v>8482</v>
      </c>
      <c r="B2247" t="s">
        <v>2887</v>
      </c>
      <c r="C2247">
        <v>46.45</v>
      </c>
      <c r="D2247">
        <v>46.3</v>
      </c>
      <c r="E2247" s="178">
        <v>-1.4</v>
      </c>
      <c r="F2247" s="176">
        <v>-2.94</v>
      </c>
      <c r="G2247" t="s">
        <v>6012</v>
      </c>
      <c r="H2247">
        <v>7</v>
      </c>
      <c r="I2247">
        <v>16</v>
      </c>
      <c r="J2247">
        <v>10.74</v>
      </c>
      <c r="K2247">
        <v>48.15</v>
      </c>
      <c r="L2247">
        <v>45.5</v>
      </c>
      <c r="M2247" s="175">
        <v>0.01</v>
      </c>
      <c r="N2247" t="s">
        <v>2888</v>
      </c>
    </row>
    <row r="2248" spans="1:14">
      <c r="A2248" s="186">
        <v>8488</v>
      </c>
      <c r="B2248" t="s">
        <v>2889</v>
      </c>
      <c r="C2248">
        <v>9.9</v>
      </c>
      <c r="D2248">
        <v>9.92</v>
      </c>
      <c r="E2248" s="178">
        <v>-0.08</v>
      </c>
      <c r="F2248" s="176">
        <v>-0.8</v>
      </c>
      <c r="G2248" t="s">
        <v>6946</v>
      </c>
      <c r="H2248">
        <v>2</v>
      </c>
      <c r="I2248">
        <v>89</v>
      </c>
      <c r="J2248">
        <v>7.35</v>
      </c>
      <c r="K2248">
        <v>9.92</v>
      </c>
      <c r="L2248">
        <v>9.9</v>
      </c>
      <c r="M2248" s="175">
        <v>0</v>
      </c>
      <c r="N2248" t="s">
        <v>2890</v>
      </c>
    </row>
    <row r="2249" spans="1:14">
      <c r="A2249" s="186">
        <v>8489</v>
      </c>
      <c r="B2249" t="s">
        <v>2891</v>
      </c>
      <c r="C2249">
        <v>22.35</v>
      </c>
      <c r="D2249">
        <v>22.4</v>
      </c>
      <c r="E2249" s="178">
        <v>-0.05</v>
      </c>
      <c r="F2249" s="176">
        <v>-0.22</v>
      </c>
      <c r="G2249" t="s">
        <v>6947</v>
      </c>
      <c r="H2249">
        <v>15</v>
      </c>
      <c r="I2249">
        <v>40</v>
      </c>
      <c r="J2249">
        <v>5.99</v>
      </c>
      <c r="K2249">
        <v>22.45</v>
      </c>
      <c r="L2249">
        <v>22.05</v>
      </c>
      <c r="M2249" s="175">
        <v>0.03</v>
      </c>
      <c r="N2249" t="s">
        <v>2892</v>
      </c>
    </row>
    <row r="2250" spans="1:14">
      <c r="A2250" s="186">
        <v>8499</v>
      </c>
      <c r="B2250" t="s">
        <v>2893</v>
      </c>
      <c r="C2250">
        <v>271</v>
      </c>
      <c r="D2250">
        <v>260</v>
      </c>
      <c r="E2250" s="178">
        <v>-11</v>
      </c>
      <c r="F2250" s="176">
        <v>-4.0599999999999996</v>
      </c>
      <c r="G2250" t="s">
        <v>5877</v>
      </c>
      <c r="H2250">
        <v>66</v>
      </c>
      <c r="I2250">
        <v>54</v>
      </c>
      <c r="J2250">
        <v>4.12</v>
      </c>
      <c r="K2250">
        <v>271</v>
      </c>
      <c r="L2250">
        <v>256</v>
      </c>
      <c r="M2250" s="175">
        <v>0.16</v>
      </c>
      <c r="N2250" t="s">
        <v>2894</v>
      </c>
    </row>
    <row r="2251" spans="1:14">
      <c r="A2251" s="186">
        <v>8905</v>
      </c>
      <c r="B2251" t="s">
        <v>2895</v>
      </c>
      <c r="C2251">
        <v>34.5</v>
      </c>
      <c r="D2251">
        <v>34.6</v>
      </c>
      <c r="E2251" s="178">
        <v>0</v>
      </c>
      <c r="F2251" s="176">
        <v>0</v>
      </c>
      <c r="G2251" t="s">
        <v>6948</v>
      </c>
      <c r="H2251">
        <v>2</v>
      </c>
      <c r="I2251">
        <v>10</v>
      </c>
      <c r="J2251">
        <v>11.94</v>
      </c>
      <c r="K2251">
        <v>34.6</v>
      </c>
      <c r="L2251">
        <v>34.5</v>
      </c>
      <c r="M2251" s="175">
        <v>0</v>
      </c>
      <c r="N2251" t="s">
        <v>2896</v>
      </c>
    </row>
    <row r="2252" spans="1:14">
      <c r="A2252" s="186">
        <v>8906</v>
      </c>
      <c r="B2252" t="s">
        <v>2897</v>
      </c>
      <c r="C2252">
        <v>28.35</v>
      </c>
      <c r="D2252">
        <v>28.2</v>
      </c>
      <c r="E2252" s="178">
        <v>-0.15</v>
      </c>
      <c r="F2252" s="176">
        <v>-0.53</v>
      </c>
      <c r="G2252" t="s">
        <v>6949</v>
      </c>
      <c r="H2252">
        <v>25</v>
      </c>
      <c r="I2252">
        <v>17</v>
      </c>
      <c r="J2252">
        <v>4.4000000000000004</v>
      </c>
      <c r="K2252">
        <v>28.4</v>
      </c>
      <c r="L2252">
        <v>28</v>
      </c>
      <c r="M2252" s="175">
        <v>0.06</v>
      </c>
      <c r="N2252" t="s">
        <v>2898</v>
      </c>
    </row>
    <row r="2253" spans="1:14">
      <c r="A2253" s="186">
        <v>8908</v>
      </c>
      <c r="B2253" t="s">
        <v>2899</v>
      </c>
      <c r="C2253">
        <v>40.35</v>
      </c>
      <c r="D2253">
        <v>40.549999999999997</v>
      </c>
      <c r="E2253" s="178">
        <v>0.2</v>
      </c>
      <c r="F2253" s="176">
        <v>0.5</v>
      </c>
      <c r="G2253" t="s">
        <v>5291</v>
      </c>
      <c r="H2253">
        <v>28</v>
      </c>
      <c r="I2253">
        <v>21</v>
      </c>
      <c r="J2253">
        <v>31.53</v>
      </c>
      <c r="K2253">
        <v>40.65</v>
      </c>
      <c r="L2253">
        <v>40.1</v>
      </c>
      <c r="M2253" s="175">
        <v>0.01</v>
      </c>
      <c r="N2253" t="s">
        <v>2900</v>
      </c>
    </row>
    <row r="2254" spans="1:14">
      <c r="A2254" s="186">
        <v>8916</v>
      </c>
      <c r="B2254" t="s">
        <v>83</v>
      </c>
      <c r="C2254">
        <v>41.25</v>
      </c>
      <c r="D2254">
        <v>41</v>
      </c>
      <c r="E2254" s="178">
        <v>-0.1</v>
      </c>
      <c r="F2254" s="176">
        <v>-0.24</v>
      </c>
      <c r="G2254" t="s">
        <v>5792</v>
      </c>
      <c r="H2254">
        <v>60</v>
      </c>
      <c r="I2254">
        <v>59</v>
      </c>
      <c r="J2254">
        <v>14.86</v>
      </c>
      <c r="K2254">
        <v>41.3</v>
      </c>
      <c r="L2254">
        <v>41</v>
      </c>
      <c r="M2254" s="175">
        <v>0.04</v>
      </c>
      <c r="N2254" t="s">
        <v>2901</v>
      </c>
    </row>
    <row r="2255" spans="1:14">
      <c r="A2255" s="186">
        <v>8917</v>
      </c>
      <c r="B2255" t="s">
        <v>2902</v>
      </c>
      <c r="C2255">
        <v>52.4</v>
      </c>
      <c r="D2255">
        <v>52.5</v>
      </c>
      <c r="E2255" s="178">
        <v>-1.5</v>
      </c>
      <c r="F2255" s="176">
        <v>-2.78</v>
      </c>
      <c r="G2255" t="s">
        <v>6950</v>
      </c>
      <c r="H2255">
        <v>5</v>
      </c>
      <c r="I2255">
        <v>5</v>
      </c>
      <c r="J2255">
        <v>16.27</v>
      </c>
      <c r="K2255">
        <v>52.5</v>
      </c>
      <c r="L2255">
        <v>52.4</v>
      </c>
      <c r="M2255" s="175">
        <v>0</v>
      </c>
      <c r="N2255" t="s">
        <v>2903</v>
      </c>
    </row>
    <row r="2256" spans="1:14">
      <c r="A2256" s="186">
        <v>8921</v>
      </c>
      <c r="B2256" t="s">
        <v>2904</v>
      </c>
      <c r="C2256">
        <v>16.25</v>
      </c>
      <c r="D2256">
        <v>17.05</v>
      </c>
      <c r="E2256" s="178">
        <v>-0.3</v>
      </c>
      <c r="F2256" s="176">
        <v>-1.73</v>
      </c>
      <c r="G2256" t="s">
        <v>6951</v>
      </c>
      <c r="H2256">
        <v>5</v>
      </c>
      <c r="I2256">
        <v>1</v>
      </c>
      <c r="J2256">
        <v>4.66</v>
      </c>
      <c r="K2256">
        <v>17.05</v>
      </c>
      <c r="L2256">
        <v>16.25</v>
      </c>
      <c r="M2256" s="175">
        <v>0.01</v>
      </c>
      <c r="N2256" t="s">
        <v>2905</v>
      </c>
    </row>
    <row r="2257" spans="1:14">
      <c r="A2257" s="186">
        <v>8923</v>
      </c>
      <c r="B2257" t="s">
        <v>2906</v>
      </c>
      <c r="C2257">
        <v>18.850000000000001</v>
      </c>
      <c r="D2257">
        <v>19.45</v>
      </c>
      <c r="E2257" s="178">
        <v>0.85</v>
      </c>
      <c r="F2257" s="176">
        <v>4.57</v>
      </c>
      <c r="G2257" t="s">
        <v>5699</v>
      </c>
      <c r="H2257">
        <v>13</v>
      </c>
      <c r="I2257">
        <v>1</v>
      </c>
      <c r="J2257">
        <v>3.04</v>
      </c>
      <c r="K2257">
        <v>19.45</v>
      </c>
      <c r="L2257">
        <v>18.850000000000001</v>
      </c>
      <c r="M2257" s="175">
        <v>0.04</v>
      </c>
      <c r="N2257" t="s">
        <v>2907</v>
      </c>
    </row>
    <row r="2258" spans="1:14">
      <c r="A2258" s="186">
        <v>8924</v>
      </c>
      <c r="B2258" t="s">
        <v>2908</v>
      </c>
      <c r="C2258">
        <v>50.2</v>
      </c>
      <c r="D2258">
        <v>50.3</v>
      </c>
      <c r="E2258" s="178">
        <v>0</v>
      </c>
      <c r="F2258" s="176">
        <v>0</v>
      </c>
      <c r="G2258" t="s">
        <v>6479</v>
      </c>
      <c r="H2258">
        <v>40</v>
      </c>
      <c r="I2258">
        <v>48</v>
      </c>
      <c r="J2258">
        <v>8.3800000000000008</v>
      </c>
      <c r="K2258">
        <v>50.3</v>
      </c>
      <c r="L2258">
        <v>50.1</v>
      </c>
      <c r="M2258" s="175">
        <v>0.05</v>
      </c>
      <c r="N2258" t="s">
        <v>3959</v>
      </c>
    </row>
    <row r="2259" spans="1:14">
      <c r="A2259" s="186">
        <v>8926</v>
      </c>
      <c r="B2259" t="s">
        <v>2909</v>
      </c>
      <c r="C2259">
        <v>56.7</v>
      </c>
      <c r="D2259">
        <v>55.9</v>
      </c>
      <c r="E2259" s="178">
        <v>-0.9</v>
      </c>
      <c r="F2259" s="176">
        <v>-1.58</v>
      </c>
      <c r="G2259" t="s">
        <v>6952</v>
      </c>
      <c r="H2259">
        <v>3801</v>
      </c>
      <c r="I2259">
        <v>1732</v>
      </c>
      <c r="J2259">
        <v>83.03</v>
      </c>
      <c r="K2259">
        <v>56.7</v>
      </c>
      <c r="L2259">
        <v>55.8</v>
      </c>
      <c r="M2259" s="175">
        <v>0.46</v>
      </c>
      <c r="N2259" t="s">
        <v>2910</v>
      </c>
    </row>
    <row r="2260" spans="1:14">
      <c r="A2260" s="186">
        <v>8927</v>
      </c>
      <c r="B2260" t="s">
        <v>2911</v>
      </c>
      <c r="C2260">
        <v>19.8</v>
      </c>
      <c r="D2260">
        <v>19.649999999999999</v>
      </c>
      <c r="E2260" s="178">
        <v>-0.15</v>
      </c>
      <c r="F2260" s="176">
        <v>-0.76</v>
      </c>
      <c r="G2260" t="s">
        <v>5234</v>
      </c>
      <c r="H2260">
        <v>66</v>
      </c>
      <c r="I2260">
        <v>86</v>
      </c>
      <c r="J2260">
        <v>41.91</v>
      </c>
      <c r="K2260">
        <v>20.149999999999999</v>
      </c>
      <c r="L2260">
        <v>19.55</v>
      </c>
      <c r="M2260" s="175">
        <v>0.02</v>
      </c>
      <c r="N2260" t="s">
        <v>4535</v>
      </c>
    </row>
    <row r="2261" spans="1:14">
      <c r="A2261" s="186">
        <v>8928</v>
      </c>
      <c r="B2261" t="s">
        <v>2912</v>
      </c>
      <c r="C2261">
        <v>24.3</v>
      </c>
      <c r="D2261">
        <v>24.3</v>
      </c>
      <c r="E2261" s="178">
        <v>0.1</v>
      </c>
      <c r="F2261" s="176">
        <v>0.41</v>
      </c>
      <c r="G2261" t="s">
        <v>6953</v>
      </c>
      <c r="H2261">
        <v>3</v>
      </c>
      <c r="I2261">
        <v>60</v>
      </c>
      <c r="J2261">
        <v>5.09</v>
      </c>
      <c r="K2261">
        <v>24.3</v>
      </c>
      <c r="L2261">
        <v>24.3</v>
      </c>
      <c r="M2261" s="175">
        <v>0.01</v>
      </c>
      <c r="N2261" t="s">
        <v>3959</v>
      </c>
    </row>
    <row r="2262" spans="1:14">
      <c r="A2262" s="186">
        <v>8929</v>
      </c>
      <c r="B2262" t="s">
        <v>2913</v>
      </c>
      <c r="C2262">
        <v>13.4</v>
      </c>
      <c r="D2262">
        <v>13.25</v>
      </c>
      <c r="E2262" s="178">
        <v>-0.05</v>
      </c>
      <c r="F2262" s="176">
        <v>-0.38</v>
      </c>
      <c r="G2262" t="s">
        <v>6954</v>
      </c>
      <c r="H2262">
        <v>6</v>
      </c>
      <c r="I2262">
        <v>9</v>
      </c>
      <c r="J2262">
        <v>5.0599999999999996</v>
      </c>
      <c r="K2262">
        <v>13.4</v>
      </c>
      <c r="L2262">
        <v>13.25</v>
      </c>
      <c r="M2262" s="175">
        <v>0.01</v>
      </c>
      <c r="N2262" t="s">
        <v>2914</v>
      </c>
    </row>
    <row r="2263" spans="1:14">
      <c r="A2263" s="186">
        <v>8930</v>
      </c>
      <c r="B2263" t="s">
        <v>2915</v>
      </c>
      <c r="C2263">
        <v>30.1</v>
      </c>
      <c r="D2263">
        <v>30.65</v>
      </c>
      <c r="E2263" s="178">
        <v>0.4</v>
      </c>
      <c r="F2263" s="176">
        <v>1.32</v>
      </c>
      <c r="G2263" t="s">
        <v>5740</v>
      </c>
      <c r="H2263">
        <v>45</v>
      </c>
      <c r="I2263">
        <v>45</v>
      </c>
      <c r="J2263">
        <v>8.18</v>
      </c>
      <c r="K2263">
        <v>30.8</v>
      </c>
      <c r="L2263">
        <v>29.75</v>
      </c>
      <c r="M2263" s="175">
        <v>0.06</v>
      </c>
      <c r="N2263" t="s">
        <v>2916</v>
      </c>
    </row>
    <row r="2264" spans="1:14">
      <c r="A2264" s="186">
        <v>8931</v>
      </c>
      <c r="B2264" t="s">
        <v>2917</v>
      </c>
      <c r="C2264">
        <v>41.3</v>
      </c>
      <c r="D2264">
        <v>41.35</v>
      </c>
      <c r="E2264" s="178">
        <v>0.25</v>
      </c>
      <c r="F2264" s="176">
        <v>0.61</v>
      </c>
      <c r="G2264" t="s">
        <v>5271</v>
      </c>
      <c r="H2264">
        <v>91</v>
      </c>
      <c r="I2264">
        <v>25</v>
      </c>
      <c r="J2264">
        <v>12.23</v>
      </c>
      <c r="K2264">
        <v>41.35</v>
      </c>
      <c r="L2264">
        <v>41</v>
      </c>
      <c r="M2264" s="175">
        <v>7.0000000000000007E-2</v>
      </c>
      <c r="N2264" t="s">
        <v>2918</v>
      </c>
    </row>
    <row r="2265" spans="1:14">
      <c r="A2265" s="186">
        <v>8932</v>
      </c>
      <c r="B2265" t="s">
        <v>4918</v>
      </c>
      <c r="C2265">
        <v>94.3</v>
      </c>
      <c r="D2265">
        <v>96</v>
      </c>
      <c r="E2265" s="178">
        <v>1.7</v>
      </c>
      <c r="F2265" s="176">
        <v>1.8</v>
      </c>
      <c r="G2265" t="s">
        <v>5554</v>
      </c>
      <c r="H2265">
        <v>3802</v>
      </c>
      <c r="I2265">
        <v>6588</v>
      </c>
      <c r="J2265">
        <v>10.65</v>
      </c>
      <c r="K2265">
        <v>96</v>
      </c>
      <c r="L2265">
        <v>91.3</v>
      </c>
      <c r="M2265" s="175">
        <v>0.89</v>
      </c>
      <c r="N2265" t="s">
        <v>5107</v>
      </c>
    </row>
    <row r="2266" spans="1:14">
      <c r="A2266" s="186">
        <v>8933</v>
      </c>
      <c r="B2266" t="s">
        <v>2919</v>
      </c>
      <c r="C2266">
        <v>4.68</v>
      </c>
      <c r="D2266">
        <v>4.68</v>
      </c>
      <c r="E2266" s="178">
        <v>0</v>
      </c>
      <c r="F2266" s="176">
        <v>0</v>
      </c>
      <c r="G2266" t="s">
        <v>6950</v>
      </c>
      <c r="H2266">
        <v>56</v>
      </c>
      <c r="I2266">
        <v>126</v>
      </c>
      <c r="J2266">
        <v>32.67</v>
      </c>
      <c r="K2266">
        <v>4.83</v>
      </c>
      <c r="L2266">
        <v>4.5999999999999996</v>
      </c>
      <c r="M2266" s="175">
        <v>0.02</v>
      </c>
      <c r="N2266" t="s">
        <v>2920</v>
      </c>
    </row>
    <row r="2267" spans="1:14">
      <c r="A2267" s="186">
        <v>8935</v>
      </c>
      <c r="B2267" t="s">
        <v>2921</v>
      </c>
      <c r="C2267">
        <v>18.100000000000001</v>
      </c>
      <c r="D2267">
        <v>18.100000000000001</v>
      </c>
      <c r="E2267" s="178">
        <v>0</v>
      </c>
      <c r="F2267" s="176">
        <v>0</v>
      </c>
      <c r="G2267" t="s">
        <v>5631</v>
      </c>
      <c r="H2267">
        <v>69</v>
      </c>
      <c r="I2267">
        <v>114</v>
      </c>
      <c r="J2267">
        <v>11.35</v>
      </c>
      <c r="K2267">
        <v>18.25</v>
      </c>
      <c r="L2267">
        <v>17.95</v>
      </c>
      <c r="M2267" s="175">
        <v>0.06</v>
      </c>
      <c r="N2267" t="s">
        <v>2922</v>
      </c>
    </row>
    <row r="2268" spans="1:14">
      <c r="A2268" s="186">
        <v>8936</v>
      </c>
      <c r="B2268" t="s">
        <v>2923</v>
      </c>
      <c r="C2268">
        <v>50.9</v>
      </c>
      <c r="D2268">
        <v>50.7</v>
      </c>
      <c r="E2268" s="178">
        <v>-0.4</v>
      </c>
      <c r="F2268" s="176">
        <v>-0.78</v>
      </c>
      <c r="G2268" t="s">
        <v>6955</v>
      </c>
      <c r="H2268">
        <v>697</v>
      </c>
      <c r="I2268">
        <v>792</v>
      </c>
      <c r="J2268">
        <v>24.81</v>
      </c>
      <c r="K2268">
        <v>51.1</v>
      </c>
      <c r="L2268">
        <v>50.5</v>
      </c>
      <c r="M2268" s="175">
        <v>0.28000000000000003</v>
      </c>
      <c r="N2268" t="s">
        <v>2924</v>
      </c>
    </row>
    <row r="2269" spans="1:14">
      <c r="A2269" s="186">
        <v>8937</v>
      </c>
      <c r="B2269" t="s">
        <v>4969</v>
      </c>
      <c r="C2269">
        <v>28.2</v>
      </c>
      <c r="D2269">
        <v>29.95</v>
      </c>
      <c r="E2269" s="178">
        <v>1.55</v>
      </c>
      <c r="F2269" s="176">
        <v>5.46</v>
      </c>
      <c r="G2269" t="s">
        <v>6956</v>
      </c>
      <c r="H2269">
        <v>409</v>
      </c>
      <c r="I2269">
        <v>1272</v>
      </c>
      <c r="J2269">
        <v>11.04</v>
      </c>
      <c r="K2269">
        <v>30.5</v>
      </c>
      <c r="L2269">
        <v>28</v>
      </c>
      <c r="M2269" s="175">
        <v>0.09</v>
      </c>
      <c r="N2269" t="s">
        <v>4970</v>
      </c>
    </row>
    <row r="2270" spans="1:14">
      <c r="A2270" s="186">
        <v>8938</v>
      </c>
      <c r="B2270" t="s">
        <v>2925</v>
      </c>
      <c r="C2270">
        <v>51.1</v>
      </c>
      <c r="D2270">
        <v>50.6</v>
      </c>
      <c r="E2270" s="178">
        <v>-0.8</v>
      </c>
      <c r="F2270" s="176">
        <v>-1.56</v>
      </c>
      <c r="G2270" t="s">
        <v>6957</v>
      </c>
      <c r="H2270">
        <v>251</v>
      </c>
      <c r="I2270">
        <v>127</v>
      </c>
      <c r="J2270">
        <v>15.7</v>
      </c>
      <c r="K2270">
        <v>51.1</v>
      </c>
      <c r="L2270">
        <v>50.3</v>
      </c>
      <c r="M2270" s="175">
        <v>0.16</v>
      </c>
      <c r="N2270" t="s">
        <v>3959</v>
      </c>
    </row>
    <row r="2271" spans="1:14">
      <c r="A2271" s="186">
        <v>8940</v>
      </c>
      <c r="B2271" t="s">
        <v>2926</v>
      </c>
      <c r="C2271">
        <v>15.05</v>
      </c>
      <c r="D2271">
        <v>15.3</v>
      </c>
      <c r="E2271" s="178">
        <v>0.15</v>
      </c>
      <c r="F2271" s="176">
        <v>0.99</v>
      </c>
      <c r="G2271" t="s">
        <v>5368</v>
      </c>
      <c r="H2271">
        <v>132</v>
      </c>
      <c r="I2271">
        <v>50</v>
      </c>
      <c r="J2271">
        <v>6.75</v>
      </c>
      <c r="K2271">
        <v>15.3</v>
      </c>
      <c r="L2271">
        <v>14.85</v>
      </c>
      <c r="M2271" s="175">
        <v>0.2</v>
      </c>
      <c r="N2271" t="s">
        <v>2927</v>
      </c>
    </row>
    <row r="2272" spans="1:14">
      <c r="A2272" s="186">
        <v>8941</v>
      </c>
      <c r="B2272" t="s">
        <v>2928</v>
      </c>
      <c r="C2272">
        <v>44</v>
      </c>
      <c r="D2272">
        <v>44</v>
      </c>
      <c r="E2272" s="178">
        <v>0</v>
      </c>
      <c r="F2272" s="176">
        <v>0</v>
      </c>
      <c r="G2272" t="s">
        <v>6958</v>
      </c>
      <c r="H2272">
        <v>1</v>
      </c>
      <c r="I2272">
        <v>6</v>
      </c>
      <c r="J2272">
        <v>3.5</v>
      </c>
      <c r="K2272">
        <v>44</v>
      </c>
      <c r="L2272">
        <v>44</v>
      </c>
      <c r="M2272" s="175">
        <v>0</v>
      </c>
      <c r="N2272" t="s">
        <v>2929</v>
      </c>
    </row>
    <row r="2273" spans="1:14">
      <c r="A2273" s="186">
        <v>8942</v>
      </c>
      <c r="B2273" t="s">
        <v>2930</v>
      </c>
      <c r="C2273">
        <v>42.7</v>
      </c>
      <c r="D2273">
        <v>42.15</v>
      </c>
      <c r="E2273" s="178">
        <v>-0.55000000000000004</v>
      </c>
      <c r="F2273" s="176">
        <v>-1.29</v>
      </c>
      <c r="G2273" t="s">
        <v>6322</v>
      </c>
      <c r="H2273">
        <v>203</v>
      </c>
      <c r="I2273">
        <v>325</v>
      </c>
      <c r="J2273">
        <v>19.88</v>
      </c>
      <c r="K2273">
        <v>42.8</v>
      </c>
      <c r="L2273">
        <v>42</v>
      </c>
      <c r="M2273" s="175">
        <v>0.1</v>
      </c>
      <c r="N2273" t="s">
        <v>2931</v>
      </c>
    </row>
    <row r="2274" spans="1:14">
      <c r="A2274" s="186">
        <v>8996</v>
      </c>
      <c r="B2274" t="s">
        <v>2932</v>
      </c>
      <c r="C2274">
        <v>1240</v>
      </c>
      <c r="D2274">
        <v>1175</v>
      </c>
      <c r="E2274" s="178">
        <v>-90</v>
      </c>
      <c r="F2274" s="176">
        <v>-7.11</v>
      </c>
      <c r="G2274" t="s">
        <v>6959</v>
      </c>
      <c r="H2274">
        <v>3298</v>
      </c>
      <c r="I2274">
        <v>4413</v>
      </c>
      <c r="J2274">
        <v>9.35</v>
      </c>
      <c r="K2274">
        <v>1240</v>
      </c>
      <c r="L2274">
        <v>1140</v>
      </c>
      <c r="M2274" s="175">
        <v>3.53</v>
      </c>
      <c r="N2274" t="s">
        <v>2933</v>
      </c>
    </row>
    <row r="2275" spans="1:14">
      <c r="A2275" s="186">
        <v>9802</v>
      </c>
      <c r="B2275" t="s">
        <v>2934</v>
      </c>
      <c r="C2275">
        <v>70.900000000000006</v>
      </c>
      <c r="D2275">
        <v>71.5</v>
      </c>
      <c r="E2275" s="178">
        <v>-0.2</v>
      </c>
      <c r="F2275" s="176">
        <v>-0.28000000000000003</v>
      </c>
      <c r="G2275" t="s">
        <v>6960</v>
      </c>
      <c r="H2275">
        <v>170</v>
      </c>
      <c r="I2275">
        <v>373</v>
      </c>
      <c r="J2275">
        <v>20.100000000000001</v>
      </c>
      <c r="K2275">
        <v>72</v>
      </c>
      <c r="L2275">
        <v>70.900000000000006</v>
      </c>
      <c r="M2275" s="175">
        <v>0.08</v>
      </c>
      <c r="N2275" t="s">
        <v>2935</v>
      </c>
    </row>
    <row r="2276" spans="1:14">
      <c r="A2276" s="186">
        <v>9902</v>
      </c>
      <c r="B2276" t="s">
        <v>2936</v>
      </c>
      <c r="C2276">
        <v>13.7</v>
      </c>
      <c r="D2276">
        <v>13.7</v>
      </c>
      <c r="E2276" s="178">
        <v>0.1</v>
      </c>
      <c r="F2276" s="176">
        <v>0.74</v>
      </c>
      <c r="G2276" t="s">
        <v>6602</v>
      </c>
      <c r="H2276">
        <v>63</v>
      </c>
      <c r="I2276">
        <v>74</v>
      </c>
      <c r="J2276">
        <v>9.8000000000000007</v>
      </c>
      <c r="K2276">
        <v>13.75</v>
      </c>
      <c r="L2276">
        <v>13.6</v>
      </c>
      <c r="M2276" s="175">
        <v>0.06</v>
      </c>
      <c r="N2276" t="s">
        <v>2937</v>
      </c>
    </row>
    <row r="2277" spans="1:14">
      <c r="A2277" s="186">
        <v>9904</v>
      </c>
      <c r="B2277" t="s">
        <v>2938</v>
      </c>
      <c r="C2277">
        <v>24.4</v>
      </c>
      <c r="D2277">
        <v>24.85</v>
      </c>
      <c r="E2277" s="178">
        <v>0.5</v>
      </c>
      <c r="F2277" s="176">
        <v>2.0499999999999998</v>
      </c>
      <c r="G2277" t="s">
        <v>5460</v>
      </c>
      <c r="H2277">
        <v>19155</v>
      </c>
      <c r="I2277">
        <v>13971</v>
      </c>
      <c r="J2277">
        <v>294.68</v>
      </c>
      <c r="K2277">
        <v>24.85</v>
      </c>
      <c r="L2277">
        <v>24.25</v>
      </c>
      <c r="M2277" s="175">
        <v>0.65</v>
      </c>
      <c r="N2277" t="s">
        <v>2939</v>
      </c>
    </row>
    <row r="2278" spans="1:14">
      <c r="A2278" s="186">
        <v>9905</v>
      </c>
      <c r="B2278" t="s">
        <v>2940</v>
      </c>
      <c r="C2278">
        <v>21.55</v>
      </c>
      <c r="D2278">
        <v>21.5</v>
      </c>
      <c r="E2278" s="178">
        <v>-0.05</v>
      </c>
      <c r="F2278" s="176">
        <v>-0.23</v>
      </c>
      <c r="G2278" t="s">
        <v>5164</v>
      </c>
      <c r="H2278">
        <v>57</v>
      </c>
      <c r="I2278">
        <v>102</v>
      </c>
      <c r="J2278">
        <v>30.5</v>
      </c>
      <c r="K2278">
        <v>21.55</v>
      </c>
      <c r="L2278">
        <v>21.4</v>
      </c>
      <c r="M2278" s="175">
        <v>0.02</v>
      </c>
      <c r="N2278" t="s">
        <v>2941</v>
      </c>
    </row>
    <row r="2279" spans="1:14">
      <c r="A2279" s="186">
        <v>9906</v>
      </c>
      <c r="B2279" t="s">
        <v>2942</v>
      </c>
      <c r="C2279">
        <v>40</v>
      </c>
      <c r="D2279">
        <v>40.9</v>
      </c>
      <c r="E2279" s="178">
        <v>0.2</v>
      </c>
      <c r="F2279" s="176">
        <v>0.49</v>
      </c>
      <c r="G2279" t="s">
        <v>5218</v>
      </c>
      <c r="H2279">
        <v>37</v>
      </c>
      <c r="I2279">
        <v>42</v>
      </c>
      <c r="J2279">
        <v>9.0399999999999991</v>
      </c>
      <c r="K2279">
        <v>40.9</v>
      </c>
      <c r="L2279">
        <v>39.950000000000003</v>
      </c>
      <c r="M2279" s="175">
        <v>0.04</v>
      </c>
      <c r="N2279" t="s">
        <v>2943</v>
      </c>
    </row>
    <row r="2280" spans="1:14">
      <c r="A2280" s="186">
        <v>9907</v>
      </c>
      <c r="B2280" t="s">
        <v>2944</v>
      </c>
      <c r="C2280">
        <v>15.35</v>
      </c>
      <c r="D2280">
        <v>15.25</v>
      </c>
      <c r="E2280" s="178">
        <v>-0.1</v>
      </c>
      <c r="F2280" s="176">
        <v>-0.65</v>
      </c>
      <c r="G2280" t="s">
        <v>6961</v>
      </c>
      <c r="H2280">
        <v>2805</v>
      </c>
      <c r="I2280">
        <v>2095</v>
      </c>
      <c r="J2280">
        <v>157.91</v>
      </c>
      <c r="K2280">
        <v>15.4</v>
      </c>
      <c r="L2280">
        <v>15.25</v>
      </c>
      <c r="M2280" s="175">
        <v>0.18</v>
      </c>
      <c r="N2280" t="s">
        <v>2945</v>
      </c>
    </row>
    <row r="2281" spans="1:14">
      <c r="A2281" s="186">
        <v>9908</v>
      </c>
      <c r="B2281" t="s">
        <v>2946</v>
      </c>
      <c r="C2281">
        <v>29</v>
      </c>
      <c r="D2281">
        <v>29</v>
      </c>
      <c r="E2281" s="178">
        <v>-0.05</v>
      </c>
      <c r="F2281" s="176">
        <v>-0.17</v>
      </c>
      <c r="G2281" t="s">
        <v>6360</v>
      </c>
      <c r="H2281">
        <v>66</v>
      </c>
      <c r="I2281">
        <v>109</v>
      </c>
      <c r="J2281">
        <v>51.64</v>
      </c>
      <c r="K2281">
        <v>29</v>
      </c>
      <c r="L2281">
        <v>28.95</v>
      </c>
      <c r="M2281" s="175">
        <v>0.01</v>
      </c>
      <c r="N2281" t="s">
        <v>2947</v>
      </c>
    </row>
    <row r="2282" spans="1:14">
      <c r="A2282" s="186">
        <v>9910</v>
      </c>
      <c r="B2282" t="s">
        <v>2948</v>
      </c>
      <c r="C2282">
        <v>68.400000000000006</v>
      </c>
      <c r="D2282">
        <v>67.7</v>
      </c>
      <c r="E2282" s="178">
        <v>-0.5</v>
      </c>
      <c r="F2282" s="176">
        <v>-0.73</v>
      </c>
      <c r="G2282" t="s">
        <v>6962</v>
      </c>
      <c r="H2282">
        <v>1378</v>
      </c>
      <c r="I2282">
        <v>1060</v>
      </c>
      <c r="J2282">
        <v>98.75</v>
      </c>
      <c r="K2282">
        <v>68.5</v>
      </c>
      <c r="L2282">
        <v>67.7</v>
      </c>
      <c r="M2282" s="175">
        <v>0.14000000000000001</v>
      </c>
      <c r="N2282" t="s">
        <v>2949</v>
      </c>
    </row>
    <row r="2283" spans="1:14">
      <c r="A2283" s="186">
        <v>9911</v>
      </c>
      <c r="B2283" t="s">
        <v>2950</v>
      </c>
      <c r="C2283">
        <v>82.3</v>
      </c>
      <c r="D2283">
        <v>83</v>
      </c>
      <c r="E2283" s="178">
        <v>0.1</v>
      </c>
      <c r="F2283" s="176">
        <v>0.12</v>
      </c>
      <c r="G2283" t="s">
        <v>6963</v>
      </c>
      <c r="H2283">
        <v>191</v>
      </c>
      <c r="I2283">
        <v>123</v>
      </c>
      <c r="J2283">
        <v>22.23</v>
      </c>
      <c r="K2283">
        <v>83</v>
      </c>
      <c r="L2283">
        <v>82.3</v>
      </c>
      <c r="M2283" s="175">
        <v>0.09</v>
      </c>
      <c r="N2283" t="s">
        <v>4751</v>
      </c>
    </row>
    <row r="2284" spans="1:14">
      <c r="A2284" s="186">
        <v>9912</v>
      </c>
      <c r="B2284" t="s">
        <v>2951</v>
      </c>
      <c r="C2284">
        <v>13.05</v>
      </c>
      <c r="D2284">
        <v>12.9</v>
      </c>
      <c r="E2284" s="178">
        <v>-1.2</v>
      </c>
      <c r="F2284" s="176">
        <v>-8.51</v>
      </c>
      <c r="G2284" t="s">
        <v>6793</v>
      </c>
      <c r="H2284">
        <v>545</v>
      </c>
      <c r="I2284">
        <v>348</v>
      </c>
      <c r="J2284">
        <v>5.38</v>
      </c>
      <c r="K2284">
        <v>13.6</v>
      </c>
      <c r="L2284">
        <v>12.9</v>
      </c>
      <c r="M2284" s="175">
        <v>1.01</v>
      </c>
      <c r="N2284" t="s">
        <v>2952</v>
      </c>
    </row>
    <row r="2285" spans="1:14">
      <c r="A2285" s="186">
        <v>9914</v>
      </c>
      <c r="B2285" t="s">
        <v>2953</v>
      </c>
      <c r="C2285">
        <v>83.1</v>
      </c>
      <c r="D2285">
        <v>81.900000000000006</v>
      </c>
      <c r="E2285" s="178">
        <v>-1.2</v>
      </c>
      <c r="F2285" s="176">
        <v>-1.44</v>
      </c>
      <c r="G2285" t="s">
        <v>5201</v>
      </c>
      <c r="H2285">
        <v>1248</v>
      </c>
      <c r="I2285">
        <v>1875</v>
      </c>
      <c r="J2285">
        <v>29.9</v>
      </c>
      <c r="K2285">
        <v>83.2</v>
      </c>
      <c r="L2285">
        <v>81.8</v>
      </c>
      <c r="M2285" s="175">
        <v>0.42</v>
      </c>
      <c r="N2285" t="s">
        <v>2954</v>
      </c>
    </row>
    <row r="2286" spans="1:14">
      <c r="A2286" s="186">
        <v>9917</v>
      </c>
      <c r="B2286" t="s">
        <v>2955</v>
      </c>
      <c r="C2286">
        <v>106.5</v>
      </c>
      <c r="D2286">
        <v>106</v>
      </c>
      <c r="E2286" s="178">
        <v>0.5</v>
      </c>
      <c r="F2286" s="176">
        <v>0.47</v>
      </c>
      <c r="G2286" t="s">
        <v>6964</v>
      </c>
      <c r="H2286">
        <v>820</v>
      </c>
      <c r="I2286">
        <v>277</v>
      </c>
      <c r="J2286">
        <v>47.38</v>
      </c>
      <c r="K2286">
        <v>106.5</v>
      </c>
      <c r="L2286">
        <v>105</v>
      </c>
      <c r="M2286" s="175">
        <v>0.17</v>
      </c>
      <c r="N2286" t="s">
        <v>2956</v>
      </c>
    </row>
    <row r="2287" spans="1:14">
      <c r="A2287" s="186">
        <v>9918</v>
      </c>
      <c r="B2287" t="s">
        <v>2957</v>
      </c>
      <c r="C2287">
        <v>43</v>
      </c>
      <c r="D2287">
        <v>42.75</v>
      </c>
      <c r="E2287" s="178">
        <v>-0.25</v>
      </c>
      <c r="F2287" s="176">
        <v>-0.57999999999999996</v>
      </c>
      <c r="G2287" t="s">
        <v>5222</v>
      </c>
      <c r="H2287">
        <v>25</v>
      </c>
      <c r="I2287">
        <v>18</v>
      </c>
      <c r="J2287">
        <v>18.05</v>
      </c>
      <c r="K2287">
        <v>43</v>
      </c>
      <c r="L2287">
        <v>42.7</v>
      </c>
      <c r="M2287" s="175">
        <v>0.01</v>
      </c>
      <c r="N2287" t="s">
        <v>2958</v>
      </c>
    </row>
    <row r="2288" spans="1:14">
      <c r="A2288" s="186">
        <v>9919</v>
      </c>
      <c r="B2288" t="s">
        <v>2959</v>
      </c>
      <c r="C2288">
        <v>13.85</v>
      </c>
      <c r="D2288">
        <v>13.95</v>
      </c>
      <c r="E2288" s="178">
        <v>0.1</v>
      </c>
      <c r="F2288" s="176">
        <v>0.72</v>
      </c>
      <c r="G2288" t="s">
        <v>5368</v>
      </c>
      <c r="H2288">
        <v>143</v>
      </c>
      <c r="I2288">
        <v>178</v>
      </c>
      <c r="J2288">
        <v>19.54</v>
      </c>
      <c r="K2288">
        <v>14</v>
      </c>
      <c r="L2288">
        <v>13.85</v>
      </c>
      <c r="M2288" s="175">
        <v>7.0000000000000007E-2</v>
      </c>
      <c r="N2288" t="s">
        <v>2960</v>
      </c>
    </row>
    <row r="2289" spans="1:14">
      <c r="A2289" s="186">
        <v>9921</v>
      </c>
      <c r="B2289" t="s">
        <v>2961</v>
      </c>
      <c r="C2289">
        <v>102.5</v>
      </c>
      <c r="D2289">
        <v>102</v>
      </c>
      <c r="E2289" s="178">
        <v>-1</v>
      </c>
      <c r="F2289" s="176">
        <v>-0.97</v>
      </c>
      <c r="G2289" t="s">
        <v>5692</v>
      </c>
      <c r="H2289">
        <v>1610</v>
      </c>
      <c r="I2289">
        <v>2233</v>
      </c>
      <c r="J2289">
        <v>39.21</v>
      </c>
      <c r="K2289">
        <v>102.5</v>
      </c>
      <c r="L2289">
        <v>100</v>
      </c>
      <c r="M2289" s="175">
        <v>0.41</v>
      </c>
      <c r="N2289" t="s">
        <v>2962</v>
      </c>
    </row>
    <row r="2290" spans="1:14">
      <c r="A2290" s="186">
        <v>9924</v>
      </c>
      <c r="B2290" t="s">
        <v>4671</v>
      </c>
      <c r="C2290">
        <v>38.5</v>
      </c>
      <c r="D2290">
        <v>38.4</v>
      </c>
      <c r="E2290" s="178">
        <v>-0.25</v>
      </c>
      <c r="F2290" s="176">
        <v>-0.65</v>
      </c>
      <c r="G2290" t="s">
        <v>5281</v>
      </c>
      <c r="H2290">
        <v>96</v>
      </c>
      <c r="I2290">
        <v>96</v>
      </c>
      <c r="J2290">
        <v>15.08</v>
      </c>
      <c r="K2290">
        <v>38.5</v>
      </c>
      <c r="L2290">
        <v>38.299999999999997</v>
      </c>
      <c r="M2290" s="175">
        <v>0.06</v>
      </c>
      <c r="N2290" t="s">
        <v>4672</v>
      </c>
    </row>
    <row r="2291" spans="1:14">
      <c r="A2291" s="186">
        <v>9925</v>
      </c>
      <c r="B2291" t="s">
        <v>2963</v>
      </c>
      <c r="C2291">
        <v>39.85</v>
      </c>
      <c r="D2291">
        <v>39.299999999999997</v>
      </c>
      <c r="E2291" s="178">
        <v>-0.55000000000000004</v>
      </c>
      <c r="F2291" s="176">
        <v>-1.38</v>
      </c>
      <c r="G2291" t="s">
        <v>5999</v>
      </c>
      <c r="H2291">
        <v>10658</v>
      </c>
      <c r="I2291">
        <v>840</v>
      </c>
      <c r="J2291">
        <v>38.75</v>
      </c>
      <c r="K2291">
        <v>40.15</v>
      </c>
      <c r="L2291">
        <v>39.299999999999997</v>
      </c>
      <c r="M2291" s="175">
        <v>2.75</v>
      </c>
      <c r="N2291" t="s">
        <v>2964</v>
      </c>
    </row>
    <row r="2292" spans="1:14">
      <c r="A2292" s="186">
        <v>9926</v>
      </c>
      <c r="B2292" t="s">
        <v>2965</v>
      </c>
      <c r="C2292">
        <v>48.7</v>
      </c>
      <c r="D2292">
        <v>48.85</v>
      </c>
      <c r="E2292" s="178">
        <v>-0.25</v>
      </c>
      <c r="F2292" s="176">
        <v>-0.51</v>
      </c>
      <c r="G2292" t="s">
        <v>5452</v>
      </c>
      <c r="H2292">
        <v>10</v>
      </c>
      <c r="I2292">
        <v>12</v>
      </c>
      <c r="J2292">
        <v>17.95</v>
      </c>
      <c r="K2292">
        <v>49</v>
      </c>
      <c r="L2292">
        <v>48.7</v>
      </c>
      <c r="M2292" s="175">
        <v>0.01</v>
      </c>
      <c r="N2292" t="s">
        <v>2966</v>
      </c>
    </row>
    <row r="2293" spans="1:14">
      <c r="A2293" s="186">
        <v>9927</v>
      </c>
      <c r="B2293" t="s">
        <v>2967</v>
      </c>
      <c r="C2293">
        <v>69.2</v>
      </c>
      <c r="D2293">
        <v>69.8</v>
      </c>
      <c r="E2293" s="178">
        <v>0.7</v>
      </c>
      <c r="F2293" s="176">
        <v>1.01</v>
      </c>
      <c r="G2293" t="s">
        <v>5597</v>
      </c>
      <c r="H2293">
        <v>139</v>
      </c>
      <c r="I2293">
        <v>53</v>
      </c>
      <c r="J2293">
        <v>12</v>
      </c>
      <c r="K2293">
        <v>70</v>
      </c>
      <c r="L2293">
        <v>68.7</v>
      </c>
      <c r="M2293" s="175">
        <v>0.12</v>
      </c>
      <c r="N2293" t="s">
        <v>4735</v>
      </c>
    </row>
    <row r="2294" spans="1:14">
      <c r="A2294" s="186">
        <v>9928</v>
      </c>
      <c r="B2294" t="s">
        <v>2968</v>
      </c>
      <c r="C2294">
        <v>17.95</v>
      </c>
      <c r="D2294">
        <v>17.899999999999999</v>
      </c>
      <c r="E2294" s="178">
        <v>-0.05</v>
      </c>
      <c r="F2294" s="176">
        <v>-0.28000000000000003</v>
      </c>
      <c r="G2294" t="s">
        <v>6570</v>
      </c>
      <c r="H2294">
        <v>33</v>
      </c>
      <c r="I2294">
        <v>56</v>
      </c>
      <c r="J2294">
        <v>7.07</v>
      </c>
      <c r="K2294">
        <v>17.95</v>
      </c>
      <c r="L2294">
        <v>17.75</v>
      </c>
      <c r="M2294" s="175">
        <v>0.05</v>
      </c>
      <c r="N2294" t="s">
        <v>2969</v>
      </c>
    </row>
    <row r="2295" spans="1:14">
      <c r="A2295" s="186">
        <v>9929</v>
      </c>
      <c r="B2295" t="s">
        <v>2970</v>
      </c>
      <c r="C2295">
        <v>11</v>
      </c>
      <c r="D2295">
        <v>11</v>
      </c>
      <c r="E2295" s="178">
        <v>-0.3</v>
      </c>
      <c r="F2295" s="176">
        <v>-2.65</v>
      </c>
      <c r="G2295" t="s">
        <v>6965</v>
      </c>
      <c r="H2295">
        <v>1</v>
      </c>
      <c r="I2295">
        <v>5</v>
      </c>
      <c r="J2295">
        <v>10.130000000000001</v>
      </c>
      <c r="K2295">
        <v>11</v>
      </c>
      <c r="L2295">
        <v>11</v>
      </c>
      <c r="M2295" s="175">
        <v>0</v>
      </c>
      <c r="N2295" t="s">
        <v>2971</v>
      </c>
    </row>
    <row r="2296" spans="1:14">
      <c r="A2296" s="186">
        <v>9930</v>
      </c>
      <c r="B2296" t="s">
        <v>2972</v>
      </c>
      <c r="C2296">
        <v>63</v>
      </c>
      <c r="D2296">
        <v>63</v>
      </c>
      <c r="E2296" s="178">
        <v>-0.1</v>
      </c>
      <c r="F2296" s="176">
        <v>-0.16</v>
      </c>
      <c r="G2296" t="s">
        <v>6966</v>
      </c>
      <c r="H2296">
        <v>76</v>
      </c>
      <c r="I2296">
        <v>77</v>
      </c>
      <c r="J2296">
        <v>24.85</v>
      </c>
      <c r="K2296">
        <v>63</v>
      </c>
      <c r="L2296">
        <v>62.5</v>
      </c>
      <c r="M2296" s="175">
        <v>0.03</v>
      </c>
      <c r="N2296" t="s">
        <v>2973</v>
      </c>
    </row>
    <row r="2297" spans="1:14">
      <c r="A2297" s="186">
        <v>9931</v>
      </c>
      <c r="B2297" t="s">
        <v>2974</v>
      </c>
      <c r="C2297">
        <v>33.85</v>
      </c>
      <c r="D2297">
        <v>33.9</v>
      </c>
      <c r="E2297" s="178">
        <v>0.05</v>
      </c>
      <c r="F2297" s="176">
        <v>0.15</v>
      </c>
      <c r="G2297" t="s">
        <v>5634</v>
      </c>
      <c r="H2297">
        <v>21</v>
      </c>
      <c r="I2297">
        <v>18</v>
      </c>
      <c r="J2297">
        <v>12.04</v>
      </c>
      <c r="K2297">
        <v>33.9</v>
      </c>
      <c r="L2297">
        <v>33.700000000000003</v>
      </c>
      <c r="M2297" s="175">
        <v>0.02</v>
      </c>
      <c r="N2297" t="s">
        <v>2975</v>
      </c>
    </row>
    <row r="2298" spans="1:14">
      <c r="A2298" s="186">
        <v>9933</v>
      </c>
      <c r="B2298" t="s">
        <v>2976</v>
      </c>
      <c r="C2298">
        <v>41</v>
      </c>
      <c r="D2298">
        <v>40.5</v>
      </c>
      <c r="E2298" s="178">
        <v>-0.1</v>
      </c>
      <c r="F2298" s="176">
        <v>-0.25</v>
      </c>
      <c r="G2298" t="s">
        <v>5185</v>
      </c>
      <c r="H2298">
        <v>2869</v>
      </c>
      <c r="I2298">
        <v>1715</v>
      </c>
      <c r="J2298">
        <v>94.44</v>
      </c>
      <c r="K2298">
        <v>41</v>
      </c>
      <c r="L2298">
        <v>40.049999999999997</v>
      </c>
      <c r="M2298" s="175">
        <v>0.32</v>
      </c>
      <c r="N2298" t="s">
        <v>2977</v>
      </c>
    </row>
    <row r="2299" spans="1:14">
      <c r="A2299" s="186">
        <v>9934</v>
      </c>
      <c r="B2299" t="s">
        <v>2978</v>
      </c>
      <c r="C2299">
        <v>11</v>
      </c>
      <c r="D2299">
        <v>11.05</v>
      </c>
      <c r="E2299" s="178">
        <v>-0.05</v>
      </c>
      <c r="F2299" s="176">
        <v>-0.45</v>
      </c>
      <c r="G2299" t="s">
        <v>6943</v>
      </c>
      <c r="H2299">
        <v>477</v>
      </c>
      <c r="I2299">
        <v>758</v>
      </c>
      <c r="J2299">
        <v>41.1</v>
      </c>
      <c r="K2299">
        <v>11.1</v>
      </c>
      <c r="L2299">
        <v>11</v>
      </c>
      <c r="M2299" s="175">
        <v>0.12</v>
      </c>
      <c r="N2299" t="s">
        <v>2979</v>
      </c>
    </row>
    <row r="2300" spans="1:14">
      <c r="A2300" s="186">
        <v>9935</v>
      </c>
      <c r="B2300" t="s">
        <v>2980</v>
      </c>
      <c r="C2300">
        <v>19.7</v>
      </c>
      <c r="D2300">
        <v>19.600000000000001</v>
      </c>
      <c r="E2300" s="178">
        <v>-0.1</v>
      </c>
      <c r="F2300" s="176">
        <v>-0.51</v>
      </c>
      <c r="G2300" t="s">
        <v>6967</v>
      </c>
      <c r="H2300">
        <v>374</v>
      </c>
      <c r="I2300">
        <v>387</v>
      </c>
      <c r="J2300">
        <v>17.78</v>
      </c>
      <c r="K2300">
        <v>20</v>
      </c>
      <c r="L2300">
        <v>19.55</v>
      </c>
      <c r="M2300" s="175">
        <v>0.21</v>
      </c>
      <c r="N2300" t="s">
        <v>2981</v>
      </c>
    </row>
    <row r="2301" spans="1:14">
      <c r="A2301" s="186">
        <v>9937</v>
      </c>
      <c r="B2301" t="s">
        <v>2982</v>
      </c>
      <c r="C2301">
        <v>54.8</v>
      </c>
      <c r="D2301">
        <v>55</v>
      </c>
      <c r="E2301" s="178">
        <v>-0.1</v>
      </c>
      <c r="F2301" s="176">
        <v>-0.18</v>
      </c>
      <c r="G2301" t="s">
        <v>6041</v>
      </c>
      <c r="H2301">
        <v>43</v>
      </c>
      <c r="I2301">
        <v>19</v>
      </c>
      <c r="J2301">
        <v>30.9</v>
      </c>
      <c r="K2301">
        <v>55</v>
      </c>
      <c r="L2301">
        <v>54.6</v>
      </c>
      <c r="M2301" s="175">
        <v>0.01</v>
      </c>
      <c r="N2301" t="s">
        <v>4388</v>
      </c>
    </row>
    <row r="2302" spans="1:14">
      <c r="A2302" s="186">
        <v>9938</v>
      </c>
      <c r="B2302" t="s">
        <v>2983</v>
      </c>
      <c r="C2302">
        <v>42.05</v>
      </c>
      <c r="D2302">
        <v>41.85</v>
      </c>
      <c r="E2302" s="178">
        <v>-0.25</v>
      </c>
      <c r="F2302" s="176">
        <v>-0.59</v>
      </c>
      <c r="G2302" t="s">
        <v>6968</v>
      </c>
      <c r="H2302">
        <v>689</v>
      </c>
      <c r="I2302">
        <v>643</v>
      </c>
      <c r="J2302">
        <v>29.8</v>
      </c>
      <c r="K2302">
        <v>42.1</v>
      </c>
      <c r="L2302">
        <v>41.85</v>
      </c>
      <c r="M2302" s="175">
        <v>0.23</v>
      </c>
      <c r="N2302" t="s">
        <v>2828</v>
      </c>
    </row>
    <row r="2303" spans="1:14">
      <c r="A2303" s="186">
        <v>9939</v>
      </c>
      <c r="B2303" t="s">
        <v>2984</v>
      </c>
      <c r="C2303">
        <v>131</v>
      </c>
      <c r="D2303">
        <v>131.5</v>
      </c>
      <c r="E2303" s="178">
        <v>-0.5</v>
      </c>
      <c r="F2303" s="176">
        <v>-0.38</v>
      </c>
      <c r="G2303" t="s">
        <v>5149</v>
      </c>
      <c r="H2303">
        <v>890</v>
      </c>
      <c r="I2303">
        <v>703</v>
      </c>
      <c r="J2303">
        <v>29.58</v>
      </c>
      <c r="K2303">
        <v>133</v>
      </c>
      <c r="L2303">
        <v>130</v>
      </c>
      <c r="M2303" s="175">
        <v>0.3</v>
      </c>
      <c r="N2303" t="s">
        <v>2985</v>
      </c>
    </row>
    <row r="2304" spans="1:14">
      <c r="A2304" s="186">
        <v>9940</v>
      </c>
      <c r="B2304" t="s">
        <v>2986</v>
      </c>
      <c r="C2304">
        <v>20.5</v>
      </c>
      <c r="D2304">
        <v>20.149999999999999</v>
      </c>
      <c r="E2304" s="178">
        <v>-0.35</v>
      </c>
      <c r="F2304" s="176">
        <v>-1.71</v>
      </c>
      <c r="G2304" t="s">
        <v>5889</v>
      </c>
      <c r="H2304">
        <v>511</v>
      </c>
      <c r="I2304">
        <v>262</v>
      </c>
      <c r="J2304">
        <v>73.680000000000007</v>
      </c>
      <c r="K2304">
        <v>20.55</v>
      </c>
      <c r="L2304">
        <v>20.100000000000001</v>
      </c>
      <c r="M2304" s="175">
        <v>7.0000000000000007E-2</v>
      </c>
      <c r="N2304" t="s">
        <v>2987</v>
      </c>
    </row>
    <row r="2305" spans="1:14">
      <c r="A2305" s="186">
        <v>9941</v>
      </c>
      <c r="B2305" t="s">
        <v>2988</v>
      </c>
      <c r="C2305">
        <v>86.5</v>
      </c>
      <c r="D2305">
        <v>86.9</v>
      </c>
      <c r="E2305" s="178">
        <v>0.3</v>
      </c>
      <c r="F2305" s="176">
        <v>0.35</v>
      </c>
      <c r="G2305" t="s">
        <v>5575</v>
      </c>
      <c r="H2305">
        <v>2241</v>
      </c>
      <c r="I2305">
        <v>1777</v>
      </c>
      <c r="J2305">
        <v>57.56</v>
      </c>
      <c r="K2305">
        <v>86.9</v>
      </c>
      <c r="L2305">
        <v>85.4</v>
      </c>
      <c r="M2305" s="175">
        <v>0.38</v>
      </c>
      <c r="N2305" t="s">
        <v>2989</v>
      </c>
    </row>
    <row r="2306" spans="1:14">
      <c r="A2306" s="186">
        <v>9942</v>
      </c>
      <c r="B2306" t="s">
        <v>2990</v>
      </c>
      <c r="C2306">
        <v>116</v>
      </c>
      <c r="D2306">
        <v>116</v>
      </c>
      <c r="E2306" s="178">
        <v>0</v>
      </c>
      <c r="F2306" s="176">
        <v>0</v>
      </c>
      <c r="G2306" t="s">
        <v>6969</v>
      </c>
      <c r="H2306">
        <v>78</v>
      </c>
      <c r="I2306">
        <v>92</v>
      </c>
      <c r="J2306">
        <v>8.32</v>
      </c>
      <c r="K2306">
        <v>116</v>
      </c>
      <c r="L2306">
        <v>114.5</v>
      </c>
      <c r="M2306" s="175">
        <v>0.09</v>
      </c>
      <c r="N2306" t="s">
        <v>2991</v>
      </c>
    </row>
    <row r="2307" spans="1:14">
      <c r="A2307" s="186">
        <v>9943</v>
      </c>
      <c r="B2307" t="s">
        <v>2992</v>
      </c>
      <c r="C2307">
        <v>50.7</v>
      </c>
      <c r="D2307">
        <v>51.1</v>
      </c>
      <c r="E2307" s="178">
        <v>-0.1</v>
      </c>
      <c r="F2307" s="176">
        <v>-0.2</v>
      </c>
      <c r="G2307" t="s">
        <v>5350</v>
      </c>
      <c r="H2307">
        <v>65</v>
      </c>
      <c r="I2307">
        <v>31</v>
      </c>
      <c r="J2307">
        <v>12.52</v>
      </c>
      <c r="K2307">
        <v>51.4</v>
      </c>
      <c r="L2307">
        <v>50.5</v>
      </c>
      <c r="M2307" s="175">
        <v>0.05</v>
      </c>
      <c r="N2307" t="s">
        <v>2993</v>
      </c>
    </row>
    <row r="2308" spans="1:14">
      <c r="A2308" s="186">
        <v>9944</v>
      </c>
      <c r="B2308" t="s">
        <v>2994</v>
      </c>
      <c r="C2308">
        <v>17.350000000000001</v>
      </c>
      <c r="D2308">
        <v>17.2</v>
      </c>
      <c r="E2308" s="178">
        <v>-0.15</v>
      </c>
      <c r="F2308" s="176">
        <v>-0.86</v>
      </c>
      <c r="G2308" t="s">
        <v>5683</v>
      </c>
      <c r="H2308">
        <v>20</v>
      </c>
      <c r="I2308">
        <v>29</v>
      </c>
      <c r="J2308">
        <v>10.59</v>
      </c>
      <c r="K2308">
        <v>17.45</v>
      </c>
      <c r="L2308">
        <v>17.2</v>
      </c>
      <c r="M2308" s="175">
        <v>0.02</v>
      </c>
      <c r="N2308" t="s">
        <v>2995</v>
      </c>
    </row>
    <row r="2309" spans="1:14">
      <c r="A2309" s="186">
        <v>9945</v>
      </c>
      <c r="B2309" t="s">
        <v>2996</v>
      </c>
      <c r="C2309">
        <v>27.9</v>
      </c>
      <c r="D2309">
        <v>27.8</v>
      </c>
      <c r="E2309" s="178">
        <v>-0.2</v>
      </c>
      <c r="F2309" s="176">
        <v>-0.71</v>
      </c>
      <c r="G2309" t="s">
        <v>5404</v>
      </c>
      <c r="H2309">
        <v>4424</v>
      </c>
      <c r="I2309">
        <v>7400</v>
      </c>
      <c r="J2309">
        <v>284.42</v>
      </c>
      <c r="K2309">
        <v>28</v>
      </c>
      <c r="L2309">
        <v>27.7</v>
      </c>
      <c r="M2309" s="175">
        <v>0.16</v>
      </c>
      <c r="N2309" t="s">
        <v>4237</v>
      </c>
    </row>
    <row r="2310" spans="1:14">
      <c r="A2310" s="186">
        <v>9946</v>
      </c>
      <c r="B2310" t="s">
        <v>2997</v>
      </c>
      <c r="C2310">
        <v>17.45</v>
      </c>
      <c r="D2310">
        <v>17.25</v>
      </c>
      <c r="E2310" s="178">
        <v>-0.35</v>
      </c>
      <c r="F2310" s="176">
        <v>-1.99</v>
      </c>
      <c r="G2310" t="s">
        <v>6970</v>
      </c>
      <c r="H2310">
        <v>529</v>
      </c>
      <c r="I2310">
        <v>656</v>
      </c>
      <c r="J2310">
        <v>32.659999999999997</v>
      </c>
      <c r="K2310">
        <v>17.45</v>
      </c>
      <c r="L2310">
        <v>17.2</v>
      </c>
      <c r="M2310" s="175">
        <v>0.16</v>
      </c>
      <c r="N2310" t="s">
        <v>4552</v>
      </c>
    </row>
    <row r="2311" spans="1:14">
      <c r="A2311" s="186">
        <v>9949</v>
      </c>
      <c r="B2311" t="s">
        <v>2998</v>
      </c>
      <c r="C2311">
        <v>24.6</v>
      </c>
      <c r="D2311">
        <v>24.2</v>
      </c>
      <c r="E2311" s="178">
        <v>-0.8</v>
      </c>
      <c r="F2311" s="176">
        <v>-3.2</v>
      </c>
      <c r="G2311" t="s">
        <v>5687</v>
      </c>
      <c r="H2311">
        <v>41</v>
      </c>
      <c r="I2311">
        <v>631</v>
      </c>
      <c r="J2311">
        <v>4.49</v>
      </c>
      <c r="K2311">
        <v>25</v>
      </c>
      <c r="L2311">
        <v>24.2</v>
      </c>
      <c r="M2311" s="175">
        <v>0.09</v>
      </c>
      <c r="N2311" t="s">
        <v>2999</v>
      </c>
    </row>
    <row r="2312" spans="1:14">
      <c r="A2312" s="186">
        <v>9950</v>
      </c>
      <c r="B2312" t="s">
        <v>3000</v>
      </c>
      <c r="C2312">
        <v>10.199999999999999</v>
      </c>
      <c r="D2312">
        <v>10.35</v>
      </c>
      <c r="E2312" s="178">
        <v>0</v>
      </c>
      <c r="F2312" s="176">
        <v>0</v>
      </c>
      <c r="G2312" t="s">
        <v>6971</v>
      </c>
      <c r="H2312">
        <v>35</v>
      </c>
      <c r="I2312">
        <v>31</v>
      </c>
      <c r="J2312">
        <v>16.77</v>
      </c>
      <c r="K2312">
        <v>10.35</v>
      </c>
      <c r="L2312">
        <v>10.15</v>
      </c>
      <c r="M2312" s="175">
        <v>0.02</v>
      </c>
      <c r="N2312" t="s">
        <v>3001</v>
      </c>
    </row>
    <row r="2313" spans="1:14">
      <c r="A2313" s="186">
        <v>9951</v>
      </c>
      <c r="B2313" t="s">
        <v>3002</v>
      </c>
      <c r="C2313">
        <v>54.2</v>
      </c>
      <c r="D2313">
        <v>54</v>
      </c>
      <c r="E2313" s="178">
        <v>-0.2</v>
      </c>
      <c r="F2313" s="176">
        <v>-0.37</v>
      </c>
      <c r="G2313" t="s">
        <v>5313</v>
      </c>
      <c r="H2313">
        <v>52</v>
      </c>
      <c r="I2313">
        <v>48</v>
      </c>
      <c r="J2313">
        <v>7.33</v>
      </c>
      <c r="K2313">
        <v>54.2</v>
      </c>
      <c r="L2313">
        <v>53.9</v>
      </c>
      <c r="M2313" s="175">
        <v>7.0000000000000007E-2</v>
      </c>
      <c r="N2313" t="s">
        <v>3003</v>
      </c>
    </row>
    <row r="2314" spans="1:14">
      <c r="A2314" s="186">
        <v>9955</v>
      </c>
      <c r="B2314" t="s">
        <v>3004</v>
      </c>
      <c r="C2314">
        <v>24.45</v>
      </c>
      <c r="D2314">
        <v>24.2</v>
      </c>
      <c r="E2314" s="178">
        <v>-0.65</v>
      </c>
      <c r="F2314" s="176">
        <v>-2.62</v>
      </c>
      <c r="G2314" t="s">
        <v>6972</v>
      </c>
      <c r="H2314">
        <v>260</v>
      </c>
      <c r="I2314">
        <v>374</v>
      </c>
      <c r="J2314">
        <v>11.94</v>
      </c>
      <c r="K2314">
        <v>24.45</v>
      </c>
      <c r="L2314">
        <v>23.95</v>
      </c>
      <c r="M2314" s="175">
        <v>0.22</v>
      </c>
      <c r="N2314" t="s">
        <v>3005</v>
      </c>
    </row>
    <row r="2315" spans="1:14">
      <c r="A2315" s="186">
        <v>9958</v>
      </c>
      <c r="B2315" t="s">
        <v>3006</v>
      </c>
      <c r="C2315">
        <v>91.3</v>
      </c>
      <c r="D2315">
        <v>90.3</v>
      </c>
      <c r="E2315" s="178">
        <v>-1.9</v>
      </c>
      <c r="F2315" s="176">
        <v>-2.06</v>
      </c>
      <c r="G2315" t="s">
        <v>6339</v>
      </c>
      <c r="H2315">
        <v>2089</v>
      </c>
      <c r="I2315">
        <v>2589</v>
      </c>
      <c r="J2315">
        <v>26.69</v>
      </c>
      <c r="K2315">
        <v>91.4</v>
      </c>
      <c r="L2315">
        <v>90.2</v>
      </c>
      <c r="M2315" s="175">
        <v>0.78</v>
      </c>
      <c r="N2315" t="s">
        <v>4389</v>
      </c>
    </row>
    <row r="2316" spans="1:14">
      <c r="A2316" s="186">
        <v>9960</v>
      </c>
      <c r="B2316" t="s">
        <v>3007</v>
      </c>
      <c r="C2316">
        <v>29.1</v>
      </c>
      <c r="D2316">
        <v>30.25</v>
      </c>
      <c r="E2316" s="178">
        <v>0</v>
      </c>
      <c r="F2316" s="176">
        <v>0</v>
      </c>
      <c r="G2316" t="s">
        <v>6973</v>
      </c>
      <c r="H2316">
        <v>10</v>
      </c>
      <c r="I2316">
        <v>0</v>
      </c>
      <c r="J2316">
        <v>3.36</v>
      </c>
      <c r="K2316">
        <v>30.25</v>
      </c>
      <c r="L2316">
        <v>29.1</v>
      </c>
      <c r="M2316" s="175">
        <v>0.03</v>
      </c>
      <c r="N2316" t="s">
        <v>3008</v>
      </c>
    </row>
    <row r="2317" spans="1:14">
      <c r="A2317" s="186">
        <v>9962</v>
      </c>
      <c r="B2317" t="s">
        <v>3009</v>
      </c>
      <c r="C2317">
        <v>10.4</v>
      </c>
      <c r="D2317">
        <v>10.4</v>
      </c>
      <c r="E2317" s="178">
        <v>0.05</v>
      </c>
      <c r="F2317" s="176">
        <v>0.48</v>
      </c>
      <c r="G2317" t="s">
        <v>5661</v>
      </c>
      <c r="H2317">
        <v>10</v>
      </c>
      <c r="I2317">
        <v>32</v>
      </c>
      <c r="J2317">
        <v>9.02</v>
      </c>
      <c r="K2317">
        <v>10.4</v>
      </c>
      <c r="L2317">
        <v>10.4</v>
      </c>
      <c r="M2317" s="175">
        <v>0.01</v>
      </c>
      <c r="N2317" t="s">
        <v>3010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I1" sqref="I1:J1048576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4842</v>
      </c>
      <c r="B1" t="s">
        <v>4841</v>
      </c>
      <c r="C1" t="s">
        <v>4843</v>
      </c>
      <c r="D1" t="s">
        <v>4844</v>
      </c>
      <c r="E1" t="s">
        <v>4030</v>
      </c>
      <c r="F1" t="s">
        <v>4031</v>
      </c>
      <c r="G1" t="s">
        <v>4845</v>
      </c>
      <c r="H1" t="s">
        <v>4846</v>
      </c>
      <c r="I1" t="s">
        <v>1517</v>
      </c>
      <c r="J1" t="s">
        <v>4847</v>
      </c>
      <c r="K1" s="226" t="s">
        <v>3832</v>
      </c>
    </row>
    <row r="2" spans="1:11">
      <c r="A2" s="65" t="s">
        <v>5082</v>
      </c>
      <c r="B2" s="65" t="s">
        <v>5083</v>
      </c>
      <c r="C2" s="65">
        <v>157.61000000000001</v>
      </c>
      <c r="D2" s="65">
        <v>156.4</v>
      </c>
      <c r="E2" s="65">
        <v>157.72</v>
      </c>
      <c r="F2" s="65">
        <v>156.19</v>
      </c>
      <c r="G2" s="65">
        <v>1.75</v>
      </c>
      <c r="H2" s="381">
        <v>1.12E-2</v>
      </c>
      <c r="I2" s="132">
        <v>2381634</v>
      </c>
      <c r="J2" s="399">
        <v>0.16665509259259259</v>
      </c>
    </row>
    <row r="3" spans="1:11">
      <c r="A3" s="65" t="s">
        <v>4855</v>
      </c>
      <c r="B3" s="65" t="s">
        <v>4856</v>
      </c>
      <c r="C3" s="65">
        <v>37.130000000000003</v>
      </c>
      <c r="D3" s="65">
        <v>37.86</v>
      </c>
      <c r="E3" s="65">
        <v>38.840000000000003</v>
      </c>
      <c r="F3" s="65">
        <v>36.96</v>
      </c>
      <c r="G3" s="65">
        <v>-0.14000000000000001</v>
      </c>
      <c r="H3" s="381">
        <v>-3.8999999999999998E-3</v>
      </c>
      <c r="I3" s="132">
        <v>3853878</v>
      </c>
      <c r="J3" s="399">
        <v>0.16665509259259259</v>
      </c>
      <c r="K3" s="226" t="s">
        <v>4838</v>
      </c>
    </row>
    <row r="4" spans="1:11">
      <c r="A4" s="65" t="s">
        <v>5084</v>
      </c>
      <c r="B4" s="65" t="s">
        <v>3812</v>
      </c>
      <c r="C4" s="65">
        <v>128.34</v>
      </c>
      <c r="D4" s="65">
        <v>128.1</v>
      </c>
      <c r="E4" s="65">
        <v>128.88</v>
      </c>
      <c r="F4" s="65">
        <v>126.37</v>
      </c>
      <c r="G4" s="65">
        <v>0.49</v>
      </c>
      <c r="H4" s="381">
        <v>3.8E-3</v>
      </c>
      <c r="I4" s="132">
        <v>3929758</v>
      </c>
      <c r="J4" s="399">
        <v>0.16665509259259259</v>
      </c>
    </row>
    <row r="5" spans="1:11">
      <c r="A5" s="65" t="s">
        <v>3817</v>
      </c>
      <c r="B5" s="65" t="s">
        <v>3818</v>
      </c>
      <c r="C5" s="65">
        <v>92.94</v>
      </c>
      <c r="D5" s="65">
        <v>92.91</v>
      </c>
      <c r="E5" s="65">
        <v>95.31</v>
      </c>
      <c r="F5" s="65">
        <v>92.71</v>
      </c>
      <c r="G5" s="65">
        <v>-1.6</v>
      </c>
      <c r="H5" s="381">
        <v>-1.6899999999999998E-2</v>
      </c>
      <c r="I5" s="132">
        <v>6201886</v>
      </c>
      <c r="J5" s="399">
        <v>0.16665509259259259</v>
      </c>
      <c r="K5" s="226" t="s">
        <v>4840</v>
      </c>
    </row>
    <row r="6" spans="1:11">
      <c r="A6" s="65" t="s">
        <v>3815</v>
      </c>
      <c r="B6" s="65" t="s">
        <v>3816</v>
      </c>
      <c r="C6" s="65">
        <v>47.36</v>
      </c>
      <c r="D6" s="65">
        <v>47.32</v>
      </c>
      <c r="E6" s="65">
        <v>47.81</v>
      </c>
      <c r="F6" s="65">
        <v>47.15</v>
      </c>
      <c r="G6" s="65">
        <v>0.55000000000000004</v>
      </c>
      <c r="H6" s="381">
        <v>1.17E-2</v>
      </c>
      <c r="I6" s="132">
        <v>17149281</v>
      </c>
      <c r="J6" s="399">
        <v>0.16665509259259259</v>
      </c>
    </row>
    <row r="7" spans="1:11">
      <c r="A7" s="65" t="s">
        <v>4849</v>
      </c>
      <c r="B7" s="65" t="s">
        <v>4848</v>
      </c>
      <c r="C7" s="65">
        <v>37.869999999999997</v>
      </c>
      <c r="D7" s="65">
        <v>37.47</v>
      </c>
      <c r="E7" s="65">
        <v>38.1</v>
      </c>
      <c r="F7" s="65">
        <v>37.39</v>
      </c>
      <c r="G7" s="65">
        <v>-0.18</v>
      </c>
      <c r="H7" s="381">
        <v>-4.7000000000000002E-3</v>
      </c>
      <c r="I7" s="132">
        <v>2495230</v>
      </c>
      <c r="J7" s="399">
        <v>0.16665509259259259</v>
      </c>
    </row>
    <row r="8" spans="1:11">
      <c r="A8" s="65" t="s">
        <v>4603</v>
      </c>
      <c r="B8" s="65" t="s">
        <v>4604</v>
      </c>
      <c r="C8" s="65">
        <v>54.1</v>
      </c>
      <c r="D8" s="65">
        <v>54.29</v>
      </c>
      <c r="E8" s="65">
        <v>54.29</v>
      </c>
      <c r="F8" s="65">
        <v>53.53</v>
      </c>
      <c r="G8" s="65">
        <v>-0.37</v>
      </c>
      <c r="H8" s="381">
        <v>-6.7000000000000002E-3</v>
      </c>
      <c r="I8" s="132">
        <v>2372597</v>
      </c>
      <c r="J8" s="399">
        <v>0.16665509259259259</v>
      </c>
    </row>
    <row r="9" spans="1:11">
      <c r="A9" s="65" t="s">
        <v>3810</v>
      </c>
      <c r="B9" s="65" t="s">
        <v>3811</v>
      </c>
      <c r="C9" s="65">
        <v>63.5</v>
      </c>
      <c r="D9" s="65">
        <v>63.88</v>
      </c>
      <c r="E9" s="65">
        <v>64.13</v>
      </c>
      <c r="F9" s="65">
        <v>62.96</v>
      </c>
      <c r="G9" s="65">
        <v>-0.37</v>
      </c>
      <c r="H9" s="381">
        <v>-5.7999999999999996E-3</v>
      </c>
      <c r="I9" s="132">
        <v>5755074</v>
      </c>
      <c r="J9" s="399">
        <v>0.16665509259259259</v>
      </c>
    </row>
    <row r="10" spans="1:11">
      <c r="A10" s="65" t="s">
        <v>3819</v>
      </c>
      <c r="B10" s="65" t="s">
        <v>3820</v>
      </c>
      <c r="C10" s="65">
        <v>68.260000000000005</v>
      </c>
      <c r="D10" s="65">
        <v>68.38</v>
      </c>
      <c r="E10" s="65">
        <v>69.08</v>
      </c>
      <c r="F10" s="65">
        <v>67.7</v>
      </c>
      <c r="G10" s="65">
        <v>-7.0000000000000007E-2</v>
      </c>
      <c r="H10" s="381">
        <v>-1E-3</v>
      </c>
      <c r="I10" s="132">
        <v>8306857</v>
      </c>
      <c r="J10" s="399">
        <v>0.16665509259259259</v>
      </c>
    </row>
    <row r="11" spans="1:11">
      <c r="A11" s="65" t="s">
        <v>4606</v>
      </c>
      <c r="B11" s="65" t="s">
        <v>3827</v>
      </c>
      <c r="C11" s="65">
        <v>392.07</v>
      </c>
      <c r="D11" s="65">
        <v>394.22</v>
      </c>
      <c r="E11" s="65">
        <v>396.08</v>
      </c>
      <c r="F11" s="65">
        <v>386</v>
      </c>
      <c r="G11" s="65">
        <v>3.31</v>
      </c>
      <c r="H11" s="381">
        <v>8.5000000000000006E-3</v>
      </c>
      <c r="I11" s="132">
        <v>1678426</v>
      </c>
      <c r="J11" s="399">
        <v>0.16665509259259259</v>
      </c>
    </row>
    <row r="12" spans="1:11">
      <c r="A12" s="65" t="s">
        <v>3828</v>
      </c>
      <c r="B12" s="65" t="s">
        <v>3829</v>
      </c>
      <c r="C12" s="65">
        <v>336.2</v>
      </c>
      <c r="D12" s="65">
        <v>343.79</v>
      </c>
      <c r="E12" s="65">
        <v>344.45</v>
      </c>
      <c r="F12" s="65">
        <v>331.68</v>
      </c>
      <c r="G12" s="65">
        <v>-3.82</v>
      </c>
      <c r="H12" s="381">
        <v>-1.12E-2</v>
      </c>
      <c r="I12" s="132">
        <v>1284137</v>
      </c>
      <c r="J12" s="399">
        <v>0.16665509259259259</v>
      </c>
    </row>
    <row r="13" spans="1:11">
      <c r="A13" s="65" t="s">
        <v>4854</v>
      </c>
      <c r="B13" s="65" t="s">
        <v>4850</v>
      </c>
      <c r="C13" s="65">
        <v>700.07</v>
      </c>
      <c r="D13" s="65">
        <v>688.3</v>
      </c>
      <c r="E13" s="65">
        <v>701.59</v>
      </c>
      <c r="F13" s="65">
        <v>685.82</v>
      </c>
      <c r="G13" s="65">
        <v>12.08</v>
      </c>
      <c r="H13" s="381">
        <v>1.7600000000000001E-2</v>
      </c>
      <c r="I13" s="132">
        <v>42678061</v>
      </c>
      <c r="J13" s="399">
        <v>0.16665509259259259</v>
      </c>
    </row>
    <row r="14" spans="1:11">
      <c r="A14" s="65" t="s">
        <v>3830</v>
      </c>
      <c r="B14" s="65" t="s">
        <v>4851</v>
      </c>
      <c r="C14" s="65">
        <v>182.75</v>
      </c>
      <c r="D14" s="65">
        <v>177.97</v>
      </c>
      <c r="E14" s="65">
        <v>183.19</v>
      </c>
      <c r="F14" s="65">
        <v>174.6</v>
      </c>
      <c r="G14" s="65">
        <v>-7.0000000000000007E-2</v>
      </c>
      <c r="H14" s="381">
        <v>-4.0000000000000002E-4</v>
      </c>
      <c r="I14" s="132">
        <v>10036770</v>
      </c>
      <c r="J14" s="399">
        <v>0.16665509259259259</v>
      </c>
    </row>
    <row r="15" spans="1:11">
      <c r="A15" s="65" t="s">
        <v>3821</v>
      </c>
      <c r="B15" s="65" t="s">
        <v>3822</v>
      </c>
      <c r="C15" s="382">
        <v>1121.3599999999999</v>
      </c>
      <c r="D15" s="382">
        <v>1152</v>
      </c>
      <c r="E15" s="382">
        <v>1161.94</v>
      </c>
      <c r="F15" s="382">
        <v>1109.1500000000001</v>
      </c>
      <c r="G15" s="65">
        <v>-27.48</v>
      </c>
      <c r="H15" s="381">
        <v>-2.3900000000000001E-2</v>
      </c>
      <c r="I15" s="132">
        <v>2493798</v>
      </c>
      <c r="J15" s="399">
        <v>0.16665509259259259</v>
      </c>
    </row>
    <row r="16" spans="1:11">
      <c r="A16" s="65" t="s">
        <v>3824</v>
      </c>
      <c r="B16" s="65" t="s">
        <v>4656</v>
      </c>
      <c r="C16" s="65">
        <v>322.10000000000002</v>
      </c>
      <c r="D16" s="65">
        <v>310.95999999999998</v>
      </c>
      <c r="E16" s="65">
        <v>324.64999999999998</v>
      </c>
      <c r="F16" s="65">
        <v>310.43</v>
      </c>
      <c r="G16" s="65">
        <v>10.89</v>
      </c>
      <c r="H16" s="381">
        <v>3.5000000000000003E-2</v>
      </c>
      <c r="I16" s="132">
        <v>33977400</v>
      </c>
      <c r="J16" s="399">
        <v>0.16665509259259259</v>
      </c>
    </row>
    <row r="17" spans="1:10">
      <c r="A17" s="65" t="s">
        <v>3813</v>
      </c>
      <c r="B17" s="65" t="s">
        <v>3814</v>
      </c>
      <c r="C17" s="65">
        <v>470.72</v>
      </c>
      <c r="D17" s="65">
        <v>480</v>
      </c>
      <c r="E17" s="65">
        <v>483.36</v>
      </c>
      <c r="F17" s="65">
        <v>468.14</v>
      </c>
      <c r="G17" s="65">
        <v>-6.38</v>
      </c>
      <c r="H17" s="381">
        <v>-1.34E-2</v>
      </c>
      <c r="I17" s="132">
        <v>1451128</v>
      </c>
      <c r="J17" s="399">
        <v>0.16665509259259259</v>
      </c>
    </row>
    <row r="18" spans="1:10">
      <c r="A18" s="65" t="s">
        <v>4536</v>
      </c>
      <c r="B18" s="65" t="s">
        <v>4537</v>
      </c>
      <c r="C18" s="65">
        <v>202.54</v>
      </c>
      <c r="D18" s="65">
        <v>194.04</v>
      </c>
      <c r="E18" s="65">
        <v>203.17</v>
      </c>
      <c r="F18" s="65">
        <v>192.6</v>
      </c>
      <c r="G18" s="65">
        <v>11.68</v>
      </c>
      <c r="H18" s="381">
        <v>6.1199999999999997E-2</v>
      </c>
      <c r="I18" s="132">
        <v>10088134</v>
      </c>
      <c r="J18" s="399">
        <v>0.16665509259259259</v>
      </c>
    </row>
    <row r="19" spans="1:10">
      <c r="A19" s="65" t="s">
        <v>4852</v>
      </c>
      <c r="B19" s="65" t="s">
        <v>4852</v>
      </c>
      <c r="C19" s="382">
        <v>1642.52</v>
      </c>
      <c r="D19" s="382">
        <v>1609.69</v>
      </c>
      <c r="E19" s="382">
        <v>1655.2</v>
      </c>
      <c r="F19" s="382">
        <v>1582</v>
      </c>
      <c r="G19" s="65">
        <v>13.52</v>
      </c>
      <c r="H19" s="381">
        <v>8.3000000000000001E-3</v>
      </c>
      <c r="I19" s="132">
        <v>1418863</v>
      </c>
      <c r="J19" s="399">
        <v>0.16665509259259259</v>
      </c>
    </row>
    <row r="20" spans="1:10">
      <c r="A20" s="65" t="s">
        <v>3825</v>
      </c>
      <c r="B20" s="65" t="s">
        <v>3826</v>
      </c>
      <c r="C20" s="65">
        <v>487.66</v>
      </c>
      <c r="D20" s="65">
        <v>476.13</v>
      </c>
      <c r="E20" s="65">
        <v>491.65</v>
      </c>
      <c r="F20" s="65">
        <v>475</v>
      </c>
      <c r="G20" s="65">
        <v>22.94</v>
      </c>
      <c r="H20" s="381">
        <v>4.9399999999999999E-2</v>
      </c>
      <c r="I20" s="132">
        <v>54704061</v>
      </c>
      <c r="J20" s="399">
        <v>0.16665509259259259</v>
      </c>
    </row>
    <row r="21" spans="1:10">
      <c r="A21" s="65" t="s">
        <v>3823</v>
      </c>
      <c r="B21" s="65" t="s">
        <v>4853</v>
      </c>
      <c r="C21" s="65">
        <v>206.7</v>
      </c>
      <c r="D21" s="65">
        <v>197.69</v>
      </c>
      <c r="E21" s="65">
        <v>208.74</v>
      </c>
      <c r="F21" s="65">
        <v>196.85</v>
      </c>
      <c r="G21" s="65">
        <v>5.95</v>
      </c>
      <c r="H21" s="381">
        <v>2.9600000000000001E-2</v>
      </c>
      <c r="I21" s="132">
        <v>105915238</v>
      </c>
      <c r="J21" s="399">
        <v>0.16665509259259259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4027</v>
      </c>
      <c r="B1" s="240"/>
      <c r="C1" s="240"/>
      <c r="D1" s="240"/>
      <c r="E1" s="240"/>
      <c r="F1" s="240"/>
      <c r="G1" s="240"/>
      <c r="I1" s="226" t="s">
        <v>4673</v>
      </c>
    </row>
    <row r="2" spans="1:13" ht="29.25" thickBot="1">
      <c r="A2" t="s">
        <v>3970</v>
      </c>
      <c r="B2" t="s">
        <v>4028</v>
      </c>
      <c r="C2" t="s">
        <v>4029</v>
      </c>
      <c r="D2" t="s">
        <v>4030</v>
      </c>
      <c r="E2" t="s">
        <v>4031</v>
      </c>
      <c r="F2" t="s">
        <v>4032</v>
      </c>
      <c r="G2" t="s">
        <v>4033</v>
      </c>
      <c r="J2" s="346" t="s">
        <v>3955</v>
      </c>
      <c r="K2" s="346" t="s">
        <v>3956</v>
      </c>
      <c r="L2" s="346" t="s">
        <v>3957</v>
      </c>
      <c r="M2" s="346" t="s">
        <v>3958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46265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3032</v>
      </c>
      <c r="F3" s="83" t="s">
        <v>198</v>
      </c>
      <c r="G3" s="83" t="s">
        <v>3033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2862</v>
      </c>
      <c r="K4">
        <f>(H4*$C4)/365.25</f>
        <v>127310.06160164271</v>
      </c>
      <c r="L4">
        <f ca="1">(I4*$C4)/365.25</f>
        <v>5876796.7145790551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2810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815.49623545516772</v>
      </c>
      <c r="M5" s="159"/>
      <c r="N5" s="215" t="s">
        <v>135</v>
      </c>
      <c r="O5" s="216">
        <f ca="1">(SUMPRODUCT(C4:C110,I4:I110)+SUMPRODUCT(D4:D110,I4:I110))/($C$1-$A$4)</f>
        <v>820502.17330538086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2733</v>
      </c>
      <c r="J19" s="152" t="s">
        <v>84</v>
      </c>
      <c r="K19" s="152">
        <f t="shared" si="8"/>
        <v>274.95140314852841</v>
      </c>
      <c r="L19" s="152">
        <f t="shared" ca="1" si="9"/>
        <v>2521.6180698151952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2700</v>
      </c>
      <c r="J35" s="152" t="s">
        <v>84</v>
      </c>
      <c r="K35" s="152">
        <f t="shared" si="8"/>
        <v>98.672142368240927</v>
      </c>
      <c r="L35" s="152">
        <f t="shared" ca="1" si="9"/>
        <v>1005.3388090349076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2670</v>
      </c>
      <c r="J44" s="152" t="s">
        <v>84</v>
      </c>
      <c r="K44" s="152">
        <f t="shared" si="8"/>
        <v>79.137577002053391</v>
      </c>
      <c r="L44" s="152">
        <f t="shared" ca="1" si="9"/>
        <v>899.13757700205338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2628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2532.6652977412732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3034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3037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3038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3043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3035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3036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2609</v>
      </c>
      <c r="J65" s="152" t="s">
        <v>84</v>
      </c>
      <c r="K65" s="152">
        <f t="shared" si="27"/>
        <v>243.43326488706364</v>
      </c>
      <c r="L65" s="152">
        <f t="shared" ca="1" si="28"/>
        <v>3650.0999315537301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3039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2607</v>
      </c>
      <c r="J68" s="200" t="s">
        <v>86</v>
      </c>
      <c r="K68" s="200">
        <f>IF(F68&gt;0,(H68*$F68)/365.25,0)</f>
        <v>2914.9349760438058</v>
      </c>
      <c r="L68" s="200">
        <f t="shared" ca="1" si="36"/>
        <v>44181.60164271047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2607</v>
      </c>
      <c r="J69" s="200" t="s">
        <v>3034</v>
      </c>
      <c r="K69" s="200">
        <f t="shared" si="37"/>
        <v>7058.9459274469546</v>
      </c>
      <c r="L69" s="200">
        <f t="shared" ca="1" si="36"/>
        <v>106992.27926078028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3041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3042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2600</v>
      </c>
      <c r="J73" s="200" t="s">
        <v>3035</v>
      </c>
      <c r="K73" s="200">
        <f t="shared" si="37"/>
        <v>1712.1149897330595</v>
      </c>
      <c r="L73" s="200">
        <f t="shared" ca="1" si="36"/>
        <v>26978.781656399726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2596</v>
      </c>
      <c r="J74" s="200" t="s">
        <v>3036</v>
      </c>
      <c r="K74" s="200">
        <f t="shared" si="37"/>
        <v>1406.1327857631759</v>
      </c>
      <c r="L74" s="200">
        <f t="shared" ca="1" si="36"/>
        <v>22672.799452429841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2594</v>
      </c>
      <c r="J75" s="200" t="s">
        <v>3037</v>
      </c>
      <c r="K75" s="200">
        <f t="shared" si="37"/>
        <v>1345.1334702258728</v>
      </c>
      <c r="L75" s="200">
        <f t="shared" ca="1" si="36"/>
        <v>21945.133470225872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2593</v>
      </c>
      <c r="J76" s="200" t="s">
        <v>179</v>
      </c>
      <c r="K76" s="200">
        <f t="shared" si="37"/>
        <v>3449.8288843258042</v>
      </c>
      <c r="L76" s="200">
        <f t="shared" ca="1" si="36"/>
        <v>56616.495550992469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2593</v>
      </c>
      <c r="J77" s="200" t="s">
        <v>3038</v>
      </c>
      <c r="K77" s="200">
        <f t="shared" si="37"/>
        <v>1276.1122518822724</v>
      </c>
      <c r="L77" s="200">
        <f t="shared" ca="1" si="36"/>
        <v>20942.778918548938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2593</v>
      </c>
      <c r="J78" s="200" t="s">
        <v>3039</v>
      </c>
      <c r="K78" s="200">
        <f t="shared" si="37"/>
        <v>3071.3210130047914</v>
      </c>
      <c r="L78" s="200">
        <f t="shared" ca="1" si="36"/>
        <v>50404.654346338124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2588</v>
      </c>
      <c r="J79" s="200" t="s">
        <v>3040</v>
      </c>
      <c r="K79" s="200">
        <f t="shared" si="37"/>
        <v>624.14784394250512</v>
      </c>
      <c r="L79" s="200">
        <f t="shared" ca="1" si="36"/>
        <v>10557.481177275838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2588</v>
      </c>
      <c r="J80" s="200" t="s">
        <v>3041</v>
      </c>
      <c r="K80" s="200">
        <f t="shared" si="37"/>
        <v>2928.0492813141682</v>
      </c>
      <c r="L80" s="200">
        <f t="shared" ca="1" si="36"/>
        <v>49528.049281314168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2586</v>
      </c>
      <c r="J81" s="200" t="s">
        <v>3042</v>
      </c>
      <c r="K81" s="200">
        <f t="shared" si="37"/>
        <v>2062.943189596167</v>
      </c>
      <c r="L81" s="200">
        <f t="shared" ca="1" si="36"/>
        <v>35329.609856262832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2586</v>
      </c>
      <c r="J82" s="200" t="s">
        <v>3043</v>
      </c>
      <c r="K82" s="200">
        <f t="shared" si="37"/>
        <v>1389.0759753593429</v>
      </c>
      <c r="L82" s="200">
        <f t="shared" ca="1" si="36"/>
        <v>23789.075975359341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2576</v>
      </c>
      <c r="J83" s="152" t="s">
        <v>84</v>
      </c>
      <c r="K83" s="152">
        <f t="shared" si="37"/>
        <v>201.1252566735113</v>
      </c>
      <c r="L83" s="152">
        <f t="shared" ca="1" si="36"/>
        <v>3674.4585900068446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2445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2450.0205338809037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2426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3479</v>
      </c>
      <c r="N112" s="215" t="s">
        <v>173</v>
      </c>
      <c r="O112" s="216">
        <f ca="1">(SUMPRODUCT(C111:C196,I111:I196)+SUMPRODUCT(D111:D196,I111:I196))/($C$1-$A$111)</f>
        <v>920097.48227535037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3479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3479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3479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2262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1808.3613963039015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3493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2243</v>
      </c>
      <c r="J120" s="152" t="s">
        <v>84</v>
      </c>
      <c r="K120" s="152">
        <f t="shared" si="76"/>
        <v>77.17453798767967</v>
      </c>
      <c r="L120" s="152">
        <f t="shared" ca="1" si="77"/>
        <v>994.84188911704314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3477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3478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3493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3479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2212</v>
      </c>
      <c r="J126" s="152" t="s">
        <v>84</v>
      </c>
      <c r="K126" s="152">
        <f t="shared" si="87"/>
        <v>26.231348391512661</v>
      </c>
      <c r="L126" s="152">
        <f t="shared" ca="1" si="88"/>
        <v>405.76043805612596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3479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3479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3479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2181</v>
      </c>
      <c r="J138" s="152" t="s">
        <v>84</v>
      </c>
      <c r="K138" s="152">
        <f t="shared" si="94"/>
        <v>112.84325804243669</v>
      </c>
      <c r="L138" s="152">
        <f t="shared" ca="1" si="95"/>
        <v>2197.4209445585216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3479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3479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3479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2153</v>
      </c>
      <c r="J144" s="152" t="s">
        <v>84</v>
      </c>
      <c r="K144" s="152">
        <f t="shared" si="107"/>
        <v>25.987679671457904</v>
      </c>
      <c r="L144" s="152">
        <f t="shared" ca="1" si="108"/>
        <v>666.08898015058185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3479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2120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127.69336071184121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2106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3494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2090</v>
      </c>
      <c r="J170" s="152" t="s">
        <v>84</v>
      </c>
      <c r="K170" s="152">
        <f t="shared" si="172"/>
        <v>49.618069815195071</v>
      </c>
      <c r="L170" s="152">
        <f t="shared" ca="1" si="173"/>
        <v>4938.1793292265575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3479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3479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3479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3479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3479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3479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3479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2079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802.57084188911699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3479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2061</v>
      </c>
      <c r="J198" s="152" t="s">
        <v>84</v>
      </c>
      <c r="K198" s="152">
        <f t="shared" si="238"/>
        <v>1098.611909650924</v>
      </c>
      <c r="L198" s="152">
        <f t="shared" ca="1" si="239"/>
        <v>6342.4065708418893</v>
      </c>
      <c r="M198" s="152"/>
      <c r="N198" s="215" t="s">
        <v>235</v>
      </c>
      <c r="O198" s="216">
        <f ca="1">(SUMPRODUCT(C197:C456,I197:I456)+SUMPRODUCT(D197:D456,I197:I456))/($C$1-$A$197)</f>
        <v>3941072.6346899224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3479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3479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3479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3479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3479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3479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2029</v>
      </c>
      <c r="J233" s="152" t="s">
        <v>84</v>
      </c>
      <c r="K233" s="152">
        <f t="shared" si="283"/>
        <v>498.28884325804245</v>
      </c>
      <c r="L233" s="152">
        <f t="shared" ca="1" si="284"/>
        <v>3110.8555783709789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3479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2000</v>
      </c>
      <c r="J267" s="152" t="s">
        <v>84</v>
      </c>
      <c r="K267" s="152">
        <f t="shared" si="324"/>
        <v>816.88706365503083</v>
      </c>
      <c r="L267" s="152">
        <f t="shared" ca="1" si="325"/>
        <v>5519.5071868583163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3494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3495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3495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3479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3479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1519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1987</v>
      </c>
      <c r="J291" s="65" t="s">
        <v>1521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3646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1984</v>
      </c>
      <c r="J293" s="65" t="s">
        <v>1523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3545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1525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3496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3497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1554</v>
      </c>
      <c r="K300">
        <f t="shared" si="356"/>
        <v>0</v>
      </c>
      <c r="L300">
        <f t="shared" si="357"/>
        <v>0</v>
      </c>
      <c r="M300" s="65" t="s">
        <v>3479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1526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1525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3497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1526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1527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1970</v>
      </c>
      <c r="J311" s="152" t="s">
        <v>84</v>
      </c>
      <c r="K311" s="152">
        <f t="shared" si="356"/>
        <v>1610.2012320328543</v>
      </c>
      <c r="L311" s="152">
        <f t="shared" ca="1" si="357"/>
        <v>11925.174537987679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1528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1529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1972</v>
      </c>
      <c r="I315">
        <f t="shared" ref="I315:I317" ca="1" si="374">IF(B315="",$C$1-A315,H315)</f>
        <v>1972</v>
      </c>
      <c r="J315" s="65" t="s">
        <v>1531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1971</v>
      </c>
      <c r="I317">
        <f t="shared" ca="1" si="374"/>
        <v>1971</v>
      </c>
      <c r="J317" s="65" t="s">
        <v>1533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1965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3637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1966</v>
      </c>
      <c r="I321">
        <f t="shared" ca="1" si="382"/>
        <v>1966</v>
      </c>
      <c r="J321" s="65" t="s">
        <v>1535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3635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1965</v>
      </c>
      <c r="I325">
        <f t="shared" ca="1" si="382"/>
        <v>1965</v>
      </c>
      <c r="J325" s="65" t="s">
        <v>1536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1537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1538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1539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1956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3636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3637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3638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3639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3640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3641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3642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1957</v>
      </c>
      <c r="I342">
        <f t="shared" ca="1" si="396"/>
        <v>1957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1957</v>
      </c>
      <c r="I343">
        <f t="shared" ca="1" si="396"/>
        <v>1957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1545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3643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1957</v>
      </c>
      <c r="I347">
        <f t="shared" ca="1" si="396"/>
        <v>1957</v>
      </c>
      <c r="J347" s="65" t="s">
        <v>1546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1547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1957</v>
      </c>
      <c r="I349">
        <f t="shared" ca="1" si="396"/>
        <v>1957</v>
      </c>
      <c r="J349" s="65" t="s">
        <v>1548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3644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1957</v>
      </c>
      <c r="I351">
        <f t="shared" ca="1" si="396"/>
        <v>1957</v>
      </c>
      <c r="J351" s="65" t="s">
        <v>1549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3645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1555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3634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1952</v>
      </c>
      <c r="I355">
        <f t="shared" ref="I355:I358" ca="1" si="413">IF(B355="",$C$1-A355,H355)</f>
        <v>1952</v>
      </c>
      <c r="J355" s="65" t="s">
        <v>1550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3480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3481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3479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3479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3647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1939</v>
      </c>
      <c r="J362" s="152" t="s">
        <v>84</v>
      </c>
      <c r="K362" s="152">
        <f t="shared" si="429"/>
        <v>2005.4620123203285</v>
      </c>
      <c r="L362" s="152">
        <f t="shared" ca="1" si="430"/>
        <v>16547.195071868584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1939</v>
      </c>
      <c r="I363">
        <f t="shared" ref="I363" ca="1" si="435">IF(B363="",$C$1-A363,H363)</f>
        <v>1939</v>
      </c>
      <c r="J363" s="65" t="s">
        <v>3648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1556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3462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3637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1908</v>
      </c>
      <c r="J367" s="152" t="s">
        <v>84</v>
      </c>
      <c r="K367" s="152">
        <f t="shared" si="444"/>
        <v>57.52772073921971</v>
      </c>
      <c r="L367" s="152">
        <f t="shared" ca="1" si="445"/>
        <v>538.05338809034913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3482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1897</v>
      </c>
      <c r="I369" s="158">
        <f ca="1">IF(B369="",$C$1-A369,H369)</f>
        <v>1897</v>
      </c>
      <c r="J369" s="158" t="s">
        <v>48</v>
      </c>
      <c r="K369" s="158">
        <f ca="1">(H369*$C369)/365.25</f>
        <v>914.09171800136892</v>
      </c>
      <c r="L369" s="158">
        <f ca="1">(I369*$C369)/365.25</f>
        <v>914.09171800136892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1875</v>
      </c>
      <c r="I370">
        <f t="shared" ref="I370" ca="1" si="455">IF(B370="",$C$1-A370,H370)</f>
        <v>1875</v>
      </c>
      <c r="J370" s="65" t="s">
        <v>1552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1519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3479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3483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3484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1847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652.32854209445588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3485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3486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950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3479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3487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3488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3489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772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3479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1045</v>
      </c>
      <c r="K386">
        <f t="shared" si="499"/>
        <v>0</v>
      </c>
      <c r="L386">
        <f t="shared" si="500"/>
        <v>0</v>
      </c>
      <c r="M386" s="65" t="s">
        <v>3479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3492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3479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950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3479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772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3479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1045</v>
      </c>
      <c r="K390">
        <f t="shared" si="514"/>
        <v>0</v>
      </c>
      <c r="L390">
        <f t="shared" si="515"/>
        <v>0</v>
      </c>
      <c r="M390" s="65" t="s">
        <v>3479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3479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1454</v>
      </c>
      <c r="K392">
        <f t="shared" si="514"/>
        <v>0</v>
      </c>
      <c r="L392">
        <f t="shared" si="515"/>
        <v>0</v>
      </c>
      <c r="M392" s="65" t="s">
        <v>3479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1460</v>
      </c>
      <c r="K393">
        <f t="shared" si="514"/>
        <v>0</v>
      </c>
      <c r="L393">
        <f t="shared" si="515"/>
        <v>0</v>
      </c>
      <c r="M393" s="65" t="s">
        <v>3479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3490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3491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3479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3479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1827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3643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3644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1537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3649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3457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1816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2068.3258042436687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3456</v>
      </c>
      <c r="K409">
        <f t="shared" si="551"/>
        <v>0</v>
      </c>
      <c r="L409">
        <f t="shared" si="552"/>
        <v>0</v>
      </c>
      <c r="M409" s="65" t="s">
        <v>3479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3458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3459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3460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3461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3462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3463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3479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3464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3479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3465</v>
      </c>
      <c r="K417">
        <f t="shared" si="572"/>
        <v>0</v>
      </c>
      <c r="L417">
        <f t="shared" si="573"/>
        <v>0</v>
      </c>
      <c r="M417" s="65" t="s">
        <v>3479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3466</v>
      </c>
      <c r="K419">
        <f t="shared" si="572"/>
        <v>0</v>
      </c>
      <c r="L419">
        <f t="shared" si="573"/>
        <v>0</v>
      </c>
      <c r="M419" s="65" t="s">
        <v>3479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3467</v>
      </c>
      <c r="K420">
        <f t="shared" si="572"/>
        <v>0</v>
      </c>
      <c r="L420">
        <f t="shared" si="573"/>
        <v>0</v>
      </c>
      <c r="M420" s="65" t="s">
        <v>3479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3468</v>
      </c>
      <c r="K421">
        <f t="shared" si="572"/>
        <v>0</v>
      </c>
      <c r="L421">
        <f t="shared" si="573"/>
        <v>0</v>
      </c>
      <c r="M421" s="65" t="s">
        <v>3479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1788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773.4537987679671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3469</v>
      </c>
      <c r="K423">
        <f t="shared" si="577"/>
        <v>0</v>
      </c>
      <c r="L423">
        <f t="shared" si="578"/>
        <v>0</v>
      </c>
      <c r="M423" s="65" t="s">
        <v>3479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3470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3479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3471</v>
      </c>
      <c r="K425">
        <f t="shared" si="586"/>
        <v>0</v>
      </c>
      <c r="L425">
        <f t="shared" si="587"/>
        <v>0</v>
      </c>
      <c r="M425" s="65" t="s">
        <v>3479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3472</v>
      </c>
      <c r="K426">
        <f t="shared" si="586"/>
        <v>0</v>
      </c>
      <c r="L426">
        <f t="shared" si="587"/>
        <v>0</v>
      </c>
      <c r="M426" s="65" t="s">
        <v>3479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1537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3473</v>
      </c>
      <c r="K428">
        <f t="shared" si="586"/>
        <v>0</v>
      </c>
      <c r="L428">
        <f t="shared" si="587"/>
        <v>0</v>
      </c>
      <c r="M428" s="65" t="s">
        <v>3479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3474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3479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3475</v>
      </c>
      <c r="K430">
        <f t="shared" si="592"/>
        <v>0</v>
      </c>
      <c r="L430">
        <f t="shared" si="593"/>
        <v>0</v>
      </c>
      <c r="M430" s="65" t="s">
        <v>3479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1748</v>
      </c>
      <c r="I431">
        <f t="shared" ca="1" si="596"/>
        <v>1748</v>
      </c>
      <c r="J431" s="65" t="s">
        <v>3476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3651</v>
      </c>
      <c r="K432">
        <f t="shared" si="592"/>
        <v>0</v>
      </c>
      <c r="L432">
        <f t="shared" si="593"/>
        <v>0</v>
      </c>
      <c r="M432" s="65" t="s">
        <v>3479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3652</v>
      </c>
      <c r="K433">
        <f t="shared" si="592"/>
        <v>0</v>
      </c>
      <c r="L433">
        <f t="shared" si="593"/>
        <v>0</v>
      </c>
      <c r="M433" s="65" t="s">
        <v>3479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3653</v>
      </c>
      <c r="K434">
        <f t="shared" si="592"/>
        <v>0</v>
      </c>
      <c r="L434">
        <f t="shared" si="593"/>
        <v>0</v>
      </c>
      <c r="M434" s="65" t="s">
        <v>3479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1746</v>
      </c>
      <c r="I435">
        <f t="shared" ca="1" si="596"/>
        <v>1746</v>
      </c>
      <c r="J435" s="65" t="s">
        <v>3650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3654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3479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3655</v>
      </c>
      <c r="K437">
        <f t="shared" si="600"/>
        <v>0</v>
      </c>
      <c r="L437">
        <f t="shared" si="601"/>
        <v>0</v>
      </c>
      <c r="M437" s="65" t="s">
        <v>3479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3643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3644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3657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3654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3479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3655</v>
      </c>
      <c r="K442">
        <f t="shared" si="604"/>
        <v>0</v>
      </c>
      <c r="L442">
        <f t="shared" si="605"/>
        <v>0</v>
      </c>
      <c r="M442" s="65" t="s">
        <v>3479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1725</v>
      </c>
      <c r="J444" s="152" t="s">
        <v>84</v>
      </c>
      <c r="K444" s="152">
        <f t="shared" si="604"/>
        <v>14.833675564681725</v>
      </c>
      <c r="L444" s="152">
        <f t="shared" ca="1" si="605"/>
        <v>1218.4804928131416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3649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1714</v>
      </c>
      <c r="I446" s="158">
        <f ca="1">IF(B446="",$C$1-A446,H446)</f>
        <v>1714</v>
      </c>
      <c r="J446" s="158" t="s">
        <v>48</v>
      </c>
      <c r="K446" s="158">
        <f ca="1">(H446*$C446)/365.25</f>
        <v>530.27241615331968</v>
      </c>
      <c r="L446" s="158">
        <f ca="1">(I446*$C446)/365.25</f>
        <v>530.27241615331968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1712</v>
      </c>
      <c r="I447">
        <f t="shared" ref="I447" ca="1" si="612">IF(B447="",$C$1-A447,H447)</f>
        <v>1712</v>
      </c>
      <c r="J447" s="65" t="s">
        <v>3640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1712</v>
      </c>
      <c r="I448">
        <f t="shared" ref="I448:I456" ca="1" si="617">IF(B448="",$C$1-A448,H448)</f>
        <v>1712</v>
      </c>
      <c r="J448" s="65" t="s">
        <v>3658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3644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1529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1545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3643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3657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3640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3658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3659</v>
      </c>
      <c r="K456">
        <f t="shared" si="618"/>
        <v>0</v>
      </c>
      <c r="L456">
        <f t="shared" si="619"/>
        <v>0</v>
      </c>
      <c r="M456" s="65" t="s">
        <v>3479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1698</v>
      </c>
      <c r="I457">
        <f t="shared" ref="I457" ca="1" si="622">IF(B457="",$C$1-A457,H457)</f>
        <v>1698</v>
      </c>
      <c r="J457" s="65" t="s">
        <v>3662</v>
      </c>
      <c r="K457" t="s">
        <v>3677</v>
      </c>
      <c r="L457">
        <f t="shared" ref="L457" si="623">IF(F457&gt;0,(I457*$F457)/365.25,0)</f>
        <v>0</v>
      </c>
      <c r="M457" s="65"/>
      <c r="N457" s="217" t="s">
        <v>3660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3678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3479</v>
      </c>
      <c r="N458" s="215" t="s">
        <v>3661</v>
      </c>
      <c r="O458" s="216">
        <f ca="1">(SUMPRODUCT(C457:C571,I457:I571)+SUMPRODUCT(D457:D571,I457:I571))/($C$1-$A$457)</f>
        <v>1819774.1967020023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1694</v>
      </c>
      <c r="J459" s="152" t="s">
        <v>84</v>
      </c>
      <c r="K459" s="152">
        <f t="shared" si="629"/>
        <v>426.68035592060232</v>
      </c>
      <c r="L459" s="152">
        <f t="shared" ca="1" si="630"/>
        <v>2036.0465434633813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3496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3669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3663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3663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3664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3679</v>
      </c>
      <c r="K467">
        <f t="shared" si="629"/>
        <v>0</v>
      </c>
      <c r="L467">
        <f t="shared" si="630"/>
        <v>0</v>
      </c>
      <c r="M467" s="65" t="s">
        <v>3479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3663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3663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3664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3665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3674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1663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4434.666666666667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3670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1662</v>
      </c>
      <c r="I475">
        <f t="shared" ca="1" si="628"/>
        <v>1662</v>
      </c>
      <c r="J475" s="65" t="s">
        <v>3668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1662</v>
      </c>
      <c r="I476">
        <f t="shared" ca="1" si="628"/>
        <v>1662</v>
      </c>
      <c r="J476" s="65" t="s">
        <v>3675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1658</v>
      </c>
      <c r="I477">
        <f t="shared" ca="1" si="628"/>
        <v>1658</v>
      </c>
      <c r="J477" s="65" t="s">
        <v>3676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3665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3666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3667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1641</v>
      </c>
      <c r="I482">
        <f t="shared" ca="1" si="628"/>
        <v>1641</v>
      </c>
      <c r="J482" s="65" t="s">
        <v>3668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1641</v>
      </c>
      <c r="I483">
        <f t="shared" ref="I483:I485" ca="1" si="649">IF(B483="",$C$1-A483,H483)</f>
        <v>1641</v>
      </c>
      <c r="J483" s="65" t="s">
        <v>3769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1641</v>
      </c>
      <c r="I484">
        <f t="shared" ca="1" si="649"/>
        <v>1641</v>
      </c>
      <c r="J484" s="65" t="s">
        <v>3681</v>
      </c>
      <c r="K484">
        <f t="shared" si="650"/>
        <v>0</v>
      </c>
      <c r="L484">
        <f t="shared" si="651"/>
        <v>0</v>
      </c>
      <c r="M484" s="65" t="s">
        <v>3479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1641</v>
      </c>
      <c r="I485">
        <f t="shared" ca="1" si="649"/>
        <v>1641</v>
      </c>
      <c r="J485" s="65" t="s">
        <v>3682</v>
      </c>
      <c r="K485">
        <f t="shared" si="650"/>
        <v>0</v>
      </c>
      <c r="L485">
        <f t="shared" si="651"/>
        <v>0</v>
      </c>
      <c r="M485" s="65" t="s">
        <v>3479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1638</v>
      </c>
      <c r="I486">
        <f t="shared" ref="I486:I490" ca="1" si="655">IF(B486="",$C$1-A486,H486)</f>
        <v>1638</v>
      </c>
      <c r="J486" s="65" t="s">
        <v>3683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3479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1637</v>
      </c>
      <c r="I487">
        <f t="shared" ca="1" si="655"/>
        <v>1637</v>
      </c>
      <c r="J487" s="65" t="s">
        <v>3681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1637</v>
      </c>
      <c r="I488">
        <f t="shared" ca="1" si="655"/>
        <v>1637</v>
      </c>
      <c r="J488" s="65" t="s">
        <v>3682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1637</v>
      </c>
      <c r="I489">
        <f t="shared" ca="1" si="655"/>
        <v>1637</v>
      </c>
      <c r="J489" s="65" t="s">
        <v>3668</v>
      </c>
      <c r="K489">
        <f t="shared" ca="1" si="656"/>
        <v>513137.31416837784</v>
      </c>
      <c r="L489">
        <f t="shared" ca="1" si="657"/>
        <v>513137.31416837784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1636</v>
      </c>
      <c r="I490">
        <f t="shared" ca="1" si="655"/>
        <v>1636</v>
      </c>
      <c r="J490" s="65" t="s">
        <v>3683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1635</v>
      </c>
      <c r="J491" s="152" t="s">
        <v>84</v>
      </c>
      <c r="K491" s="152">
        <f t="shared" si="656"/>
        <v>390.61464750171115</v>
      </c>
      <c r="L491" s="152">
        <f t="shared" ca="1" si="657"/>
        <v>2157.6180698151952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1635</v>
      </c>
      <c r="I492">
        <f t="shared" ref="I492:I505" ca="1" si="661">IF(B492="",$C$1-A492,H492)</f>
        <v>1635</v>
      </c>
      <c r="J492" s="65" t="s">
        <v>3684</v>
      </c>
      <c r="K492">
        <f t="shared" si="656"/>
        <v>0</v>
      </c>
      <c r="L492">
        <f t="shared" si="657"/>
        <v>0</v>
      </c>
      <c r="M492" s="65" t="s">
        <v>3479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1631</v>
      </c>
      <c r="I493">
        <f t="shared" ca="1" si="661"/>
        <v>1631</v>
      </c>
      <c r="J493" s="65" t="s">
        <v>3685</v>
      </c>
      <c r="K493">
        <f t="shared" si="656"/>
        <v>0</v>
      </c>
      <c r="L493">
        <f t="shared" si="657"/>
        <v>0</v>
      </c>
      <c r="M493" s="65" t="s">
        <v>3479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3462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3686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3479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3669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3670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3479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3687</v>
      </c>
      <c r="K499">
        <f t="shared" si="668"/>
        <v>0</v>
      </c>
      <c r="L499">
        <f t="shared" si="669"/>
        <v>0</v>
      </c>
      <c r="M499" s="65" t="s">
        <v>3479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3688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3689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1613</v>
      </c>
      <c r="I501">
        <f t="shared" ca="1" si="661"/>
        <v>1613</v>
      </c>
      <c r="J501" s="65" t="s">
        <v>3740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3746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3671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1608</v>
      </c>
      <c r="I504">
        <f t="shared" ca="1" si="661"/>
        <v>1608</v>
      </c>
      <c r="J504" s="65" t="s">
        <v>3671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3690</v>
      </c>
      <c r="K505">
        <f t="shared" si="677"/>
        <v>0</v>
      </c>
      <c r="L505">
        <f t="shared" si="678"/>
        <v>0</v>
      </c>
      <c r="M505" s="65" t="s">
        <v>3479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1606</v>
      </c>
      <c r="J506" s="152" t="s">
        <v>84</v>
      </c>
      <c r="K506" s="152">
        <f t="shared" si="677"/>
        <v>369.15811088295686</v>
      </c>
      <c r="L506" s="152">
        <f t="shared" ca="1" si="678"/>
        <v>2220.4791238877483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3671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3673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3673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1603</v>
      </c>
      <c r="I510">
        <f t="shared" ref="I510:I512" ca="1" si="685">IF(B510="",$C$1-A510,H510)</f>
        <v>1603</v>
      </c>
      <c r="J510" s="65" t="s">
        <v>3770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1603</v>
      </c>
      <c r="I511">
        <f t="shared" ca="1" si="685"/>
        <v>1603</v>
      </c>
      <c r="J511" s="65" t="s">
        <v>3771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3671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3672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3672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1596</v>
      </c>
      <c r="I515">
        <f t="shared" ca="1" si="682"/>
        <v>1596</v>
      </c>
      <c r="J515" s="65" t="s">
        <v>3672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3691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3692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3479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3737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3692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3479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1574</v>
      </c>
      <c r="J520" s="152" t="s">
        <v>84</v>
      </c>
      <c r="K520" s="152">
        <f t="shared" si="704"/>
        <v>77.207392197125259</v>
      </c>
      <c r="L520" s="152">
        <f t="shared" ca="1" si="705"/>
        <v>517.12525667351133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3738</v>
      </c>
      <c r="K521">
        <f t="shared" si="704"/>
        <v>0</v>
      </c>
      <c r="L521">
        <f t="shared" si="705"/>
        <v>0</v>
      </c>
      <c r="M521" s="65"/>
      <c r="N521" s="65" t="s">
        <v>3479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3479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3739</v>
      </c>
      <c r="K523">
        <f t="shared" si="704"/>
        <v>0</v>
      </c>
      <c r="L523">
        <f t="shared" si="705"/>
        <v>0</v>
      </c>
      <c r="M523" s="65"/>
      <c r="N523" s="65" t="s">
        <v>3479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3673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3740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3741</v>
      </c>
      <c r="K526">
        <f t="shared" si="704"/>
        <v>0</v>
      </c>
      <c r="L526">
        <f t="shared" si="705"/>
        <v>0</v>
      </c>
      <c r="M526" s="65"/>
      <c r="N526" s="65" t="s">
        <v>3479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3673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3674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3662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1532</v>
      </c>
      <c r="I530" s="158">
        <f ca="1">IF(B530="",$C$1-A530,H530)</f>
        <v>1532</v>
      </c>
      <c r="J530" s="158" t="s">
        <v>48</v>
      </c>
      <c r="K530" s="158">
        <f ca="1">(H530*$C530)/365.25</f>
        <v>1459.6468172484599</v>
      </c>
      <c r="L530" s="158">
        <f ca="1">(I530*$C530)/365.25</f>
        <v>1459.6468172484599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3742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3479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3743</v>
      </c>
      <c r="K532">
        <f t="shared" si="714"/>
        <v>0</v>
      </c>
      <c r="L532">
        <f t="shared" si="715"/>
        <v>0</v>
      </c>
      <c r="M532" s="65"/>
      <c r="N532" s="65" t="s">
        <v>3479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3744</v>
      </c>
      <c r="K533">
        <f t="shared" si="714"/>
        <v>0</v>
      </c>
      <c r="L533">
        <f t="shared" si="715"/>
        <v>0</v>
      </c>
      <c r="M533" s="65"/>
      <c r="N533" s="65" t="s">
        <v>3479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1515</v>
      </c>
      <c r="J534" s="152" t="s">
        <v>84</v>
      </c>
      <c r="K534" s="152">
        <f t="shared" si="714"/>
        <v>92.035592060232716</v>
      </c>
      <c r="L534" s="152">
        <f t="shared" ca="1" si="715"/>
        <v>792.2381930184805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3745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3746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3747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3485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3748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3491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3749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3479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3750</v>
      </c>
      <c r="K542">
        <f t="shared" si="735"/>
        <v>0</v>
      </c>
      <c r="L542">
        <f t="shared" si="736"/>
        <v>0</v>
      </c>
      <c r="M542" s="65"/>
      <c r="N542" s="65" t="s">
        <v>3479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3751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3483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1482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113.60985626283367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3752</v>
      </c>
      <c r="K546">
        <f t="shared" si="743"/>
        <v>0</v>
      </c>
      <c r="L546">
        <f t="shared" si="744"/>
        <v>0</v>
      </c>
      <c r="M546" s="65"/>
      <c r="N546" s="65" t="s">
        <v>3479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3490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3753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3479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3461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3754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3479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3755</v>
      </c>
      <c r="K551">
        <f t="shared" si="765"/>
        <v>0</v>
      </c>
      <c r="L551">
        <f t="shared" si="766"/>
        <v>0</v>
      </c>
      <c r="M551" s="65"/>
      <c r="N551" s="65" t="s">
        <v>3479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3756</v>
      </c>
      <c r="K552">
        <f t="shared" si="765"/>
        <v>0</v>
      </c>
      <c r="L552">
        <f t="shared" si="766"/>
        <v>0</v>
      </c>
      <c r="M552" s="65"/>
      <c r="N552" s="65" t="s">
        <v>3479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3757</v>
      </c>
      <c r="K553">
        <f t="shared" si="765"/>
        <v>0</v>
      </c>
      <c r="L553">
        <f t="shared" si="766"/>
        <v>0</v>
      </c>
      <c r="M553" s="65"/>
      <c r="N553" s="65" t="s">
        <v>3479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3758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3759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3479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3479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3760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3460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3761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3762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3479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3763</v>
      </c>
      <c r="K561">
        <f>IF(F561&gt;0,(H561*$F561)/365.25,0)</f>
        <v>0</v>
      </c>
      <c r="L561">
        <f t="shared" si="785"/>
        <v>0</v>
      </c>
      <c r="M561" s="65"/>
      <c r="N561" s="65" t="s">
        <v>3479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3764</v>
      </c>
      <c r="K562">
        <f>IF(F562&gt;0,(H562*$F562)/365.25,0)</f>
        <v>0</v>
      </c>
      <c r="L562">
        <f t="shared" si="785"/>
        <v>0</v>
      </c>
      <c r="M562" s="65"/>
      <c r="N562" s="65" t="s">
        <v>3479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3765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3766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3462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3479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3767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3689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3768</v>
      </c>
      <c r="K569" s="200">
        <f t="shared" si="807"/>
        <v>0</v>
      </c>
      <c r="L569" s="200">
        <f t="shared" si="808"/>
        <v>0</v>
      </c>
      <c r="M569" s="200" t="s">
        <v>3689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1349</v>
      </c>
      <c r="I570" s="158">
        <f ca="1">IF(B570="",$C$1-A570,H570)</f>
        <v>1349</v>
      </c>
      <c r="J570" s="158" t="s">
        <v>48</v>
      </c>
      <c r="K570" s="158">
        <f ca="1">(H570*$C570)/365.25</f>
        <v>6902.8911704312113</v>
      </c>
      <c r="L570" s="158">
        <f ca="1">(I570*$C570)/365.25</f>
        <v>6902.8911704312113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3479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3748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3791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3792</v>
      </c>
      <c r="O573" s="216">
        <f ca="1">(SUMPRODUCT(C572:C642,I572:I642)+SUMPRODUCT(D572:D642,I572:I642))/($C$1-$A$572)</f>
        <v>1214099.4688672167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1257</v>
      </c>
      <c r="I574">
        <f t="shared" ref="I574:I600" ca="1" si="829">IF(B574="",$C$1-A574,H574)</f>
        <v>1257</v>
      </c>
      <c r="J574" s="65" t="s">
        <v>3776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1256</v>
      </c>
      <c r="I575">
        <f t="shared" ca="1" si="829"/>
        <v>1256</v>
      </c>
      <c r="J575" s="65" t="s">
        <v>3776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1252</v>
      </c>
      <c r="I576">
        <f t="shared" ca="1" si="829"/>
        <v>1252</v>
      </c>
      <c r="J576" s="65" t="s">
        <v>3777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1249</v>
      </c>
      <c r="I577">
        <f t="shared" ca="1" si="829"/>
        <v>1249</v>
      </c>
      <c r="J577" s="65"/>
      <c r="K577">
        <f t="shared" si="830"/>
        <v>0</v>
      </c>
      <c r="L577">
        <f t="shared" si="831"/>
        <v>0</v>
      </c>
      <c r="M577" s="65"/>
      <c r="N577" s="65" t="s">
        <v>3479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1239</v>
      </c>
      <c r="J578" s="152" t="s">
        <v>84</v>
      </c>
      <c r="K578" s="152">
        <f t="shared" si="830"/>
        <v>54.414784394250511</v>
      </c>
      <c r="L578" s="152">
        <f t="shared" ca="1" si="831"/>
        <v>254.41478439425052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1235</v>
      </c>
      <c r="I579">
        <f t="shared" ref="I579" ca="1" si="836">IF(B579="",$C$1-A579,H579)</f>
        <v>1235</v>
      </c>
      <c r="J579" s="65" t="s">
        <v>3777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3462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1224</v>
      </c>
      <c r="I581">
        <f t="shared" ca="1" si="842"/>
        <v>1224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3485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3691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3737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1214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96.388774811772763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1168</v>
      </c>
      <c r="I586">
        <f t="shared" ref="I586" ca="1" si="866">IF(B586="",$C$1-A586,H586)</f>
        <v>1168</v>
      </c>
      <c r="J586" s="65"/>
      <c r="K586">
        <f t="shared" si="862"/>
        <v>0</v>
      </c>
      <c r="L586">
        <f t="shared" si="863"/>
        <v>0</v>
      </c>
      <c r="M586" s="65"/>
      <c r="N586" s="65" t="s">
        <v>3479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1167</v>
      </c>
      <c r="I587" s="158">
        <f ca="1">IF(B587="",$C$1-A587,H587)</f>
        <v>1167</v>
      </c>
      <c r="J587" s="158" t="s">
        <v>48</v>
      </c>
      <c r="K587" s="158">
        <f ca="1">(H587*$C587)/365.25</f>
        <v>12508.70636550308</v>
      </c>
      <c r="L587" s="158">
        <f ca="1">(I587*$C587)/365.25</f>
        <v>12508.70636550308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1160</v>
      </c>
      <c r="I588">
        <f t="shared" ca="1" si="829"/>
        <v>1160</v>
      </c>
      <c r="J588" s="65" t="s">
        <v>3778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1160</v>
      </c>
      <c r="I589">
        <f t="shared" ca="1" si="829"/>
        <v>1160</v>
      </c>
      <c r="J589" s="65" t="s">
        <v>3779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1160</v>
      </c>
      <c r="I590">
        <f t="shared" ca="1" si="829"/>
        <v>1160</v>
      </c>
      <c r="J590" s="65" t="s">
        <v>3780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1159</v>
      </c>
      <c r="I591">
        <f t="shared" ca="1" si="829"/>
        <v>1159</v>
      </c>
      <c r="J591" s="65" t="s">
        <v>3781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1159</v>
      </c>
      <c r="I592">
        <f t="shared" ca="1" si="829"/>
        <v>1159</v>
      </c>
      <c r="J592" s="65" t="s">
        <v>1548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1153</v>
      </c>
      <c r="J593" s="152" t="s">
        <v>84</v>
      </c>
      <c r="K593" s="152">
        <f t="shared" si="830"/>
        <v>73.511293634496923</v>
      </c>
      <c r="L593" s="152">
        <f t="shared" ca="1" si="831"/>
        <v>473.51129363449689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1148</v>
      </c>
      <c r="I594">
        <f t="shared" ca="1" si="829"/>
        <v>1148</v>
      </c>
      <c r="J594" s="65" t="s">
        <v>3780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1146</v>
      </c>
      <c r="I595">
        <f t="shared" ca="1" si="829"/>
        <v>1146</v>
      </c>
      <c r="J595" s="65" t="s">
        <v>3779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1146</v>
      </c>
      <c r="I596">
        <f t="shared" ca="1" si="829"/>
        <v>1146</v>
      </c>
      <c r="J596" s="65" t="s">
        <v>3779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1145</v>
      </c>
      <c r="I597">
        <f t="shared" ca="1" si="829"/>
        <v>1145</v>
      </c>
      <c r="J597" s="65" t="s">
        <v>3772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1144</v>
      </c>
      <c r="I598">
        <f t="shared" ca="1" si="829"/>
        <v>1144</v>
      </c>
      <c r="J598" s="65"/>
      <c r="K598">
        <f t="shared" si="830"/>
        <v>0</v>
      </c>
      <c r="L598">
        <f t="shared" si="831"/>
        <v>0</v>
      </c>
      <c r="M598" s="65"/>
      <c r="N598" s="65" t="s">
        <v>3479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1143</v>
      </c>
      <c r="I599">
        <f t="shared" ca="1" si="829"/>
        <v>1143</v>
      </c>
      <c r="J599" s="65" t="s">
        <v>3782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1142</v>
      </c>
      <c r="I600">
        <f t="shared" ca="1" si="829"/>
        <v>1142</v>
      </c>
      <c r="J600" s="65" t="s">
        <v>1537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1130</v>
      </c>
      <c r="I601">
        <f t="shared" ref="I601:I603" ca="1" si="873">IF(B601="",$C$1-A601,H601)</f>
        <v>1130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3479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3758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3787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3748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1125</v>
      </c>
      <c r="I605">
        <f t="shared" ca="1" si="881"/>
        <v>1125</v>
      </c>
      <c r="J605" s="65" t="s">
        <v>3783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1123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356.65434633812458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1120</v>
      </c>
      <c r="I607">
        <f t="shared" ca="1" si="881"/>
        <v>1120</v>
      </c>
      <c r="J607" s="65" t="s">
        <v>3784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1120</v>
      </c>
      <c r="I608">
        <f t="shared" ca="1" si="881"/>
        <v>1120</v>
      </c>
      <c r="J608" s="65" t="s">
        <v>3778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1119</v>
      </c>
      <c r="I609">
        <f t="shared" ca="1" si="881"/>
        <v>1119</v>
      </c>
      <c r="J609" s="65" t="s">
        <v>3783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3461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1116</v>
      </c>
      <c r="I611">
        <f t="shared" ref="I611" ca="1" si="888">IF(B611="",$C$1-A611,H611)</f>
        <v>1116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3479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1111</v>
      </c>
      <c r="I612">
        <f ca="1">IF(B612="",$C$1-A612,H612)</f>
        <v>1111</v>
      </c>
      <c r="J612" s="65" t="s">
        <v>3778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1104</v>
      </c>
      <c r="I613">
        <f t="shared" ref="I613:I614" ca="1" si="895">IF(B613="",$C$1-A613,H613)</f>
        <v>1104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3479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3460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3485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3760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3483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3788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3768</v>
      </c>
      <c r="K619" s="200">
        <f t="shared" si="911"/>
        <v>0</v>
      </c>
      <c r="L619" s="200">
        <f t="shared" si="912"/>
        <v>0</v>
      </c>
      <c r="M619" s="200" t="s">
        <v>3689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1091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301.68651608487335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1085</v>
      </c>
      <c r="I621">
        <f t="shared" ca="1" si="910"/>
        <v>1085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3479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1085</v>
      </c>
      <c r="I622">
        <f t="shared" ref="I622:I633" ca="1" si="921">IF(B622="",$C$1-A622,H622)</f>
        <v>1085</v>
      </c>
      <c r="J622" s="65" t="s">
        <v>3789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3765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3790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1075</v>
      </c>
      <c r="I625">
        <f t="shared" ca="1" si="933"/>
        <v>1075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3479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3458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1068</v>
      </c>
      <c r="I627">
        <f t="shared" ca="1" si="945"/>
        <v>1068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3479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1061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29.048596851471594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1054</v>
      </c>
      <c r="I629">
        <f t="shared" ca="1" si="921"/>
        <v>1054</v>
      </c>
      <c r="J629" s="65" t="s">
        <v>3789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3790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1035</v>
      </c>
      <c r="I631">
        <f t="shared" ca="1" si="921"/>
        <v>1035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3485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1032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25.429158110882955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1027</v>
      </c>
      <c r="I634">
        <f t="shared" ref="I634" ca="1" si="968">IF(B634="",$C$1-A634,H634)</f>
        <v>1027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3790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1001</v>
      </c>
      <c r="I636">
        <f t="shared" ca="1" si="975"/>
        <v>1001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990</v>
      </c>
      <c r="I637">
        <f t="shared" ref="I637:I644" ca="1" si="985">IF(B637="",$C$1-A637,H637)</f>
        <v>990</v>
      </c>
      <c r="J637" s="65" t="s">
        <v>3785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990</v>
      </c>
      <c r="I638">
        <f t="shared" ca="1" si="985"/>
        <v>990</v>
      </c>
      <c r="J638" s="65" t="s">
        <v>3675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3790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984</v>
      </c>
      <c r="I640" s="158">
        <f ca="1">IF(B640="",$C$1-A640,H640)</f>
        <v>984</v>
      </c>
      <c r="J640" s="158" t="s">
        <v>48</v>
      </c>
      <c r="K640" s="158">
        <f ca="1">(H640*$C640)/365.25</f>
        <v>11514.349075975359</v>
      </c>
      <c r="L640" s="158">
        <f ca="1">(I640*$C640)/365.25</f>
        <v>11514.349075975359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976</v>
      </c>
      <c r="I641">
        <f t="shared" ca="1" si="985"/>
        <v>976</v>
      </c>
      <c r="J641" s="65" t="s">
        <v>3784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976</v>
      </c>
      <c r="I642">
        <f t="shared" ca="1" si="985"/>
        <v>976</v>
      </c>
      <c r="J642" s="65" t="s">
        <v>3786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969</v>
      </c>
      <c r="I643" s="152">
        <f t="shared" ca="1" si="985"/>
        <v>969</v>
      </c>
      <c r="J643" s="152" t="s">
        <v>84</v>
      </c>
      <c r="K643" s="152">
        <f ca="1">IF(F643&gt;0,(H643*$F643)/365.25,0)</f>
        <v>888.74743326488704</v>
      </c>
      <c r="L643" s="152">
        <f ca="1">IF(F643&gt;0,(I643*$F643)/365.25,0)</f>
        <v>888.74743326488704</v>
      </c>
      <c r="M643" s="152"/>
      <c r="N643" s="217" t="s">
        <v>3793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964</v>
      </c>
      <c r="I644">
        <f t="shared" ca="1" si="985"/>
        <v>964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3794</v>
      </c>
      <c r="O644" s="216">
        <f ca="1">(SUMPRODUCT(C643:C694,I643:I694)+SUMPRODUCT(D643:D694,I643:I694))/($C$1-$A$643)</f>
        <v>2713820.8173374613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3790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3748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950</v>
      </c>
      <c r="I647">
        <f t="shared" ca="1" si="1011"/>
        <v>950</v>
      </c>
      <c r="J647" s="65" t="s">
        <v>3786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943</v>
      </c>
      <c r="I648">
        <f t="shared" ref="I648:I659" ca="1" si="1021">IF(B648="",$C$1-A648,H648)</f>
        <v>943</v>
      </c>
      <c r="J648" s="65" t="s">
        <v>3785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969</v>
      </c>
      <c r="I649" s="152">
        <f t="shared" ca="1" si="1021"/>
        <v>969</v>
      </c>
      <c r="J649" s="152" t="s">
        <v>84</v>
      </c>
      <c r="K649" s="152">
        <f ca="1">IF(F649&gt;0,(H649*$F649)/365.25,0)</f>
        <v>668.55030800821351</v>
      </c>
      <c r="L649" s="152">
        <f ca="1">IF(F649&gt;0,(I649*$F649)/365.25,0)</f>
        <v>668.55030800821351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923</v>
      </c>
      <c r="I650">
        <f t="shared" ca="1" si="1021"/>
        <v>923</v>
      </c>
      <c r="J650" s="65" t="s">
        <v>3773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923</v>
      </c>
      <c r="I651">
        <f t="shared" ca="1" si="1021"/>
        <v>923</v>
      </c>
      <c r="J651" s="65" t="s">
        <v>3774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923</v>
      </c>
      <c r="I652">
        <f t="shared" ca="1" si="1021"/>
        <v>923</v>
      </c>
      <c r="J652" s="65"/>
      <c r="K652">
        <f t="shared" si="1022"/>
        <v>0</v>
      </c>
      <c r="L652">
        <f t="shared" si="1023"/>
        <v>0</v>
      </c>
      <c r="M652" s="65"/>
      <c r="N652" s="65" t="s">
        <v>3479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923</v>
      </c>
      <c r="I653">
        <f t="shared" ca="1" si="1021"/>
        <v>923</v>
      </c>
      <c r="J653" s="65" t="s">
        <v>3775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923</v>
      </c>
      <c r="I654">
        <f t="shared" ref="I654:I655" ca="1" si="1030">IF(B654="",$C$1-A654,H654)</f>
        <v>923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3479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3790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913</v>
      </c>
      <c r="I656">
        <f t="shared" ref="I656" ca="1" si="1042">IF(B656="",$C$1-A656,H656)</f>
        <v>913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3479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913</v>
      </c>
      <c r="I657">
        <f t="shared" ca="1" si="1021"/>
        <v>913</v>
      </c>
      <c r="J657" s="65" t="s">
        <v>3795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909</v>
      </c>
      <c r="I658" s="152">
        <f t="shared" ref="I658" ca="1" si="1047">IF(B658="",$C$1-A658,H658)</f>
        <v>909</v>
      </c>
      <c r="J658" s="152" t="s">
        <v>84</v>
      </c>
      <c r="K658" s="152">
        <f ca="1">IF(F658&gt;0,(H658*$F658)/365.25,0)</f>
        <v>475.34291581108829</v>
      </c>
      <c r="L658" s="152">
        <f ca="1">IF(F658&gt;0,(I658*$F658)/365.25,0)</f>
        <v>475.34291581108829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902</v>
      </c>
      <c r="I659">
        <f t="shared" ca="1" si="1021"/>
        <v>902</v>
      </c>
      <c r="J659" s="65" t="s">
        <v>3796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902</v>
      </c>
      <c r="I660">
        <f t="shared" ref="I660:I677" ca="1" si="1051">IF(B660="",$C$1-A660,H660)</f>
        <v>902</v>
      </c>
      <c r="J660" s="65" t="s">
        <v>3797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901</v>
      </c>
      <c r="I661">
        <f t="shared" ca="1" si="1051"/>
        <v>901</v>
      </c>
      <c r="J661" s="65" t="s">
        <v>3798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896</v>
      </c>
      <c r="I662">
        <f t="shared" ca="1" si="1051"/>
        <v>896</v>
      </c>
      <c r="J662" s="65"/>
      <c r="K662">
        <f t="shared" si="1052"/>
        <v>0</v>
      </c>
      <c r="L662">
        <f t="shared" si="1053"/>
        <v>0</v>
      </c>
      <c r="M662" s="65"/>
      <c r="N662" s="65" t="s">
        <v>3479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895</v>
      </c>
      <c r="I663">
        <f t="shared" ca="1" si="1051"/>
        <v>895</v>
      </c>
      <c r="J663" s="65" t="s">
        <v>3795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894</v>
      </c>
      <c r="I664">
        <f t="shared" ca="1" si="1051"/>
        <v>894</v>
      </c>
      <c r="J664" s="65" t="s">
        <v>3796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893</v>
      </c>
      <c r="I665">
        <f t="shared" ca="1" si="1051"/>
        <v>893</v>
      </c>
      <c r="J665" s="65"/>
      <c r="K665">
        <f t="shared" si="1052"/>
        <v>0</v>
      </c>
      <c r="L665">
        <f t="shared" si="1053"/>
        <v>0</v>
      </c>
      <c r="M665" s="65"/>
      <c r="N665" s="65" t="s">
        <v>3479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3790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886</v>
      </c>
      <c r="I667">
        <f t="shared" ca="1" si="1051"/>
        <v>886</v>
      </c>
      <c r="J667" s="65"/>
      <c r="K667">
        <f t="shared" si="1052"/>
        <v>0</v>
      </c>
      <c r="L667">
        <f t="shared" si="1053"/>
        <v>0</v>
      </c>
      <c r="M667" s="65"/>
      <c r="N667" s="65" t="s">
        <v>3479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886</v>
      </c>
      <c r="I668">
        <f t="shared" ref="I668" ca="1" si="1062">IF(B668="",$C$1-A668,H668)</f>
        <v>886</v>
      </c>
      <c r="J668" s="65" t="s">
        <v>3803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3804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881</v>
      </c>
      <c r="I669">
        <f t="shared" ca="1" si="1051"/>
        <v>881</v>
      </c>
      <c r="J669" s="65" t="s">
        <v>3798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880</v>
      </c>
      <c r="I670" s="152">
        <f t="shared" ca="1" si="1051"/>
        <v>880</v>
      </c>
      <c r="J670" s="152" t="s">
        <v>84</v>
      </c>
      <c r="K670" s="152">
        <f ca="1">IF(F670&gt;0,(H670*$F670)/365.25,0)</f>
        <v>778.20670773442851</v>
      </c>
      <c r="L670" s="152">
        <f ca="1">IF(F670&gt;0,(I670*$F670)/365.25,0)</f>
        <v>778.20670773442851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880</v>
      </c>
      <c r="I671">
        <f t="shared" ca="1" si="1051"/>
        <v>880</v>
      </c>
      <c r="J671" s="65" t="s">
        <v>3799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880</v>
      </c>
      <c r="I672">
        <f t="shared" ca="1" si="1051"/>
        <v>880</v>
      </c>
      <c r="J672" s="65" t="s">
        <v>3800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880</v>
      </c>
      <c r="I673">
        <f t="shared" ca="1" si="1051"/>
        <v>880</v>
      </c>
      <c r="J673" s="65" t="s">
        <v>3801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875</v>
      </c>
      <c r="I674">
        <f t="shared" ca="1" si="1051"/>
        <v>875</v>
      </c>
      <c r="J674" s="65" t="s">
        <v>3802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875</v>
      </c>
      <c r="I675">
        <f t="shared" ca="1" si="1051"/>
        <v>875</v>
      </c>
      <c r="J675" s="65" t="s">
        <v>3676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868</v>
      </c>
      <c r="I676">
        <f t="shared" ca="1" si="1051"/>
        <v>868</v>
      </c>
      <c r="J676" s="65" t="s">
        <v>3806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868</v>
      </c>
      <c r="I677">
        <f t="shared" ca="1" si="1051"/>
        <v>868</v>
      </c>
      <c r="J677" s="65" t="s">
        <v>3803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3790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3805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3807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3485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850</v>
      </c>
      <c r="I682" s="152">
        <f t="shared" ca="1" si="1069"/>
        <v>850</v>
      </c>
      <c r="J682" s="152" t="s">
        <v>84</v>
      </c>
      <c r="K682" s="152">
        <f ca="1">IF(F682&gt;0,(H682*$F682)/365.25,0)</f>
        <v>1608.0766598220398</v>
      </c>
      <c r="L682" s="152">
        <f ca="1">IF(F682&gt;0,(I682*$F682)/365.25,0)</f>
        <v>1608.0766598220398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848</v>
      </c>
      <c r="I683">
        <f t="shared" ca="1" si="1069"/>
        <v>848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3479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848</v>
      </c>
      <c r="I684">
        <f t="shared" ref="I684:I694" ca="1" si="1080">IF(B684="",$C$1-A684,H684)</f>
        <v>848</v>
      </c>
      <c r="J684" s="65" t="s">
        <v>3799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847</v>
      </c>
      <c r="I685">
        <f t="shared" ca="1" si="1080"/>
        <v>847</v>
      </c>
      <c r="J685" s="65" t="s">
        <v>3800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843</v>
      </c>
      <c r="I686">
        <f t="shared" ca="1" si="1080"/>
        <v>843</v>
      </c>
      <c r="J686" s="65" t="s">
        <v>3801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3737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3808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848</v>
      </c>
      <c r="I689">
        <f t="shared" ca="1" si="1080"/>
        <v>848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3479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3790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825</v>
      </c>
      <c r="I691">
        <f t="shared" ca="1" si="1080"/>
        <v>825</v>
      </c>
      <c r="J691" s="65" t="s">
        <v>3770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825</v>
      </c>
      <c r="I692">
        <f t="shared" ca="1" si="1080"/>
        <v>825</v>
      </c>
      <c r="J692" s="65" t="s">
        <v>3770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824</v>
      </c>
      <c r="I693">
        <f t="shared" ca="1" si="1080"/>
        <v>824</v>
      </c>
      <c r="J693" s="65"/>
      <c r="K693">
        <f t="shared" si="1081"/>
        <v>0</v>
      </c>
      <c r="L693">
        <f t="shared" si="1082"/>
        <v>0</v>
      </c>
      <c r="M693" s="65"/>
      <c r="N693" s="227" t="s">
        <v>3809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824</v>
      </c>
      <c r="I694">
        <f t="shared" ca="1" si="1080"/>
        <v>824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3793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3794</v>
      </c>
      <c r="B699" s="216">
        <f ca="1">(SUMPRODUCT(C643:C694,I643:I694)+SUMPRODUCT(D643:D694,I643:I694))/($C$1-$A$643)</f>
        <v>2713820.8173374613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18" activePane="bottomLeft" state="frozen"/>
      <selection pane="bottomLeft" activeCell="H636" sqref="H63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4329</v>
      </c>
      <c r="B1" s="359" t="s">
        <v>31</v>
      </c>
      <c r="C1" s="360" t="s">
        <v>30</v>
      </c>
      <c r="D1" s="359" t="s">
        <v>3032</v>
      </c>
      <c r="E1" s="361" t="s">
        <v>31</v>
      </c>
      <c r="F1" s="360" t="s">
        <v>30</v>
      </c>
      <c r="G1" s="359" t="s">
        <v>3032</v>
      </c>
      <c r="H1" s="362"/>
      <c r="I1" s="362"/>
      <c r="J1" s="362" t="s">
        <v>5054</v>
      </c>
      <c r="K1" s="362" t="s">
        <v>4861</v>
      </c>
      <c r="L1" s="362" t="s">
        <v>4862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4860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4863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4863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4863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4863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4863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4863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4863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4863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4863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4863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4863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4863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4863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4863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4863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4863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4863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4863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4863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4863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4863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4863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4863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4863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3034</v>
      </c>
      <c r="I27" s="66"/>
      <c r="J27" t="s">
        <v>4863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4863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4863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4863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4863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3037</v>
      </c>
      <c r="I32" s="66"/>
      <c r="J32" t="s">
        <v>4863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4863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4863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3038</v>
      </c>
      <c r="I35" s="66"/>
      <c r="J35" t="s">
        <v>4863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3043</v>
      </c>
      <c r="I36" s="66">
        <v>43679</v>
      </c>
      <c r="J36" t="s">
        <v>4863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3035</v>
      </c>
      <c r="I37" s="66">
        <v>43665</v>
      </c>
      <c r="J37" t="s">
        <v>4863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4863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4863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4863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4863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3036</v>
      </c>
      <c r="I42" s="66">
        <v>43669</v>
      </c>
      <c r="J42" t="s">
        <v>4863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4863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3039</v>
      </c>
      <c r="I44" s="66">
        <v>43672</v>
      </c>
      <c r="J44" t="s">
        <v>4863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3040</v>
      </c>
      <c r="I45" s="66">
        <v>43677</v>
      </c>
      <c r="J45" t="s">
        <v>4863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4863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3034</v>
      </c>
      <c r="I47" s="200" t="s">
        <v>101</v>
      </c>
      <c r="J47" t="s">
        <v>4863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3041</v>
      </c>
      <c r="I48" s="66">
        <v>43677</v>
      </c>
      <c r="J48" t="s">
        <v>4863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3042</v>
      </c>
      <c r="I49" s="66">
        <v>43679</v>
      </c>
      <c r="J49" t="s">
        <v>4863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4863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3035</v>
      </c>
      <c r="I51" s="200" t="s">
        <v>101</v>
      </c>
      <c r="J51" t="s">
        <v>4863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3036</v>
      </c>
      <c r="I52" s="200" t="s">
        <v>101</v>
      </c>
      <c r="J52" t="s">
        <v>4863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3037</v>
      </c>
      <c r="I53" s="200" t="s">
        <v>101</v>
      </c>
      <c r="J53" t="s">
        <v>4863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4863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3038</v>
      </c>
      <c r="I55" s="200" t="s">
        <v>101</v>
      </c>
      <c r="J55" t="s">
        <v>4863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3039</v>
      </c>
      <c r="I56" s="200" t="s">
        <v>101</v>
      </c>
      <c r="J56" t="s">
        <v>4863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3040</v>
      </c>
      <c r="I57" s="200" t="s">
        <v>101</v>
      </c>
      <c r="J57" t="s">
        <v>4863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3041</v>
      </c>
      <c r="I58" s="200" t="s">
        <v>101</v>
      </c>
      <c r="J58" t="s">
        <v>4863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3042</v>
      </c>
      <c r="I59" s="200" t="s">
        <v>101</v>
      </c>
      <c r="J59" t="s">
        <v>4863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3043</v>
      </c>
      <c r="I60" s="200" t="s">
        <v>101</v>
      </c>
      <c r="J60" t="s">
        <v>4863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4863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4863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4863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4863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3493</v>
      </c>
      <c r="J65" t="s">
        <v>4863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4863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4863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4863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4863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3477</v>
      </c>
      <c r="I70" s="200" t="s">
        <v>101</v>
      </c>
      <c r="J70" t="s">
        <v>4863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3478</v>
      </c>
      <c r="I71" s="200" t="s">
        <v>101</v>
      </c>
      <c r="J71" t="s">
        <v>4863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3493</v>
      </c>
      <c r="J72" t="s">
        <v>4863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4863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4863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4863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4863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4863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4863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4863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4863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4863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4863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4863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4863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4863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4863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4863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4863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4863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4863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4860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4863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4863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4863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4863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3494</v>
      </c>
      <c r="J96" t="s">
        <v>4863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4863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4863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4863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4863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4863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4863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4863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4863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4863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4863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4863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4863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4863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4863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4863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4863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4863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4863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4863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4863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4863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4863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4863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4863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4863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4863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4863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4863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4863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4863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4863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4863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4863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4863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4863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4863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4863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4863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4863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4863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4863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4863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4863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4863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4863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4863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4863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4863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4863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4863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4863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4863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4863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4863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4863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4863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4863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4863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4863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4863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4863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4863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4863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4863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4863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4863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4863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4863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4863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4863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4863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4863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4863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4863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4863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4863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4863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4863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4863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4863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4863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4863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4863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4863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4863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4863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4863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4863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4863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4863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4863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4863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4863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4863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4863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4863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4863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3494</v>
      </c>
      <c r="J194" t="s">
        <v>4863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4863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4863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4863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4863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4863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4863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3495</v>
      </c>
      <c r="J201" t="s">
        <v>4863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4863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4863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4863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3495</v>
      </c>
      <c r="J205" t="s">
        <v>4863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4863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4863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4863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4863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4863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4863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4863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1519</v>
      </c>
      <c r="J213" t="s">
        <v>4863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1520</v>
      </c>
      <c r="J214" t="s">
        <v>4863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1521</v>
      </c>
      <c r="J215" t="s">
        <v>4863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3646</v>
      </c>
      <c r="J216" t="s">
        <v>4863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1523</v>
      </c>
      <c r="J217" t="s">
        <v>4863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3545</v>
      </c>
      <c r="J218" t="s">
        <v>4863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1522</v>
      </c>
      <c r="J219" t="s">
        <v>4863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1524</v>
      </c>
      <c r="J220" t="s">
        <v>4863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1525</v>
      </c>
      <c r="J221" t="s">
        <v>4863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3496</v>
      </c>
      <c r="J222" t="s">
        <v>4863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3497</v>
      </c>
      <c r="J223" t="s">
        <v>4863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1526</v>
      </c>
      <c r="J224" t="s">
        <v>4863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4863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4863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4863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1522</v>
      </c>
      <c r="J228" t="s">
        <v>4863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1524</v>
      </c>
      <c r="J229" t="s">
        <v>4863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1525</v>
      </c>
      <c r="J230" t="s">
        <v>4863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3497</v>
      </c>
      <c r="J231" t="s">
        <v>4863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1526</v>
      </c>
      <c r="J232" t="s">
        <v>4863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1527</v>
      </c>
      <c r="J233" t="s">
        <v>4863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4863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1528</v>
      </c>
      <c r="J235" t="s">
        <v>4863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1529</v>
      </c>
      <c r="J236" t="s">
        <v>4863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1530</v>
      </c>
      <c r="J237" t="s">
        <v>4863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1531</v>
      </c>
      <c r="J238" t="s">
        <v>4863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1532</v>
      </c>
      <c r="I239" s="65" t="s">
        <v>414</v>
      </c>
      <c r="J239" t="s">
        <v>4863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1533</v>
      </c>
      <c r="J240" t="s">
        <v>4863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4860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1534</v>
      </c>
      <c r="J242" t="s">
        <v>4863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3637</v>
      </c>
      <c r="J243" t="s">
        <v>4863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1535</v>
      </c>
      <c r="J244" t="s">
        <v>4863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3635</v>
      </c>
      <c r="J245" t="s">
        <v>4863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1530</v>
      </c>
      <c r="J246" t="s">
        <v>4863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1524</v>
      </c>
      <c r="J247" t="s">
        <v>4863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1536</v>
      </c>
      <c r="J248" t="s">
        <v>4863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1537</v>
      </c>
      <c r="J249" t="s">
        <v>4863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1538</v>
      </c>
      <c r="J250" t="s">
        <v>4863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1530</v>
      </c>
      <c r="J251" t="s">
        <v>4863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1539</v>
      </c>
      <c r="J252" t="s">
        <v>4863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1540</v>
      </c>
      <c r="J253" t="s">
        <v>4863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1541</v>
      </c>
      <c r="J254" t="s">
        <v>4863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4860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1542</v>
      </c>
      <c r="J256" t="s">
        <v>4863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3636</v>
      </c>
      <c r="J257" t="s">
        <v>4863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3637</v>
      </c>
      <c r="J258" t="s">
        <v>4863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3638</v>
      </c>
      <c r="J259" t="s">
        <v>4863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3639</v>
      </c>
      <c r="J260" t="s">
        <v>4863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3640</v>
      </c>
      <c r="J261" t="s">
        <v>4863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3641</v>
      </c>
      <c r="J262" t="s">
        <v>4863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3642</v>
      </c>
      <c r="J263" t="s">
        <v>4863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1543</v>
      </c>
      <c r="J264" t="s">
        <v>4863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4863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4863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1544</v>
      </c>
      <c r="J267" t="s">
        <v>4863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1545</v>
      </c>
      <c r="J268" t="s">
        <v>4863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3643</v>
      </c>
      <c r="J269" t="s">
        <v>4863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1546</v>
      </c>
      <c r="J270" t="s">
        <v>4863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1547</v>
      </c>
      <c r="J271" t="s">
        <v>4863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1548</v>
      </c>
      <c r="J272" t="s">
        <v>4863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3644</v>
      </c>
      <c r="J273" t="s">
        <v>4863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1549</v>
      </c>
      <c r="J274" t="s">
        <v>4863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3645</v>
      </c>
      <c r="J275" t="s">
        <v>4863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1555</v>
      </c>
      <c r="I276" s="200" t="s">
        <v>101</v>
      </c>
      <c r="J276" t="s">
        <v>4863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3634</v>
      </c>
      <c r="J277" t="s">
        <v>4863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1550</v>
      </c>
      <c r="J278" t="s">
        <v>4863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1551</v>
      </c>
      <c r="J279" t="s">
        <v>4863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3480</v>
      </c>
      <c r="I280" s="200" t="s">
        <v>101</v>
      </c>
      <c r="J280" t="s">
        <v>4863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3481</v>
      </c>
      <c r="I281" s="200" t="s">
        <v>101</v>
      </c>
      <c r="J281" t="s">
        <v>4863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3647</v>
      </c>
      <c r="J282" t="s">
        <v>4863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4863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3648</v>
      </c>
      <c r="J284" t="s">
        <v>4863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1556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3462</v>
      </c>
      <c r="I286" s="200" t="s">
        <v>101</v>
      </c>
      <c r="J286" t="s">
        <v>4863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3637</v>
      </c>
      <c r="J287" t="s">
        <v>4863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4863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3482</v>
      </c>
      <c r="I289" s="200" t="s">
        <v>101</v>
      </c>
      <c r="J289" t="s">
        <v>4863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4863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1552</v>
      </c>
      <c r="I291" s="65"/>
      <c r="J291" t="s">
        <v>4863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1519</v>
      </c>
      <c r="J292" t="s">
        <v>4863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1553</v>
      </c>
      <c r="I293" s="65"/>
      <c r="J293" t="s">
        <v>4863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3483</v>
      </c>
      <c r="I294" s="200" t="s">
        <v>101</v>
      </c>
      <c r="J294" t="s">
        <v>4863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3484</v>
      </c>
      <c r="I295" s="200" t="s">
        <v>101</v>
      </c>
      <c r="J295" t="s">
        <v>4863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1553</v>
      </c>
      <c r="I296" s="65"/>
      <c r="J296" t="s">
        <v>4863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1520</v>
      </c>
      <c r="J297" t="s">
        <v>4863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4863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3485</v>
      </c>
      <c r="I299" s="200" t="s">
        <v>101</v>
      </c>
      <c r="J299" t="s">
        <v>4863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3486</v>
      </c>
      <c r="I300" s="200" t="s">
        <v>101</v>
      </c>
      <c r="J300" t="s">
        <v>4863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3487</v>
      </c>
      <c r="I301" s="200" t="s">
        <v>101</v>
      </c>
      <c r="J301" t="s">
        <v>4863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3488</v>
      </c>
      <c r="I302" s="200" t="s">
        <v>101</v>
      </c>
      <c r="J302" t="s">
        <v>4863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3489</v>
      </c>
      <c r="I303" s="200" t="s">
        <v>101</v>
      </c>
      <c r="J303" t="s">
        <v>4863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3492</v>
      </c>
      <c r="I304" s="200" t="s">
        <v>101</v>
      </c>
      <c r="J304" t="s">
        <v>4863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3490</v>
      </c>
      <c r="I305" s="200" t="s">
        <v>101</v>
      </c>
      <c r="J305" t="s">
        <v>4863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3491</v>
      </c>
      <c r="I306" s="200" t="s">
        <v>101</v>
      </c>
      <c r="J306" t="s">
        <v>4863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4860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1551</v>
      </c>
      <c r="J308" t="s">
        <v>4863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1543</v>
      </c>
      <c r="J309" t="s">
        <v>4863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1533</v>
      </c>
      <c r="I310" s="65"/>
      <c r="J310" t="s">
        <v>4863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3643</v>
      </c>
      <c r="J311" t="s">
        <v>4863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3644</v>
      </c>
      <c r="J312" t="s">
        <v>4863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1537</v>
      </c>
      <c r="J313" t="s">
        <v>4863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1544</v>
      </c>
      <c r="J314" t="s">
        <v>4863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3649</v>
      </c>
      <c r="I315" s="65"/>
      <c r="J315" t="s">
        <v>4863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3457</v>
      </c>
      <c r="I316" s="200" t="s">
        <v>101</v>
      </c>
      <c r="J316" t="s">
        <v>4863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4863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3458</v>
      </c>
      <c r="I318" s="200" t="s">
        <v>101</v>
      </c>
      <c r="J318" t="s">
        <v>4863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3459</v>
      </c>
      <c r="I319" s="200" t="s">
        <v>101</v>
      </c>
      <c r="J319" t="s">
        <v>4863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3460</v>
      </c>
      <c r="I320" s="200" t="s">
        <v>101</v>
      </c>
      <c r="J320" t="s">
        <v>4863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3461</v>
      </c>
      <c r="I321" s="200" t="s">
        <v>101</v>
      </c>
      <c r="J321" t="s">
        <v>4863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3462</v>
      </c>
      <c r="I322" s="200" t="s">
        <v>101</v>
      </c>
      <c r="J322" t="s">
        <v>4863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1552</v>
      </c>
      <c r="I323" s="65"/>
      <c r="J323" t="s">
        <v>4863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4863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1537</v>
      </c>
      <c r="J325" t="s">
        <v>4863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3476</v>
      </c>
      <c r="I326" s="65"/>
      <c r="J326" t="s">
        <v>4863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3650</v>
      </c>
      <c r="I327" s="65"/>
      <c r="J327" t="s">
        <v>4863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3643</v>
      </c>
      <c r="J328" t="s">
        <v>4863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3644</v>
      </c>
      <c r="J329" t="s">
        <v>4863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3657</v>
      </c>
      <c r="J330" t="s">
        <v>4863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1551</v>
      </c>
      <c r="J331" t="s">
        <v>4863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4863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3649</v>
      </c>
      <c r="I333" s="65"/>
      <c r="J333" t="s">
        <v>4863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4863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3640</v>
      </c>
      <c r="J335" t="s">
        <v>4863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3658</v>
      </c>
      <c r="J336" t="s">
        <v>4863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3644</v>
      </c>
      <c r="J337" t="s">
        <v>4863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1529</v>
      </c>
      <c r="J338" t="s">
        <v>4863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1545</v>
      </c>
      <c r="J339" t="s">
        <v>4863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3643</v>
      </c>
      <c r="J340" t="s">
        <v>4863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3657</v>
      </c>
      <c r="J341" t="s">
        <v>4863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3640</v>
      </c>
      <c r="J342" t="s">
        <v>4863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3658</v>
      </c>
      <c r="J343" t="s">
        <v>4863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4863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3662</v>
      </c>
      <c r="I345" s="65"/>
      <c r="J345" t="s">
        <v>4863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4863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3496</v>
      </c>
      <c r="I347" s="65"/>
      <c r="J347" t="s">
        <v>4863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1524</v>
      </c>
      <c r="I348" s="65"/>
      <c r="J348" t="s">
        <v>4863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1533</v>
      </c>
      <c r="I349" s="65"/>
      <c r="J349" t="s">
        <v>4863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3669</v>
      </c>
      <c r="I350" s="65"/>
      <c r="J350" t="s">
        <v>4863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3663</v>
      </c>
      <c r="I351" s="65"/>
      <c r="J351" t="s">
        <v>4863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3663</v>
      </c>
      <c r="I352" s="65"/>
      <c r="J352" t="s">
        <v>4863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3664</v>
      </c>
      <c r="I353" s="65"/>
      <c r="J353" t="s">
        <v>4863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3663</v>
      </c>
      <c r="I354" s="65"/>
      <c r="J354" t="s">
        <v>4863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3663</v>
      </c>
      <c r="I355" s="65"/>
      <c r="J355" t="s">
        <v>4863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3664</v>
      </c>
      <c r="I356" s="65"/>
      <c r="J356" t="s">
        <v>4863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3665</v>
      </c>
      <c r="I357" s="65"/>
      <c r="J357" t="s">
        <v>4863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3674</v>
      </c>
      <c r="I358" s="65"/>
      <c r="J358" t="s">
        <v>4863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4863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3670</v>
      </c>
      <c r="I360" s="65"/>
      <c r="J360" t="s">
        <v>4863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3668</v>
      </c>
      <c r="I361" s="65"/>
      <c r="J361" t="s">
        <v>4863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3675</v>
      </c>
      <c r="I362" s="65"/>
      <c r="J362" t="s">
        <v>4863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3676</v>
      </c>
      <c r="I363" s="65"/>
      <c r="J363" t="s">
        <v>4863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3665</v>
      </c>
      <c r="I364" s="65"/>
      <c r="J364" t="s">
        <v>4863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1534</v>
      </c>
      <c r="I365" s="65" t="s">
        <v>414</v>
      </c>
      <c r="J365" t="s">
        <v>4863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3666</v>
      </c>
      <c r="I366" s="65" t="s">
        <v>414</v>
      </c>
      <c r="J366" t="s">
        <v>4863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3667</v>
      </c>
      <c r="I367" s="65" t="s">
        <v>414</v>
      </c>
      <c r="J367" t="s">
        <v>4863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3668</v>
      </c>
      <c r="I368" s="65"/>
      <c r="J368" t="s">
        <v>4863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3769</v>
      </c>
      <c r="I369" s="65"/>
      <c r="J369" t="s">
        <v>4863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3668</v>
      </c>
      <c r="I370" s="65"/>
      <c r="J370" t="s">
        <v>4863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4863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3462</v>
      </c>
      <c r="I372" s="200" t="s">
        <v>101</v>
      </c>
      <c r="J372" t="s">
        <v>4863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3669</v>
      </c>
      <c r="I373" s="65"/>
      <c r="J373" t="s">
        <v>4863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3670</v>
      </c>
      <c r="I374" s="65"/>
      <c r="J374" t="s">
        <v>4863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3688</v>
      </c>
      <c r="I375" s="200" t="s">
        <v>3689</v>
      </c>
      <c r="J375" t="s">
        <v>4863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3740</v>
      </c>
      <c r="I376" s="65"/>
      <c r="J376" t="s">
        <v>4863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3746</v>
      </c>
      <c r="I377" s="65"/>
      <c r="J377" t="s">
        <v>4863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3671</v>
      </c>
      <c r="I378" s="65"/>
      <c r="J378" t="s">
        <v>4863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3671</v>
      </c>
      <c r="I379" s="65"/>
      <c r="J379" t="s">
        <v>4863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4863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3671</v>
      </c>
      <c r="I381" s="65"/>
      <c r="J381" t="s">
        <v>4863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3673</v>
      </c>
      <c r="I382" s="65"/>
      <c r="J382" t="s">
        <v>4863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3673</v>
      </c>
      <c r="I383" s="65"/>
      <c r="J383" t="s">
        <v>4863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3770</v>
      </c>
      <c r="I384" s="65"/>
      <c r="J384" t="s">
        <v>4863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3771</v>
      </c>
      <c r="I385" s="65"/>
      <c r="J385" t="s">
        <v>4863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3671</v>
      </c>
      <c r="I386" s="65"/>
      <c r="J386" t="s">
        <v>4863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3672</v>
      </c>
      <c r="I387" s="65"/>
      <c r="J387" t="s">
        <v>4863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3672</v>
      </c>
      <c r="I388" s="65"/>
      <c r="J388" t="s">
        <v>4863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3672</v>
      </c>
      <c r="I389" s="65"/>
      <c r="J389" t="s">
        <v>4863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3691</v>
      </c>
      <c r="I390" s="200" t="s">
        <v>101</v>
      </c>
      <c r="J390" t="s">
        <v>4863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3737</v>
      </c>
      <c r="I391" s="200" t="s">
        <v>101</v>
      </c>
      <c r="J391" t="s">
        <v>4863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4863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3673</v>
      </c>
      <c r="I393" s="65"/>
      <c r="J393" t="s">
        <v>4863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3740</v>
      </c>
      <c r="I394" s="65"/>
      <c r="J394" t="s">
        <v>4863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3673</v>
      </c>
      <c r="I395" s="65"/>
      <c r="J395" t="s">
        <v>4863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3674</v>
      </c>
      <c r="I396" s="65"/>
      <c r="J396" t="s">
        <v>4863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3662</v>
      </c>
      <c r="I397" s="65"/>
      <c r="J397" t="s">
        <v>4863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4863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4863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3745</v>
      </c>
      <c r="I400" s="200" t="s">
        <v>101</v>
      </c>
      <c r="J400" t="s">
        <v>4863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3746</v>
      </c>
      <c r="I401" s="65"/>
      <c r="J401" t="s">
        <v>4863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3747</v>
      </c>
      <c r="I402" s="200" t="s">
        <v>101</v>
      </c>
      <c r="J402" t="s">
        <v>4863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3485</v>
      </c>
      <c r="I403" s="200" t="s">
        <v>101</v>
      </c>
      <c r="J403" t="s">
        <v>4863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3748</v>
      </c>
      <c r="I404" s="200" t="s">
        <v>101</v>
      </c>
      <c r="J404" t="s">
        <v>4863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3491</v>
      </c>
      <c r="I405" s="200" t="s">
        <v>101</v>
      </c>
      <c r="J405" t="s">
        <v>4863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3751</v>
      </c>
      <c r="I406" s="200" t="s">
        <v>101</v>
      </c>
      <c r="J406" t="s">
        <v>4863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3483</v>
      </c>
      <c r="I407" s="200" t="s">
        <v>101</v>
      </c>
      <c r="J407" t="s">
        <v>4863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4863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3490</v>
      </c>
      <c r="I409" s="200" t="s">
        <v>101</v>
      </c>
      <c r="J409" t="s">
        <v>4863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3461</v>
      </c>
      <c r="I410" s="200" t="s">
        <v>101</v>
      </c>
      <c r="J410" t="s">
        <v>4863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3758</v>
      </c>
      <c r="I411" s="200" t="s">
        <v>101</v>
      </c>
      <c r="J411" t="s">
        <v>4863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3760</v>
      </c>
      <c r="I412" s="200" t="s">
        <v>101</v>
      </c>
      <c r="J412" t="s">
        <v>4863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3460</v>
      </c>
      <c r="I413" s="200" t="s">
        <v>101</v>
      </c>
      <c r="J413" t="s">
        <v>4863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3761</v>
      </c>
      <c r="I414" s="200" t="s">
        <v>101</v>
      </c>
      <c r="J414" t="s">
        <v>4863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3765</v>
      </c>
      <c r="I415" s="200" t="s">
        <v>101</v>
      </c>
      <c r="J415" t="s">
        <v>4863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4863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3766</v>
      </c>
      <c r="I417" s="65"/>
      <c r="J417" t="s">
        <v>4863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3462</v>
      </c>
      <c r="I418" s="200" t="s">
        <v>101</v>
      </c>
      <c r="J418" t="s">
        <v>4863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3767</v>
      </c>
      <c r="I419" s="200" t="s">
        <v>3689</v>
      </c>
      <c r="J419" t="s">
        <v>4863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3768</v>
      </c>
      <c r="I420" s="200" t="s">
        <v>3689</v>
      </c>
      <c r="J420" t="s">
        <v>4863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4863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4863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3748</v>
      </c>
      <c r="I423" s="200" t="s">
        <v>101</v>
      </c>
      <c r="J423" t="s">
        <v>4863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4863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3776</v>
      </c>
      <c r="I425" s="65"/>
      <c r="J425" t="s">
        <v>4863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3776</v>
      </c>
      <c r="I426" s="65"/>
      <c r="J426" t="s">
        <v>4863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3777</v>
      </c>
      <c r="I427" s="65"/>
      <c r="J427" t="s">
        <v>4863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4863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3777</v>
      </c>
      <c r="I429" s="65"/>
      <c r="J429" t="s">
        <v>4863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3462</v>
      </c>
      <c r="I430" s="200" t="s">
        <v>101</v>
      </c>
      <c r="J430" t="s">
        <v>4863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3485</v>
      </c>
      <c r="I431" s="200" t="s">
        <v>101</v>
      </c>
      <c r="J431" t="s">
        <v>4863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3691</v>
      </c>
      <c r="I432" s="200" t="s">
        <v>101</v>
      </c>
      <c r="J432" t="s">
        <v>4863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3737</v>
      </c>
      <c r="I433" s="200" t="s">
        <v>101</v>
      </c>
      <c r="J433" t="s">
        <v>4863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4863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4863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3778</v>
      </c>
      <c r="I436" s="65"/>
      <c r="J436" t="s">
        <v>4863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3779</v>
      </c>
      <c r="I437" s="65"/>
      <c r="J437" t="s">
        <v>4863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3780</v>
      </c>
      <c r="I438" s="65"/>
      <c r="J438" t="s">
        <v>4863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3781</v>
      </c>
      <c r="I439" s="65"/>
      <c r="J439" t="s">
        <v>4863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1548</v>
      </c>
      <c r="I440" s="65"/>
      <c r="J440" t="s">
        <v>4863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4863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3780</v>
      </c>
      <c r="I442" s="65"/>
      <c r="J442" t="s">
        <v>4863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3779</v>
      </c>
      <c r="I443" s="65"/>
      <c r="J443" t="s">
        <v>4863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3779</v>
      </c>
      <c r="I444" s="65"/>
      <c r="J444" t="s">
        <v>4863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3772</v>
      </c>
      <c r="I445" s="65"/>
      <c r="J445" t="s">
        <v>4863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3782</v>
      </c>
      <c r="I446" s="65"/>
      <c r="J446" t="s">
        <v>4863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1537</v>
      </c>
      <c r="I447" s="65"/>
      <c r="J447" t="s">
        <v>4863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3758</v>
      </c>
      <c r="I448" s="200" t="s">
        <v>101</v>
      </c>
      <c r="J448" t="s">
        <v>4863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3787</v>
      </c>
      <c r="I449" s="200" t="s">
        <v>101</v>
      </c>
      <c r="J449" t="s">
        <v>4863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3748</v>
      </c>
      <c r="I450" s="200" t="s">
        <v>101</v>
      </c>
      <c r="J450" t="s">
        <v>4863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3783</v>
      </c>
      <c r="I451" s="65"/>
      <c r="J451" t="s">
        <v>4863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4863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3784</v>
      </c>
      <c r="I453" s="65"/>
      <c r="J453" t="s">
        <v>4863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3778</v>
      </c>
      <c r="I454" s="65"/>
      <c r="J454" t="s">
        <v>4863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3783</v>
      </c>
      <c r="I455" s="65"/>
      <c r="J455" t="s">
        <v>4863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3461</v>
      </c>
      <c r="I456" s="200" t="s">
        <v>101</v>
      </c>
      <c r="J456" t="s">
        <v>4863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3778</v>
      </c>
      <c r="I457" s="65"/>
      <c r="J457" t="s">
        <v>4863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3460</v>
      </c>
      <c r="I458" s="200" t="s">
        <v>101</v>
      </c>
      <c r="J458" t="s">
        <v>4863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3485</v>
      </c>
      <c r="I459" s="200" t="s">
        <v>101</v>
      </c>
      <c r="J459" t="s">
        <v>4863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3760</v>
      </c>
      <c r="I460" s="200" t="s">
        <v>101</v>
      </c>
      <c r="J460" t="s">
        <v>4863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3483</v>
      </c>
      <c r="I461" s="200" t="s">
        <v>101</v>
      </c>
      <c r="J461" t="s">
        <v>4863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3788</v>
      </c>
      <c r="I462" s="200" t="s">
        <v>101</v>
      </c>
      <c r="J462" t="s">
        <v>4863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3768</v>
      </c>
      <c r="I463" s="200" t="s">
        <v>3689</v>
      </c>
      <c r="J463" t="s">
        <v>4863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4863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3789</v>
      </c>
      <c r="I465" s="65"/>
      <c r="J465" t="s">
        <v>4863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3765</v>
      </c>
      <c r="I466" s="200" t="s">
        <v>101</v>
      </c>
      <c r="J466" t="s">
        <v>4863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3790</v>
      </c>
      <c r="I467" s="200" t="s">
        <v>101</v>
      </c>
      <c r="J467" t="s">
        <v>4863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3458</v>
      </c>
      <c r="I468" s="200" t="s">
        <v>101</v>
      </c>
      <c r="J468" t="s">
        <v>4863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4863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3789</v>
      </c>
      <c r="I470" s="65"/>
      <c r="J470" t="s">
        <v>4863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3790</v>
      </c>
      <c r="I471" s="200" t="s">
        <v>101</v>
      </c>
      <c r="J471" t="s">
        <v>4863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4863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3485</v>
      </c>
      <c r="I473" s="200" t="s">
        <v>101</v>
      </c>
      <c r="J473" t="s">
        <v>4863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4863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4863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3790</v>
      </c>
      <c r="I476" s="200" t="s">
        <v>101</v>
      </c>
      <c r="J476" t="s">
        <v>4863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4863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3785</v>
      </c>
      <c r="I478" s="65"/>
      <c r="J478" t="s">
        <v>4863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3675</v>
      </c>
      <c r="I479" s="65"/>
      <c r="J479" t="s">
        <v>4863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3790</v>
      </c>
      <c r="I480" s="200" t="s">
        <v>101</v>
      </c>
      <c r="J480" t="s">
        <v>4863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4863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3784</v>
      </c>
      <c r="I482" s="65"/>
      <c r="J482" t="s">
        <v>4863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3786</v>
      </c>
      <c r="I483" s="65"/>
      <c r="J483" t="s">
        <v>4863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4863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4863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4863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3790</v>
      </c>
      <c r="I487" s="200" t="s">
        <v>101</v>
      </c>
      <c r="J487" t="s">
        <v>4863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3748</v>
      </c>
      <c r="I488" s="200" t="s">
        <v>101</v>
      </c>
      <c r="J488" t="s">
        <v>4863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3786</v>
      </c>
      <c r="I489" s="65"/>
      <c r="J489" t="s">
        <v>4863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3785</v>
      </c>
      <c r="I490" s="65"/>
      <c r="J490" t="s">
        <v>4863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4863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3773</v>
      </c>
      <c r="I492" s="65"/>
      <c r="J492" t="s">
        <v>4863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3774</v>
      </c>
      <c r="I493" s="65"/>
      <c r="J493" t="s">
        <v>4863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3775</v>
      </c>
      <c r="I494" s="65"/>
      <c r="J494" t="s">
        <v>4863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3790</v>
      </c>
      <c r="I495" s="200" t="s">
        <v>101</v>
      </c>
      <c r="J495" t="s">
        <v>4863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3795</v>
      </c>
      <c r="I496" s="65"/>
      <c r="J496" t="s">
        <v>4863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4863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3796</v>
      </c>
      <c r="I498" s="65"/>
      <c r="J498" t="s">
        <v>4863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3797</v>
      </c>
      <c r="I499" s="65"/>
      <c r="J499" t="s">
        <v>4863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3798</v>
      </c>
      <c r="I500" s="65"/>
      <c r="J500" t="s">
        <v>4863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3795</v>
      </c>
      <c r="I501" s="65"/>
      <c r="J501" t="s">
        <v>4863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3796</v>
      </c>
      <c r="I502" s="65"/>
      <c r="J502" t="s">
        <v>4863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3790</v>
      </c>
      <c r="I503" s="200" t="s">
        <v>101</v>
      </c>
      <c r="J503" t="s">
        <v>4863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3803</v>
      </c>
      <c r="I504" s="65" t="s">
        <v>3804</v>
      </c>
      <c r="J504" t="s">
        <v>4863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3798</v>
      </c>
      <c r="I505" s="65"/>
      <c r="J505" t="s">
        <v>4863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4863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3799</v>
      </c>
      <c r="I507" s="65"/>
      <c r="J507" t="s">
        <v>4863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3800</v>
      </c>
      <c r="I508" s="65"/>
      <c r="J508" t="s">
        <v>4863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3801</v>
      </c>
      <c r="I509" s="65"/>
      <c r="J509" t="s">
        <v>4863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3802</v>
      </c>
      <c r="I510" s="65"/>
      <c r="J510" t="s">
        <v>4863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3676</v>
      </c>
      <c r="I511" s="65"/>
      <c r="J511" t="s">
        <v>4863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3806</v>
      </c>
      <c r="I512" s="65"/>
      <c r="J512" t="s">
        <v>4863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3803</v>
      </c>
      <c r="I513" s="65"/>
      <c r="J513" t="s">
        <v>4863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3790</v>
      </c>
      <c r="I514" s="200" t="s">
        <v>101</v>
      </c>
      <c r="J514" t="s">
        <v>4863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3805</v>
      </c>
      <c r="I515" s="200" t="s">
        <v>101</v>
      </c>
      <c r="J515" t="s">
        <v>4863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3807</v>
      </c>
      <c r="I516" s="200" t="s">
        <v>101</v>
      </c>
      <c r="J516" t="s">
        <v>4863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3485</v>
      </c>
      <c r="I517" s="200" t="s">
        <v>101</v>
      </c>
      <c r="J517" t="s">
        <v>4863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4863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3799</v>
      </c>
      <c r="I519" s="65"/>
      <c r="J519" t="s">
        <v>4863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3800</v>
      </c>
      <c r="I520" s="65"/>
      <c r="J520" t="s">
        <v>4863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3801</v>
      </c>
      <c r="I521" s="65"/>
      <c r="J521" t="s">
        <v>4863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3737</v>
      </c>
      <c r="I522" s="200" t="s">
        <v>101</v>
      </c>
      <c r="J522" t="s">
        <v>4863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3808</v>
      </c>
      <c r="I523" s="200" t="s">
        <v>101</v>
      </c>
      <c r="J523" t="s">
        <v>4863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3479</v>
      </c>
      <c r="J524" t="s">
        <v>4863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3790</v>
      </c>
      <c r="I525" s="200" t="s">
        <v>101</v>
      </c>
      <c r="J525" t="s">
        <v>4863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3770</v>
      </c>
      <c r="I526" s="65"/>
      <c r="J526" t="s">
        <v>4863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3770</v>
      </c>
      <c r="I527" s="65"/>
      <c r="J527" t="s">
        <v>4863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5055</v>
      </c>
      <c r="J528" t="s">
        <v>4860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3809</v>
      </c>
      <c r="J529" t="s">
        <v>4863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5056</v>
      </c>
      <c r="I530" s="65"/>
      <c r="J530" t="s">
        <v>4863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5055</v>
      </c>
      <c r="J531" t="s">
        <v>4860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3823</v>
      </c>
      <c r="I532" s="65" t="s">
        <v>5030</v>
      </c>
      <c r="J532" t="s">
        <v>4863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3790</v>
      </c>
      <c r="I533" s="200" t="s">
        <v>101</v>
      </c>
      <c r="J533" t="s">
        <v>4863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5059</v>
      </c>
      <c r="I534" t="s">
        <v>101</v>
      </c>
      <c r="J534" t="s">
        <v>4863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5057</v>
      </c>
      <c r="I535" s="200" t="s">
        <v>101</v>
      </c>
      <c r="J535" t="s">
        <v>4863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5059</v>
      </c>
      <c r="I536" t="s">
        <v>101</v>
      </c>
      <c r="J536" t="s">
        <v>4863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3751</v>
      </c>
      <c r="I537" s="200" t="s">
        <v>101</v>
      </c>
      <c r="J537" t="s">
        <v>4863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5058</v>
      </c>
      <c r="I538" s="200" t="s">
        <v>101</v>
      </c>
      <c r="J538" t="s">
        <v>4863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5059</v>
      </c>
      <c r="I539" t="s">
        <v>101</v>
      </c>
      <c r="J539" t="s">
        <v>4863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5060</v>
      </c>
      <c r="I540" s="200" t="s">
        <v>101</v>
      </c>
      <c r="J540" t="s">
        <v>4863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3831</v>
      </c>
      <c r="I541" s="200" t="s">
        <v>101</v>
      </c>
      <c r="J541" t="s">
        <v>4863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4863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5059</v>
      </c>
      <c r="I543" t="s">
        <v>101</v>
      </c>
      <c r="J543" t="s">
        <v>4863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3790</v>
      </c>
      <c r="I544" s="200" t="s">
        <v>101</v>
      </c>
      <c r="J544" t="s">
        <v>4863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3485</v>
      </c>
      <c r="I545" s="200" t="s">
        <v>101</v>
      </c>
      <c r="J545" t="s">
        <v>4863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4863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5059</v>
      </c>
      <c r="I547" t="s">
        <v>101</v>
      </c>
      <c r="J547" t="s">
        <v>4863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3790</v>
      </c>
      <c r="I548" s="200" t="s">
        <v>101</v>
      </c>
      <c r="J548" t="s">
        <v>4863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5061</v>
      </c>
      <c r="I549" s="65" t="s">
        <v>3804</v>
      </c>
      <c r="J549" t="s">
        <v>4863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4863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3790</v>
      </c>
      <c r="I551" s="200" t="s">
        <v>101</v>
      </c>
      <c r="J551" t="s">
        <v>4863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4863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4863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3831</v>
      </c>
      <c r="I554" s="200" t="s">
        <v>101</v>
      </c>
      <c r="J554" t="s">
        <v>4863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4863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5059</v>
      </c>
      <c r="I556" s="65"/>
      <c r="J556" t="s">
        <v>4863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5059</v>
      </c>
      <c r="I557" s="65"/>
      <c r="J557" t="s">
        <v>4863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5059</v>
      </c>
      <c r="I558" s="65"/>
      <c r="J558" t="s">
        <v>4863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3790</v>
      </c>
      <c r="I559" s="200" t="s">
        <v>101</v>
      </c>
      <c r="J559" t="s">
        <v>4863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4863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5059</v>
      </c>
      <c r="I561" s="65"/>
      <c r="J561" t="s">
        <v>4863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4863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5059</v>
      </c>
      <c r="I563" s="65"/>
      <c r="J563" t="s">
        <v>4863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4863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5059</v>
      </c>
      <c r="I565" s="65"/>
      <c r="J565" t="s">
        <v>4863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3831</v>
      </c>
      <c r="I566" s="200" t="s">
        <v>101</v>
      </c>
      <c r="J566" t="s">
        <v>4863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3485</v>
      </c>
      <c r="I567" s="200" t="s">
        <v>101</v>
      </c>
      <c r="J567" t="s">
        <v>4863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5062</v>
      </c>
      <c r="I568" s="200" t="s">
        <v>101</v>
      </c>
      <c r="J568" t="s">
        <v>4863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5063</v>
      </c>
      <c r="I569" s="200" t="s">
        <v>101</v>
      </c>
      <c r="J569" t="s">
        <v>4863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5063</v>
      </c>
      <c r="I570" s="200" t="s">
        <v>101</v>
      </c>
      <c r="J570" t="s">
        <v>4863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4863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4863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5059</v>
      </c>
      <c r="I573" s="65"/>
      <c r="J573" t="s">
        <v>4863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4863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3831</v>
      </c>
      <c r="I575" s="200" t="s">
        <v>101</v>
      </c>
      <c r="J575" t="s">
        <v>4863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5059</v>
      </c>
      <c r="I576" s="65"/>
      <c r="J576" t="s">
        <v>4863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5064</v>
      </c>
      <c r="I577" s="200" t="s">
        <v>101</v>
      </c>
      <c r="J577" t="s">
        <v>4863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5065</v>
      </c>
      <c r="I578" s="200" t="s">
        <v>101</v>
      </c>
      <c r="J578" t="s">
        <v>4863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5066</v>
      </c>
      <c r="I579" s="200" t="s">
        <v>101</v>
      </c>
      <c r="J579" t="s">
        <v>4863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5067</v>
      </c>
      <c r="I580" s="200" t="s">
        <v>101</v>
      </c>
      <c r="J580" t="s">
        <v>4863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5059</v>
      </c>
      <c r="I581" s="65"/>
      <c r="J581" t="s">
        <v>4863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5068</v>
      </c>
      <c r="I582" s="200" t="s">
        <v>101</v>
      </c>
      <c r="J582" t="s">
        <v>4863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5059</v>
      </c>
      <c r="I583" s="65"/>
      <c r="J583" t="s">
        <v>4863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4863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5069</v>
      </c>
      <c r="I585" s="200" t="s">
        <v>101</v>
      </c>
      <c r="J585" t="s">
        <v>4863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5070</v>
      </c>
      <c r="I586" s="200" t="s">
        <v>101</v>
      </c>
      <c r="J586" t="s">
        <v>4863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5058</v>
      </c>
      <c r="I587" s="200" t="s">
        <v>101</v>
      </c>
      <c r="J587" t="s">
        <v>4863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3460</v>
      </c>
      <c r="I588" s="200" t="s">
        <v>101</v>
      </c>
      <c r="J588" t="s">
        <v>4863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3483</v>
      </c>
      <c r="I589" s="200" t="s">
        <v>101</v>
      </c>
      <c r="J589" t="s">
        <v>4863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5059</v>
      </c>
      <c r="I590" s="65"/>
      <c r="J590" t="s">
        <v>4863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4863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5071</v>
      </c>
      <c r="I592" s="200" t="s">
        <v>101</v>
      </c>
      <c r="J592" t="s">
        <v>4863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4606</v>
      </c>
      <c r="I593" s="65" t="s">
        <v>5030</v>
      </c>
      <c r="J593" t="s">
        <v>4860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3831</v>
      </c>
      <c r="I594" s="200" t="s">
        <v>101</v>
      </c>
      <c r="J594" t="s">
        <v>4863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4863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3831</v>
      </c>
      <c r="I596" s="200" t="s">
        <v>101</v>
      </c>
      <c r="J596" t="s">
        <v>4863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4863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5056</v>
      </c>
      <c r="I598" s="65"/>
      <c r="J598" t="s">
        <v>4863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4870</v>
      </c>
      <c r="I599" s="65"/>
      <c r="J599" t="s">
        <v>4863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5072</v>
      </c>
      <c r="I600" s="65"/>
      <c r="J600" t="s">
        <v>4863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5059</v>
      </c>
      <c r="I601" s="65"/>
      <c r="J601" t="s">
        <v>4863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4870</v>
      </c>
      <c r="I602" s="65"/>
      <c r="J602" t="s">
        <v>4863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5059</v>
      </c>
      <c r="I603" s="65"/>
      <c r="J603" t="s">
        <v>4863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4863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4870</v>
      </c>
      <c r="I605" s="65"/>
      <c r="J605" t="s">
        <v>4863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4863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4870</v>
      </c>
      <c r="I607" s="65"/>
      <c r="J607" t="s">
        <v>4863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4870</v>
      </c>
      <c r="I608" s="65"/>
      <c r="J608" t="s">
        <v>4863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4870</v>
      </c>
      <c r="I609" s="65"/>
      <c r="J609" t="s">
        <v>4863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4870</v>
      </c>
      <c r="I610" s="65"/>
      <c r="J610" t="s">
        <v>4863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4870</v>
      </c>
      <c r="I611" s="65"/>
      <c r="J611" t="s">
        <v>4863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5029</v>
      </c>
      <c r="J612" t="s">
        <v>4863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5059</v>
      </c>
      <c r="I613" s="65"/>
      <c r="J613" t="s">
        <v>4863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4870</v>
      </c>
      <c r="I614" s="65"/>
      <c r="J614" t="s">
        <v>4863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4870</v>
      </c>
      <c r="I615" s="65"/>
      <c r="J615" t="s">
        <v>4863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4870</v>
      </c>
      <c r="I616" s="65"/>
      <c r="J616" t="s">
        <v>4863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5059</v>
      </c>
      <c r="I617" s="65"/>
      <c r="J617" t="s">
        <v>4863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5059</v>
      </c>
      <c r="I618" s="65"/>
      <c r="J618" t="s">
        <v>4863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4863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3831</v>
      </c>
      <c r="I620" s="200" t="s">
        <v>101</v>
      </c>
      <c r="J620" t="s">
        <v>4863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4870</v>
      </c>
      <c r="I621" s="65"/>
      <c r="J621" t="s">
        <v>4863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4870</v>
      </c>
      <c r="I622" s="65"/>
      <c r="J622" t="s">
        <v>4863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5059</v>
      </c>
      <c r="I623" s="65"/>
      <c r="J623" t="s">
        <v>4863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4863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4863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5059</v>
      </c>
      <c r="I626" s="65"/>
      <c r="J626" t="s">
        <v>4863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4870</v>
      </c>
      <c r="I627" s="65"/>
      <c r="J627" t="s">
        <v>4863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4870</v>
      </c>
      <c r="I628" s="65"/>
      <c r="J628" t="s">
        <v>4863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5059</v>
      </c>
      <c r="I629" s="65"/>
      <c r="J629" t="s">
        <v>4863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4870</v>
      </c>
      <c r="I630" s="65"/>
      <c r="J630" t="s">
        <v>4863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5059</v>
      </c>
      <c r="I631" s="65"/>
      <c r="J631" t="s">
        <v>4863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3485</v>
      </c>
      <c r="I632" s="200" t="s">
        <v>101</v>
      </c>
      <c r="J632" t="s">
        <v>4863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5059</v>
      </c>
      <c r="I633" s="65"/>
      <c r="J633" t="s">
        <v>4863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5059</v>
      </c>
      <c r="I634" s="65"/>
      <c r="J634" t="s">
        <v>4863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3737</v>
      </c>
      <c r="I635" s="200" t="s">
        <v>101</v>
      </c>
      <c r="J635" t="s">
        <v>4863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4863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5059</v>
      </c>
      <c r="I637" s="65"/>
      <c r="J637" t="s">
        <v>4863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4870</v>
      </c>
      <c r="I638" s="65"/>
      <c r="J638" t="s">
        <v>4863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5059</v>
      </c>
      <c r="I639" s="65"/>
      <c r="J639" t="s">
        <v>4863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4863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4870</v>
      </c>
      <c r="I641" s="65"/>
      <c r="J641" t="s">
        <v>4863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4870</v>
      </c>
      <c r="I642" s="65"/>
      <c r="J642" t="s">
        <v>4863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5059</v>
      </c>
      <c r="I643" s="65"/>
      <c r="J643" t="s">
        <v>4863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4870</v>
      </c>
      <c r="I644" s="65"/>
      <c r="J644" t="s">
        <v>4863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5059</v>
      </c>
      <c r="I645" s="65"/>
      <c r="J645" t="s">
        <v>4863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5101</v>
      </c>
      <c r="I646" s="200" t="s">
        <v>101</v>
      </c>
      <c r="J646" t="s">
        <v>4863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5059</v>
      </c>
      <c r="I647" s="65"/>
      <c r="J647" t="s">
        <v>4863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5059</v>
      </c>
      <c r="I648" s="65"/>
      <c r="J648" t="s">
        <v>4863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4870</v>
      </c>
      <c r="I649" s="65"/>
      <c r="J649" t="s">
        <v>4863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4870</v>
      </c>
      <c r="I650" s="65"/>
      <c r="J650" t="s">
        <v>4863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4870</v>
      </c>
      <c r="I651" s="65"/>
      <c r="J651" t="s">
        <v>4863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4863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D652</f>
        <v>1030644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12"/>
  <sheetViews>
    <sheetView zoomScale="85" zoomScaleNormal="85" workbookViewId="0">
      <pane ySplit="1" topLeftCell="A281" activePane="bottomLeft" state="frozen"/>
      <selection pane="bottomLeft" activeCell="H278" sqref="H278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4329</v>
      </c>
      <c r="B1" s="145" t="s">
        <v>31</v>
      </c>
      <c r="C1" s="299" t="s">
        <v>30</v>
      </c>
      <c r="D1" s="145" t="s">
        <v>3032</v>
      </c>
      <c r="E1" s="330" t="s">
        <v>31</v>
      </c>
      <c r="F1" s="299" t="s">
        <v>30</v>
      </c>
      <c r="G1" s="145" t="s">
        <v>3032</v>
      </c>
      <c r="H1" s="82"/>
      <c r="J1" t="s">
        <v>5054</v>
      </c>
      <c r="K1" t="s">
        <v>4861</v>
      </c>
      <c r="L1" t="s">
        <v>4862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4284</v>
      </c>
      <c r="J2" t="s">
        <v>4860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4283</v>
      </c>
      <c r="J3" t="s">
        <v>4860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4285</v>
      </c>
      <c r="J4" t="s">
        <v>4860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4863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4285</v>
      </c>
      <c r="J6" t="s">
        <v>4860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4863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4286</v>
      </c>
      <c r="J8" t="s">
        <v>4860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4863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4285</v>
      </c>
      <c r="J10" t="s">
        <v>4860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4863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4286</v>
      </c>
      <c r="J12" t="s">
        <v>4860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4863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4285</v>
      </c>
      <c r="J14" t="s">
        <v>4860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4863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4863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4285</v>
      </c>
      <c r="J17" t="s">
        <v>4860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4863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4287</v>
      </c>
      <c r="J19" t="s">
        <v>4860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4288</v>
      </c>
      <c r="J20" t="s">
        <v>4860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4863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4289</v>
      </c>
      <c r="J22" t="s">
        <v>4860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4864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4863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4285</v>
      </c>
      <c r="J25" t="s">
        <v>4860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4290</v>
      </c>
      <c r="I26" s="200" t="s">
        <v>101</v>
      </c>
      <c r="J26" t="s">
        <v>4863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4863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4290</v>
      </c>
      <c r="I28" s="200" t="s">
        <v>101</v>
      </c>
      <c r="J28" t="s">
        <v>4863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4291</v>
      </c>
      <c r="I29" s="200" t="s">
        <v>101</v>
      </c>
      <c r="J29" t="s">
        <v>4863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4292</v>
      </c>
      <c r="J30" t="s">
        <v>4860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4290</v>
      </c>
      <c r="I31" s="200" t="s">
        <v>101</v>
      </c>
      <c r="J31" t="s">
        <v>4863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4295</v>
      </c>
      <c r="J32" t="s">
        <v>4860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4293</v>
      </c>
      <c r="J33" t="s">
        <v>4860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4294</v>
      </c>
      <c r="J34" t="s">
        <v>4860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4291</v>
      </c>
      <c r="I35" s="200" t="s">
        <v>101</v>
      </c>
      <c r="J35" t="s">
        <v>4863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4863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4296</v>
      </c>
      <c r="J37" t="s">
        <v>4863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4289</v>
      </c>
      <c r="J38" t="s">
        <v>4860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4863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4863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4290</v>
      </c>
      <c r="I41" s="200" t="s">
        <v>101</v>
      </c>
      <c r="J41" t="s">
        <v>4863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4285</v>
      </c>
      <c r="J42" t="s">
        <v>4860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4863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4297</v>
      </c>
      <c r="J44" t="s">
        <v>4860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4298</v>
      </c>
      <c r="J45" t="s">
        <v>4860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4299</v>
      </c>
      <c r="J46" t="s">
        <v>4860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4300</v>
      </c>
      <c r="J47" t="s">
        <v>4860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4290</v>
      </c>
      <c r="I48" s="200" t="s">
        <v>101</v>
      </c>
      <c r="J48" t="s">
        <v>4863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4301</v>
      </c>
      <c r="J49" t="s">
        <v>4860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4302</v>
      </c>
      <c r="J50" t="s">
        <v>4860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4303</v>
      </c>
      <c r="J51" t="s">
        <v>4860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4304</v>
      </c>
      <c r="J52" t="s">
        <v>4860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4863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4863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4290</v>
      </c>
      <c r="I55" s="200" t="s">
        <v>101</v>
      </c>
      <c r="J55" t="s">
        <v>4863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4305</v>
      </c>
      <c r="J56" t="s">
        <v>4860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4306</v>
      </c>
      <c r="J57" t="s">
        <v>4860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4307</v>
      </c>
      <c r="I58" s="65" t="s">
        <v>4308</v>
      </c>
      <c r="J58" t="s">
        <v>4863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2597</v>
      </c>
      <c r="I59" s="65" t="s">
        <v>4309</v>
      </c>
      <c r="J59" t="s">
        <v>4863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4307</v>
      </c>
      <c r="I60" s="65" t="s">
        <v>4310</v>
      </c>
      <c r="J60" t="s">
        <v>4863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4291</v>
      </c>
      <c r="I61" s="200" t="s">
        <v>101</v>
      </c>
      <c r="J61" t="s">
        <v>4863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4311</v>
      </c>
      <c r="J62" t="s">
        <v>4860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4312</v>
      </c>
      <c r="J63" t="s">
        <v>4860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4313</v>
      </c>
      <c r="J64" t="s">
        <v>4860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4863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2597</v>
      </c>
      <c r="I66" s="200" t="s">
        <v>101</v>
      </c>
      <c r="J66" t="s">
        <v>4863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4293</v>
      </c>
      <c r="J67" t="s">
        <v>4860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4295</v>
      </c>
      <c r="J68" t="s">
        <v>4860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4294</v>
      </c>
      <c r="J69" t="s">
        <v>4860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4290</v>
      </c>
      <c r="I70" s="200" t="s">
        <v>101</v>
      </c>
      <c r="J70" t="s">
        <v>4863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2597</v>
      </c>
      <c r="I71" s="200" t="s">
        <v>101</v>
      </c>
      <c r="J71" t="s">
        <v>4863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2597</v>
      </c>
      <c r="I72" s="200" t="s">
        <v>101</v>
      </c>
      <c r="J72" t="s">
        <v>4863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4291</v>
      </c>
      <c r="I73" s="200" t="s">
        <v>101</v>
      </c>
      <c r="J73" t="s">
        <v>4863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2597</v>
      </c>
      <c r="I74" s="200" t="s">
        <v>101</v>
      </c>
      <c r="J74" t="s">
        <v>4863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4289</v>
      </c>
      <c r="J75" t="s">
        <v>4860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4863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4863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4863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4863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4296</v>
      </c>
      <c r="J80" t="s">
        <v>4860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4815</v>
      </c>
      <c r="J81" t="s">
        <v>4863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4863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4290</v>
      </c>
      <c r="I83" s="200" t="s">
        <v>101</v>
      </c>
      <c r="J83" t="s">
        <v>4863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3790</v>
      </c>
      <c r="I84" s="200" t="s">
        <v>101</v>
      </c>
      <c r="J84" t="s">
        <v>4863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4314</v>
      </c>
      <c r="J85" t="s">
        <v>4860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3790</v>
      </c>
      <c r="I86" s="65" t="s">
        <v>4309</v>
      </c>
      <c r="J86" t="s">
        <v>4863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3790</v>
      </c>
      <c r="I87" s="200" t="s">
        <v>101</v>
      </c>
      <c r="J87" t="s">
        <v>4863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4285</v>
      </c>
      <c r="J88" t="s">
        <v>4860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4863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4315</v>
      </c>
      <c r="J90" t="s">
        <v>4860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3790</v>
      </c>
      <c r="I91" s="200" t="s">
        <v>101</v>
      </c>
      <c r="J91" t="s">
        <v>4863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4290</v>
      </c>
      <c r="I92" s="200" t="s">
        <v>101</v>
      </c>
      <c r="J92" t="s">
        <v>4863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4290</v>
      </c>
      <c r="I93" s="65" t="s">
        <v>4310</v>
      </c>
      <c r="J93" t="s">
        <v>4863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3790</v>
      </c>
      <c r="I94" s="200" t="s">
        <v>101</v>
      </c>
      <c r="J94" t="s">
        <v>4863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4863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3790</v>
      </c>
      <c r="I96" s="200" t="s">
        <v>101</v>
      </c>
      <c r="J96" t="s">
        <v>4863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3831</v>
      </c>
      <c r="I97" s="65" t="s">
        <v>4309</v>
      </c>
      <c r="J97" t="s">
        <v>4863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4316</v>
      </c>
      <c r="J98" t="s">
        <v>4860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3831</v>
      </c>
      <c r="I99" s="65" t="s">
        <v>4309</v>
      </c>
      <c r="J99" t="s">
        <v>4863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3790</v>
      </c>
      <c r="I100" s="200" t="s">
        <v>101</v>
      </c>
      <c r="J100" t="s">
        <v>4863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4863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4863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3831</v>
      </c>
      <c r="I103" s="200" t="s">
        <v>101</v>
      </c>
      <c r="J103" t="s">
        <v>4863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4317</v>
      </c>
      <c r="J104" t="s">
        <v>4860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4290</v>
      </c>
      <c r="I105" s="200" t="s">
        <v>101</v>
      </c>
      <c r="J105" t="s">
        <v>4863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3790</v>
      </c>
      <c r="I106" s="200" t="s">
        <v>101</v>
      </c>
      <c r="J106" t="s">
        <v>4863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4291</v>
      </c>
      <c r="I107" s="200" t="s">
        <v>101</v>
      </c>
      <c r="J107" t="s">
        <v>4863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2597</v>
      </c>
      <c r="I108" s="200" t="s">
        <v>101</v>
      </c>
      <c r="J108" t="s">
        <v>4863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2597</v>
      </c>
      <c r="I109" s="200" t="s">
        <v>101</v>
      </c>
      <c r="J109" t="s">
        <v>4863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3831</v>
      </c>
      <c r="I110" s="200" t="s">
        <v>101</v>
      </c>
      <c r="J110" t="s">
        <v>4863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4290</v>
      </c>
      <c r="I111" s="200" t="s">
        <v>101</v>
      </c>
      <c r="J111" t="s">
        <v>4863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2597</v>
      </c>
      <c r="I112" s="200" t="s">
        <v>101</v>
      </c>
      <c r="J112" t="s">
        <v>4863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4290</v>
      </c>
      <c r="I113" s="65" t="s">
        <v>4310</v>
      </c>
      <c r="J113" t="s">
        <v>4863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4290</v>
      </c>
      <c r="I114" s="65" t="s">
        <v>4318</v>
      </c>
      <c r="J114" t="s">
        <v>4860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2597</v>
      </c>
      <c r="I115" s="200" t="s">
        <v>101</v>
      </c>
      <c r="J115" t="s">
        <v>4863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4320</v>
      </c>
      <c r="I116" s="65" t="s">
        <v>4319</v>
      </c>
      <c r="J116" t="s">
        <v>4863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4321</v>
      </c>
      <c r="I117" s="65" t="s">
        <v>4319</v>
      </c>
      <c r="J117" t="s">
        <v>4863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4322</v>
      </c>
      <c r="J118" t="s">
        <v>4860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4863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4290</v>
      </c>
      <c r="I120" s="65" t="s">
        <v>4318</v>
      </c>
      <c r="J120" t="s">
        <v>4860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4291</v>
      </c>
      <c r="I121" s="200" t="s">
        <v>101</v>
      </c>
      <c r="J121" t="s">
        <v>4863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2597</v>
      </c>
      <c r="I122" s="200" t="s">
        <v>101</v>
      </c>
      <c r="J122" t="s">
        <v>4863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4320</v>
      </c>
      <c r="I123" s="65" t="s">
        <v>4319</v>
      </c>
      <c r="J123" t="s">
        <v>4863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4810</v>
      </c>
      <c r="I124" s="65" t="s">
        <v>4289</v>
      </c>
      <c r="J124" t="s">
        <v>4860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4863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4863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3790</v>
      </c>
      <c r="I127" s="65"/>
      <c r="J127" t="s">
        <v>4863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4810</v>
      </c>
      <c r="I128" s="65"/>
      <c r="J128" t="s">
        <v>4863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4296</v>
      </c>
      <c r="J129" t="s">
        <v>4860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2259</v>
      </c>
      <c r="I130" s="65" t="s">
        <v>4319</v>
      </c>
      <c r="J130" t="s">
        <v>4863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2375</v>
      </c>
      <c r="I131" s="65" t="s">
        <v>4319</v>
      </c>
      <c r="J131" t="s">
        <v>4863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4805</v>
      </c>
      <c r="I132" s="65" t="s">
        <v>4319</v>
      </c>
      <c r="J132" t="s">
        <v>4863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4323</v>
      </c>
      <c r="J133" t="s">
        <v>4860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3831</v>
      </c>
      <c r="I134" s="200" t="s">
        <v>101</v>
      </c>
      <c r="J134" t="s">
        <v>4863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4324</v>
      </c>
      <c r="J135" t="s">
        <v>4860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4801</v>
      </c>
      <c r="J136" t="s">
        <v>4863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4863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3790</v>
      </c>
      <c r="I138" s="65" t="s">
        <v>4310</v>
      </c>
      <c r="J138" t="s">
        <v>4863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4318</v>
      </c>
      <c r="J139" t="s">
        <v>4860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2375</v>
      </c>
      <c r="I140" s="200" t="s">
        <v>101</v>
      </c>
      <c r="J140" t="s">
        <v>4863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2597</v>
      </c>
      <c r="I141" s="200" t="s">
        <v>101</v>
      </c>
      <c r="J141" t="s">
        <v>4863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2255</v>
      </c>
      <c r="I142" s="65" t="s">
        <v>4319</v>
      </c>
      <c r="J142" t="s">
        <v>4863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2532</v>
      </c>
      <c r="I143" s="65" t="s">
        <v>4319</v>
      </c>
      <c r="J143" t="s">
        <v>4863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4325</v>
      </c>
      <c r="J144" t="s">
        <v>4860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4285</v>
      </c>
      <c r="J145" t="s">
        <v>4860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2375</v>
      </c>
      <c r="I146" s="65" t="s">
        <v>4319</v>
      </c>
      <c r="J146" t="s">
        <v>4863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4863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4318</v>
      </c>
      <c r="J148" t="s">
        <v>4860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4803</v>
      </c>
      <c r="I149" s="65" t="s">
        <v>4319</v>
      </c>
      <c r="J149" t="s">
        <v>4863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2532</v>
      </c>
      <c r="I150" s="65" t="s">
        <v>4319</v>
      </c>
      <c r="J150" t="s">
        <v>4863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4802</v>
      </c>
      <c r="I151" s="200" t="s">
        <v>101</v>
      </c>
      <c r="J151" t="s">
        <v>4863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4803</v>
      </c>
      <c r="I152" s="200" t="s">
        <v>101</v>
      </c>
      <c r="J152" t="s">
        <v>4863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2375</v>
      </c>
      <c r="I153" s="65" t="s">
        <v>4319</v>
      </c>
      <c r="J153" t="s">
        <v>4863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4285</v>
      </c>
      <c r="J154" t="s">
        <v>4860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4318</v>
      </c>
      <c r="J155" t="s">
        <v>4860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4803</v>
      </c>
      <c r="I156" s="65" t="s">
        <v>4319</v>
      </c>
      <c r="J156" t="s">
        <v>4863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2532</v>
      </c>
      <c r="I157" s="65" t="s">
        <v>4319</v>
      </c>
      <c r="J157" t="s">
        <v>4863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4805</v>
      </c>
      <c r="I158" s="200" t="s">
        <v>101</v>
      </c>
      <c r="J158" t="s">
        <v>4863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2375</v>
      </c>
      <c r="I159" s="65" t="s">
        <v>4319</v>
      </c>
      <c r="J159" t="s">
        <v>4863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4464</v>
      </c>
      <c r="I160" s="65" t="s">
        <v>5030</v>
      </c>
      <c r="J160" t="s">
        <v>4863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3831</v>
      </c>
      <c r="I161" s="200" t="s">
        <v>101</v>
      </c>
      <c r="J161" t="s">
        <v>4863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4318</v>
      </c>
      <c r="J162" t="s">
        <v>4860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2375</v>
      </c>
      <c r="I163" s="200" t="s">
        <v>101</v>
      </c>
      <c r="J163" t="s">
        <v>4863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2255</v>
      </c>
      <c r="I164" s="65" t="s">
        <v>4319</v>
      </c>
      <c r="J164" t="s">
        <v>4863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2532</v>
      </c>
      <c r="I165" s="65" t="s">
        <v>4319</v>
      </c>
      <c r="J165" t="s">
        <v>4863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2375</v>
      </c>
      <c r="I166" s="65" t="s">
        <v>4319</v>
      </c>
      <c r="J166" t="s">
        <v>4863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4318</v>
      </c>
      <c r="J167" t="s">
        <v>4860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4802</v>
      </c>
      <c r="I168" s="200" t="s">
        <v>101</v>
      </c>
      <c r="J168" t="s">
        <v>4863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2255</v>
      </c>
      <c r="I169" s="65" t="s">
        <v>4319</v>
      </c>
      <c r="J169" t="s">
        <v>4863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2532</v>
      </c>
      <c r="I170" s="65" t="s">
        <v>4319</v>
      </c>
      <c r="J170" t="s">
        <v>4863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2375</v>
      </c>
      <c r="I171" s="65" t="s">
        <v>4319</v>
      </c>
      <c r="J171" t="s">
        <v>4863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4806</v>
      </c>
      <c r="I172" s="65"/>
      <c r="J172" t="s">
        <v>4863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4807</v>
      </c>
      <c r="I173" s="65"/>
      <c r="J173" t="s">
        <v>4863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4318</v>
      </c>
      <c r="J174" t="s">
        <v>4860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4805</v>
      </c>
      <c r="I175" s="200" t="s">
        <v>101</v>
      </c>
      <c r="J175" t="s">
        <v>4863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2532</v>
      </c>
      <c r="I176" s="65" t="s">
        <v>4319</v>
      </c>
      <c r="J176" t="s">
        <v>4863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4863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4863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4804</v>
      </c>
      <c r="I179" s="65" t="s">
        <v>4319</v>
      </c>
      <c r="J179" t="s">
        <v>4863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4863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3831</v>
      </c>
      <c r="I181" s="200" t="s">
        <v>101</v>
      </c>
      <c r="J181" t="s">
        <v>4863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4318</v>
      </c>
      <c r="J182" t="s">
        <v>4860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4806</v>
      </c>
      <c r="I183" s="200" t="s">
        <v>101</v>
      </c>
      <c r="J183" t="s">
        <v>4863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4804</v>
      </c>
      <c r="I184" s="200" t="s">
        <v>101</v>
      </c>
      <c r="J184" t="s">
        <v>4863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4807</v>
      </c>
      <c r="I185" s="200" t="s">
        <v>101</v>
      </c>
      <c r="J185" t="s">
        <v>4863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2255</v>
      </c>
      <c r="I186" s="65" t="s">
        <v>4319</v>
      </c>
      <c r="J186" t="s">
        <v>4863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2532</v>
      </c>
      <c r="I187" s="65" t="s">
        <v>4319</v>
      </c>
      <c r="J187" t="s">
        <v>4863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4808</v>
      </c>
      <c r="J188" t="s">
        <v>4860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4804</v>
      </c>
      <c r="I189" s="65" t="s">
        <v>4319</v>
      </c>
      <c r="J189" t="s">
        <v>4863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4809</v>
      </c>
      <c r="J190" t="s">
        <v>4860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4810</v>
      </c>
      <c r="I191" s="200" t="s">
        <v>101</v>
      </c>
      <c r="J191" t="s">
        <v>4863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4803</v>
      </c>
      <c r="I192" s="200" t="s">
        <v>101</v>
      </c>
      <c r="J192" t="s">
        <v>4863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4802</v>
      </c>
      <c r="I193" s="200" t="s">
        <v>101</v>
      </c>
      <c r="J193" t="s">
        <v>4863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4318</v>
      </c>
      <c r="J194" t="s">
        <v>4860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2255</v>
      </c>
      <c r="I195" s="65" t="s">
        <v>4319</v>
      </c>
      <c r="J195" t="s">
        <v>4863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2532</v>
      </c>
      <c r="I196" s="65" t="s">
        <v>4319</v>
      </c>
      <c r="J196" t="s">
        <v>4863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4804</v>
      </c>
      <c r="I197" s="65" t="s">
        <v>4319</v>
      </c>
      <c r="J197" t="s">
        <v>4863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4464</v>
      </c>
      <c r="I198" s="65" t="s">
        <v>5029</v>
      </c>
      <c r="J198" t="s">
        <v>4863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4811</v>
      </c>
      <c r="J199" t="s">
        <v>4860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4318</v>
      </c>
      <c r="J200" t="s">
        <v>4860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4805</v>
      </c>
      <c r="I201" s="200" t="s">
        <v>101</v>
      </c>
      <c r="J201" t="s">
        <v>4863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2255</v>
      </c>
      <c r="I202" s="65" t="s">
        <v>4319</v>
      </c>
      <c r="J202" t="s">
        <v>4863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2532</v>
      </c>
      <c r="I203" s="65" t="s">
        <v>4319</v>
      </c>
      <c r="J203" t="s">
        <v>4863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4804</v>
      </c>
      <c r="I204" s="65" t="s">
        <v>4319</v>
      </c>
      <c r="J204" t="s">
        <v>4863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4605</v>
      </c>
      <c r="I205" s="65" t="s">
        <v>5030</v>
      </c>
      <c r="J205" t="s">
        <v>4863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3831</v>
      </c>
      <c r="I206" s="200" t="s">
        <v>101</v>
      </c>
      <c r="J206" t="s">
        <v>4863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4318</v>
      </c>
      <c r="J207" t="s">
        <v>4860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4804</v>
      </c>
      <c r="I208" s="200" t="s">
        <v>101</v>
      </c>
      <c r="J208" t="s">
        <v>4863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4807</v>
      </c>
      <c r="I209" s="200" t="s">
        <v>101</v>
      </c>
      <c r="J209" t="s">
        <v>4863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4806</v>
      </c>
      <c r="I210" s="200" t="s">
        <v>101</v>
      </c>
      <c r="J210" t="s">
        <v>4863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2255</v>
      </c>
      <c r="I211" s="65" t="s">
        <v>4319</v>
      </c>
      <c r="J211" t="s">
        <v>4863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2532</v>
      </c>
      <c r="I212" s="65" t="s">
        <v>4319</v>
      </c>
      <c r="J212" t="s">
        <v>4863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4804</v>
      </c>
      <c r="I213" s="65" t="s">
        <v>4319</v>
      </c>
      <c r="J213" t="s">
        <v>4863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4318</v>
      </c>
      <c r="J214" t="s">
        <v>4860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4802</v>
      </c>
      <c r="I215" s="200" t="s">
        <v>101</v>
      </c>
      <c r="J215" t="s">
        <v>4863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2255</v>
      </c>
      <c r="I216" s="65" t="s">
        <v>4319</v>
      </c>
      <c r="J216" t="s">
        <v>4863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2532</v>
      </c>
      <c r="I217" s="65" t="s">
        <v>4319</v>
      </c>
      <c r="J217" t="s">
        <v>4863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4804</v>
      </c>
      <c r="I218" s="65" t="s">
        <v>4319</v>
      </c>
      <c r="J218" t="s">
        <v>4863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4318</v>
      </c>
      <c r="J219" t="s">
        <v>4860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4810</v>
      </c>
      <c r="I220" s="200" t="s">
        <v>101</v>
      </c>
      <c r="J220" t="s">
        <v>4863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4605</v>
      </c>
      <c r="I221" s="200" t="s">
        <v>101</v>
      </c>
      <c r="J221" t="s">
        <v>4863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4805</v>
      </c>
      <c r="I222" s="200" t="s">
        <v>101</v>
      </c>
      <c r="J222" t="s">
        <v>4863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4322</v>
      </c>
      <c r="J223" t="s">
        <v>4860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2255</v>
      </c>
      <c r="I224" s="65" t="s">
        <v>4319</v>
      </c>
      <c r="J224" t="s">
        <v>4863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2532</v>
      </c>
      <c r="I225" s="65" t="s">
        <v>4319</v>
      </c>
      <c r="J225" t="s">
        <v>4863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5174</v>
      </c>
      <c r="I226" s="385" t="s">
        <v>5173</v>
      </c>
      <c r="J226" t="s">
        <v>4860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4813</v>
      </c>
      <c r="J227" t="s">
        <v>4860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4814</v>
      </c>
      <c r="I228" s="65" t="s">
        <v>57</v>
      </c>
      <c r="J228" t="s">
        <v>4863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4863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4863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4804</v>
      </c>
      <c r="I231" s="65" t="s">
        <v>4319</v>
      </c>
      <c r="J231" t="s">
        <v>4863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4296</v>
      </c>
      <c r="J232" t="s">
        <v>4860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3831</v>
      </c>
      <c r="I233" s="200" t="s">
        <v>101</v>
      </c>
      <c r="J233" t="s">
        <v>4863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4816</v>
      </c>
      <c r="J234" t="s">
        <v>4863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4817</v>
      </c>
      <c r="J235" t="s">
        <v>4863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4318</v>
      </c>
      <c r="J236" t="s">
        <v>4860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4804</v>
      </c>
      <c r="I237" s="200" t="s">
        <v>101</v>
      </c>
      <c r="J237" t="s">
        <v>4863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4806</v>
      </c>
      <c r="I238" s="200" t="s">
        <v>101</v>
      </c>
      <c r="J238" t="s">
        <v>4863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4807</v>
      </c>
      <c r="I239" s="200" t="s">
        <v>101</v>
      </c>
      <c r="J239" t="s">
        <v>4863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2255</v>
      </c>
      <c r="I240" s="65" t="s">
        <v>4319</v>
      </c>
      <c r="J240" t="s">
        <v>4863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2532</v>
      </c>
      <c r="I241" s="65" t="s">
        <v>4319</v>
      </c>
      <c r="J241" t="s">
        <v>4863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4818</v>
      </c>
      <c r="J242" t="s">
        <v>4860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4819</v>
      </c>
      <c r="J243" t="s">
        <v>4860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4820</v>
      </c>
      <c r="J244" t="s">
        <v>4860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2255</v>
      </c>
      <c r="I245" s="65" t="s">
        <v>4821</v>
      </c>
      <c r="J245" t="s">
        <v>4863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4804</v>
      </c>
      <c r="I246" s="65" t="s">
        <v>4319</v>
      </c>
      <c r="J246" t="s">
        <v>4863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4839</v>
      </c>
      <c r="I247" s="65" t="s">
        <v>5030</v>
      </c>
      <c r="J247" t="s">
        <v>4863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2255</v>
      </c>
      <c r="I248" s="65"/>
      <c r="J248" t="s">
        <v>4863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4814</v>
      </c>
      <c r="I249" s="65"/>
      <c r="J249" t="s">
        <v>4863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4863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4476</v>
      </c>
      <c r="I251" s="65" t="s">
        <v>4319</v>
      </c>
      <c r="J251" t="s">
        <v>4863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5027</v>
      </c>
      <c r="J252" t="s">
        <v>4860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4318</v>
      </c>
      <c r="J253" t="s">
        <v>4860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2255</v>
      </c>
      <c r="I254" s="200" t="s">
        <v>101</v>
      </c>
      <c r="J254" t="s">
        <v>4863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4802</v>
      </c>
      <c r="I255" s="200" t="s">
        <v>101</v>
      </c>
      <c r="J255" t="s">
        <v>4863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2532</v>
      </c>
      <c r="I256" s="65" t="s">
        <v>4319</v>
      </c>
      <c r="J256" t="s">
        <v>4863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4804</v>
      </c>
      <c r="I257" s="65" t="s">
        <v>4319</v>
      </c>
      <c r="J257" t="s">
        <v>4863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4476</v>
      </c>
      <c r="I258" s="65" t="s">
        <v>4319</v>
      </c>
      <c r="J258" t="s">
        <v>4863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4318</v>
      </c>
      <c r="J259" t="s">
        <v>4860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5028</v>
      </c>
      <c r="I260" s="65" t="s">
        <v>5029</v>
      </c>
      <c r="J260" t="s">
        <v>4863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5031</v>
      </c>
      <c r="J261" t="s">
        <v>4863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5031</v>
      </c>
      <c r="J262" t="s">
        <v>4863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4605</v>
      </c>
      <c r="I263" s="200" t="s">
        <v>101</v>
      </c>
      <c r="J263" t="s">
        <v>4863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4285</v>
      </c>
      <c r="J264" t="s">
        <v>4860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2532</v>
      </c>
      <c r="I265" s="65" t="s">
        <v>4319</v>
      </c>
      <c r="J265" t="s">
        <v>4863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2518</v>
      </c>
      <c r="I266" s="200" t="s">
        <v>101</v>
      </c>
      <c r="J266" t="s">
        <v>4863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4863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3831</v>
      </c>
      <c r="I268" s="200" t="s">
        <v>101</v>
      </c>
      <c r="J268" t="s">
        <v>4863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4476</v>
      </c>
      <c r="I269" s="65" t="s">
        <v>4319</v>
      </c>
      <c r="J269" t="s">
        <v>4863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4476</v>
      </c>
      <c r="I270" s="200" t="s">
        <v>101</v>
      </c>
      <c r="J270" t="s">
        <v>4863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4318</v>
      </c>
      <c r="J271" t="s">
        <v>4860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2532</v>
      </c>
      <c r="I272" s="65" t="s">
        <v>4319</v>
      </c>
      <c r="J272" t="s">
        <v>4863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1630</v>
      </c>
      <c r="I273" s="65"/>
      <c r="J273" t="s">
        <v>4863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5075</v>
      </c>
      <c r="I274" s="65" t="s">
        <v>5030</v>
      </c>
      <c r="J274" t="s">
        <v>4863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5059</v>
      </c>
      <c r="J275" t="s">
        <v>4863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4863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4476</v>
      </c>
      <c r="I277" s="65" t="s">
        <v>4319</v>
      </c>
      <c r="J277" t="s">
        <v>4863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5050</v>
      </c>
      <c r="I278" s="200" t="s">
        <v>101</v>
      </c>
      <c r="J278" t="s">
        <v>4863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4318</v>
      </c>
      <c r="J279" t="s">
        <v>4860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5171</v>
      </c>
      <c r="I280" s="65" t="s">
        <v>4319</v>
      </c>
      <c r="J280" t="s">
        <v>4863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5052</v>
      </c>
      <c r="I281" s="65" t="s">
        <v>5030</v>
      </c>
      <c r="J281" t="s">
        <v>4863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4810</v>
      </c>
      <c r="I282" s="384"/>
      <c r="J282" t="s">
        <v>4863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4863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4476</v>
      </c>
      <c r="I284" s="65" t="s">
        <v>4319</v>
      </c>
      <c r="J284" t="s">
        <v>4863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1630</v>
      </c>
      <c r="I285" s="384"/>
      <c r="J285" t="s">
        <v>4863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4318</v>
      </c>
      <c r="J286" t="s">
        <v>4860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4605</v>
      </c>
      <c r="I287" s="200" t="s">
        <v>101</v>
      </c>
      <c r="J287" t="s">
        <v>4863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5051</v>
      </c>
      <c r="I288" s="200" t="s">
        <v>101</v>
      </c>
      <c r="J288" t="s">
        <v>4863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5171</v>
      </c>
      <c r="I289" s="65" t="s">
        <v>4319</v>
      </c>
      <c r="J289" t="s">
        <v>4863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4863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4863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4464</v>
      </c>
      <c r="I292" s="65" t="s">
        <v>5030</v>
      </c>
      <c r="J292" t="s">
        <v>4863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4464</v>
      </c>
      <c r="I293" s="65" t="s">
        <v>5030</v>
      </c>
      <c r="J293" t="s">
        <v>4863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5175</v>
      </c>
      <c r="I294" s="384" t="s">
        <v>5172</v>
      </c>
      <c r="J294" s="65" t="s">
        <v>4863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3831</v>
      </c>
      <c r="I295" s="200" t="s">
        <v>101</v>
      </c>
      <c r="J295" t="s">
        <v>4863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4863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4476</v>
      </c>
      <c r="I297" s="65" t="s">
        <v>4319</v>
      </c>
      <c r="J297" t="s">
        <v>4863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5177</v>
      </c>
      <c r="I298" s="200" t="s">
        <v>101</v>
      </c>
      <c r="J298" t="s">
        <v>4863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4290</v>
      </c>
      <c r="I299" s="200" t="s">
        <v>101</v>
      </c>
      <c r="J299" t="s">
        <v>4863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4318</v>
      </c>
      <c r="J300" t="s">
        <v>4860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5176</v>
      </c>
      <c r="I301" s="65" t="s">
        <v>4319</v>
      </c>
      <c r="J301" t="s">
        <v>4863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5052</v>
      </c>
      <c r="I302" s="200" t="s">
        <v>101</v>
      </c>
      <c r="J302" t="s">
        <v>4863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5177</v>
      </c>
      <c r="I303" s="398" t="s">
        <v>5170</v>
      </c>
      <c r="J303" t="s">
        <v>4863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5171</v>
      </c>
      <c r="I304" s="65" t="s">
        <v>4319</v>
      </c>
      <c r="J304" t="s">
        <v>4863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2330.8299999999995</v>
      </c>
      <c r="H305" t="s">
        <v>5178</v>
      </c>
      <c r="I305" s="65" t="s">
        <v>5179</v>
      </c>
      <c r="J305" t="s">
        <v>4860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7"/>
        <v>229190</v>
      </c>
      <c r="E306" s="331"/>
      <c r="F306" s="123"/>
      <c r="G306" s="279">
        <f t="shared" si="68"/>
        <v>2330.8299999999995</v>
      </c>
      <c r="I306" s="65" t="s">
        <v>5032</v>
      </c>
      <c r="J306" t="s">
        <v>4863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ref="D307:D308" si="69">D306+C307-B307</f>
        <v>205857</v>
      </c>
      <c r="E307" s="331"/>
      <c r="F307" s="123"/>
      <c r="G307" s="279">
        <f t="shared" ref="G307:G308" si="70">G306+F307-E307</f>
        <v>2330.8299999999995</v>
      </c>
      <c r="H307" t="s">
        <v>4290</v>
      </c>
      <c r="I307" s="65"/>
      <c r="J307" t="s">
        <v>4863</v>
      </c>
      <c r="K307">
        <f t="shared" ref="K307:K308" si="71">IF(J307="本金",C307+K306,K306)</f>
        <v>1098930</v>
      </c>
      <c r="L307">
        <f t="shared" ref="L307:L308" si="72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 t="shared" si="69"/>
        <v>207007</v>
      </c>
      <c r="E308" s="334"/>
      <c r="F308" s="196"/>
      <c r="G308" s="278">
        <f t="shared" si="70"/>
        <v>2330.8299999999995</v>
      </c>
      <c r="H308" s="200" t="s">
        <v>5250</v>
      </c>
      <c r="I308" s="200" t="s">
        <v>101</v>
      </c>
      <c r="J308" t="s">
        <v>4863</v>
      </c>
      <c r="K308">
        <f t="shared" si="71"/>
        <v>1098930</v>
      </c>
      <c r="L308">
        <f t="shared" si="72"/>
        <v>11465</v>
      </c>
    </row>
    <row r="309" spans="1:12">
      <c r="A309" s="139">
        <v>46231</v>
      </c>
      <c r="B309" s="124"/>
      <c r="C309" s="123"/>
      <c r="D309" s="146">
        <f t="shared" ref="D309" si="73">D308+C309-B309</f>
        <v>207007</v>
      </c>
      <c r="E309" s="331"/>
      <c r="F309" s="123">
        <v>43126</v>
      </c>
      <c r="G309" s="279">
        <f t="shared" ref="G309" si="74">G308+F309-E309</f>
        <v>45456.83</v>
      </c>
      <c r="H309" t="s">
        <v>5251</v>
      </c>
      <c r="I309" s="65" t="s">
        <v>5252</v>
      </c>
      <c r="J309" t="s">
        <v>4860</v>
      </c>
      <c r="K309">
        <f t="shared" ref="K309" si="75">IF(J309="本金",C309+K308,K308)</f>
        <v>1098930</v>
      </c>
      <c r="L309">
        <f t="shared" ref="L309" si="76">IF(J309="本金",F309+L308,L308)</f>
        <v>54591</v>
      </c>
    </row>
    <row r="310" spans="1:12">
      <c r="A310" s="139"/>
      <c r="B310" s="124"/>
      <c r="C310" s="123"/>
      <c r="D310" s="146"/>
      <c r="E310" s="331"/>
      <c r="F310" s="123"/>
      <c r="G310" s="279"/>
      <c r="I310" s="65"/>
    </row>
    <row r="311" spans="1:12">
      <c r="A311" s="139"/>
      <c r="B311" s="124"/>
      <c r="C311" s="123"/>
      <c r="D311" s="146"/>
      <c r="E311" s="331"/>
      <c r="F311" s="123"/>
      <c r="G311" s="279"/>
      <c r="I311" s="65"/>
    </row>
    <row r="312" spans="1:12">
      <c r="A312" s="290"/>
      <c r="B312" s="290"/>
      <c r="C312" s="290"/>
      <c r="D312" s="291">
        <f>D309</f>
        <v>207007</v>
      </c>
      <c r="E312" s="336"/>
      <c r="F312" s="290"/>
      <c r="G312" s="290">
        <f>G309*匯率!B3</f>
        <v>1439799.6334200001</v>
      </c>
      <c r="H312" s="290"/>
      <c r="I312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2007</v>
      </c>
    </row>
    <row r="3" spans="1:3">
      <c r="A3">
        <v>20260206</v>
      </c>
      <c r="C3" t="s">
        <v>4890</v>
      </c>
    </row>
    <row r="4" spans="1:3">
      <c r="A4">
        <v>20260226</v>
      </c>
      <c r="C4" t="s">
        <v>5053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2026-08-31T12:41:42Z</dcterms:modified>
</cp:coreProperties>
</file>